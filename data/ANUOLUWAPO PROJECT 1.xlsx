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NEW USER\OneDrive\Desktop\"/>
    </mc:Choice>
  </mc:AlternateContent>
  <xr:revisionPtr revIDLastSave="0" documentId="13_ncr:1_{A2856269-DA53-4E66-B8BD-705391325BE5}" xr6:coauthVersionLast="47" xr6:coauthVersionMax="47" xr10:uidLastSave="{00000000-0000-0000-0000-000000000000}"/>
  <bookViews>
    <workbookView xWindow="-120" yWindow="-120" windowWidth="20730" windowHeight="11040" activeTab="3" xr2:uid="{8208EB35-8CD1-4719-A104-E0BE174DDD6E}"/>
  </bookViews>
  <sheets>
    <sheet name="Sample - Superstore" sheetId="2" r:id="rId1"/>
    <sheet name="CALCULATIONS AND PIVOT" sheetId="1" r:id="rId2"/>
    <sheet name="WIREFRAME" sheetId="6" r:id="rId3"/>
    <sheet name="DASHBOARD" sheetId="7" r:id="rId4"/>
    <sheet name="Sheet1" sheetId="8" r:id="rId5"/>
  </sheets>
  <definedNames>
    <definedName name="_xlchart.v5.0" hidden="1">'CALCULATIONS AND PIVOT'!$D$38</definedName>
    <definedName name="_xlchart.v5.1" hidden="1">'CALCULATIONS AND PIVOT'!$D$39:$D$84</definedName>
    <definedName name="_xlchart.v5.2" hidden="1">'CALCULATIONS AND PIVOT'!$E$38</definedName>
    <definedName name="_xlchart.v5.3" hidden="1">'CALCULATIONS AND PIVOT'!$E$39:$E$84</definedName>
    <definedName name="_xlchart.v5.4" hidden="1">'CALCULATIONS AND PIVOT'!$D$38</definedName>
    <definedName name="_xlchart.v5.5" hidden="1">'CALCULATIONS AND PIVOT'!$D$39:$D$84</definedName>
    <definedName name="_xlchart.v5.6" hidden="1">'CALCULATIONS AND PIVOT'!$E$38</definedName>
    <definedName name="_xlchart.v5.7" hidden="1">'CALCULATIONS AND PIVOT'!$E$39:$E$84</definedName>
    <definedName name="category">'CALCULATIONS AND PIVOT'!$M$19</definedName>
    <definedName name="city">'CALCULATIONS AND PIVOT'!$G$19</definedName>
    <definedName name="copier">'CALCULATIONS AND PIVOT'!$M$18</definedName>
    <definedName name="ExternalData_1" localSheetId="0" hidden="1">'Sample - Superstore'!$A$1:$V$1848</definedName>
    <definedName name="marginyoy">'CALCULATIONS AND PIVOT'!$N$10</definedName>
    <definedName name="mode">'CALCULATIONS AND PIVOT'!$G$49</definedName>
    <definedName name="orderyoy">'CALCULATIONS AND PIVOT'!$N$9</definedName>
    <definedName name="profityoy">'CALCULATIONS AND PIVOT'!$N$8</definedName>
    <definedName name="quantityyoy">'CALCULATIONS AND PIVOT'!$N$7</definedName>
    <definedName name="salestrend">'CALCULATIONS AND PIVOT'!$B$20</definedName>
    <definedName name="salesyoy">'CALCULATIONS AND PIVOT'!$N$6</definedName>
    <definedName name="shippingduration">'CALCULATIONS AND PIVOT'!$G$31</definedName>
    <definedName name="Slicer_Region">#N/A</definedName>
    <definedName name="Slicer_Segment">#N/A</definedName>
    <definedName name="Slicer_Year">#N/A</definedName>
    <definedName name="totalorders">'CALCULATIONS AND PIVOT'!$J$9</definedName>
    <definedName name="totalprofit">'CALCULATIONS AND PIVOT'!$J$8</definedName>
    <definedName name="totalprofitmargin">'CALCULATIONS AND PIVOT'!$J$10</definedName>
    <definedName name="totalquantity">'CALCULATIONS AND PIVOT'!$J$7</definedName>
    <definedName name="totalsales">'CALCULATIONS AND PIVOT'!$J$6</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 l="1"/>
  <c r="K20" i="1"/>
  <c r="K24" i="1" s="1"/>
  <c r="M18" i="1"/>
  <c r="M19" i="1"/>
  <c r="K25" i="1" l="1"/>
  <c r="K23" i="1"/>
  <c r="K22" i="1"/>
  <c r="K21" i="1"/>
  <c r="G31" i="1"/>
  <c r="G49" i="1"/>
  <c r="G19" i="1"/>
  <c r="B20" i="1"/>
  <c r="L9" i="1"/>
  <c r="J9" i="1"/>
  <c r="L7" i="1"/>
  <c r="K8" i="1"/>
  <c r="K7" i="1"/>
  <c r="J8" i="1"/>
  <c r="J6" i="1"/>
  <c r="K9" i="1"/>
  <c r="L8" i="1"/>
  <c r="K6" i="1"/>
  <c r="J7" i="1"/>
  <c r="L6" i="1"/>
  <c r="J10" i="1" l="1"/>
  <c r="M8" i="1"/>
  <c r="N8" i="1" s="1"/>
  <c r="K10" i="1"/>
  <c r="M9" i="1"/>
  <c r="N9" i="1" s="1"/>
  <c r="L10" i="1"/>
  <c r="M7" i="1"/>
  <c r="N7" i="1" s="1"/>
  <c r="M6" i="1"/>
  <c r="M10" i="1" l="1"/>
  <c r="N10"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A1DB40-72AD-416E-8497-705DD142C22D}"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<sst xmlns="http://schemas.openxmlformats.org/spreadsheetml/2006/main" count="27907" uniqueCount="4206">
  <si>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</si>
  <si>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</si>
  <si>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</si>
  <si>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</si>
  <si>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</si>
  <si>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</si>
  <si>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</si>
  <si>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</si>
  <si>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</si>
  <si>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</si>
  <si>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</si>
  <si>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</si>
  <si>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</si>
  <si>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</si>
  <si>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</si>
  <si>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</si>
  <si>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</si>
  <si>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</si>
  <si>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</si>
  <si>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Year</t>
  </si>
  <si>
    <t>Month</t>
  </si>
  <si>
    <t>Profit Margin</t>
  </si>
  <si>
    <t>CA-2014-115812</t>
  </si>
  <si>
    <t>Standard Class</t>
  </si>
  <si>
    <t>BH-11710</t>
  </si>
  <si>
    <t>Brosina Hoffman</t>
  </si>
  <si>
    <t>Consumer</t>
  </si>
  <si>
    <t>United States</t>
  </si>
  <si>
    <t>Los Angeles</t>
  </si>
  <si>
    <t>California</t>
  </si>
  <si>
    <t>West</t>
  </si>
  <si>
    <t>TEC-PH-10002275</t>
  </si>
  <si>
    <t>Technology</t>
  </si>
  <si>
    <t>Phones</t>
  </si>
  <si>
    <t>Mitel 5320 IP Phone VoIP phone</t>
  </si>
  <si>
    <t>5 days</t>
  </si>
  <si>
    <t>Jun</t>
  </si>
  <si>
    <t>TEC-PH-10002033</t>
  </si>
  <si>
    <t>Konftel 250 Conference phone - Charcoal black</t>
  </si>
  <si>
    <t>CA-2014-143336</t>
  </si>
  <si>
    <t>Second Class</t>
  </si>
  <si>
    <t>ZD-21925</t>
  </si>
  <si>
    <t>Zuschuss Donatelli</t>
  </si>
  <si>
    <t>San Francisco</t>
  </si>
  <si>
    <t>TEC-PH-10001949</t>
  </si>
  <si>
    <t>Cisco SPA 501G IP Phone</t>
  </si>
  <si>
    <t>Aug</t>
  </si>
  <si>
    <t>CA-2016-121755</t>
  </si>
  <si>
    <t>EH-13945</t>
  </si>
  <si>
    <t>Eric Hoffmann</t>
  </si>
  <si>
    <t>TEC-AC-10003027</t>
  </si>
  <si>
    <t>Accessories</t>
  </si>
  <si>
    <t>Imation 8GB Mini TravelDrive USB 2.0 Flash Drive</t>
  </si>
  <si>
    <t>4 days</t>
  </si>
  <si>
    <t>Jan</t>
  </si>
  <si>
    <t>CA-2016-117590</t>
  </si>
  <si>
    <t>First Class</t>
  </si>
  <si>
    <t>GH-14485</t>
  </si>
  <si>
    <t>Gene Hale</t>
  </si>
  <si>
    <t>Corporate</t>
  </si>
  <si>
    <t>Richardson</t>
  </si>
  <si>
    <t>Texas</t>
  </si>
  <si>
    <t>Central</t>
  </si>
  <si>
    <t>TEC-PH-10004977</t>
  </si>
  <si>
    <t>GE 30524EE4</t>
  </si>
  <si>
    <t>2 days</t>
  </si>
  <si>
    <t>Dec</t>
  </si>
  <si>
    <t>CA-2015-117415</t>
  </si>
  <si>
    <t>SN-20710</t>
  </si>
  <si>
    <t>Steve Nguyen</t>
  </si>
  <si>
    <t>Home Office</t>
  </si>
  <si>
    <t>Houston</t>
  </si>
  <si>
    <t>TEC-PH-10000486</t>
  </si>
  <si>
    <t>Plantronics HL10 Handset Lifter</t>
  </si>
  <si>
    <t>CA-2017-120999</t>
  </si>
  <si>
    <t>LC-16930</t>
  </si>
  <si>
    <t>Linda Cazamias</t>
  </si>
  <si>
    <t>Naperville</t>
  </si>
  <si>
    <t>Illinois</t>
  </si>
  <si>
    <t>TEC-PH-10004093</t>
  </si>
  <si>
    <t>Panasonic Kx-TS550</t>
  </si>
  <si>
    <t>Sep</t>
  </si>
  <si>
    <t>CA-2016-118255</t>
  </si>
  <si>
    <t>ON-18715</t>
  </si>
  <si>
    <t>Odella Nelson</t>
  </si>
  <si>
    <t>Eagan</t>
  </si>
  <si>
    <t>Minnesota</t>
  </si>
  <si>
    <t>TEC-AC-10000171</t>
  </si>
  <si>
    <t>Verbatim 25 GB 6x Blu-ray Single Layer Recordable Disc, 25/Pack</t>
  </si>
  <si>
    <t>Mar</t>
  </si>
  <si>
    <t>CA-2016-169194</t>
  </si>
  <si>
    <t>LH-16900</t>
  </si>
  <si>
    <t>Lena Hernandez</t>
  </si>
  <si>
    <t>Dover</t>
  </si>
  <si>
    <t>Delaware</t>
  </si>
  <si>
    <t>East</t>
  </si>
  <si>
    <t>TEC-AC-10002167</t>
  </si>
  <si>
    <t>Imation 8gb Micro Traveldrive Usb 2.0 Flash Drive</t>
  </si>
  <si>
    <t>TEC-PH-10003988</t>
  </si>
  <si>
    <t>LF Elite 3D Dazzle Designer Hard Case Cover, Lf Stylus Pen and Wiper For Apple Iphone 5c Mini Lite</t>
  </si>
  <si>
    <t>CA-2016-105816</t>
  </si>
  <si>
    <t>JM-15265</t>
  </si>
  <si>
    <t>Janet Molinari</t>
  </si>
  <si>
    <t>New York City</t>
  </si>
  <si>
    <t>New York</t>
  </si>
  <si>
    <t>TEC-PH-10002447</t>
  </si>
  <si>
    <t>AT&amp;T CL83451 4-Handset Telephone</t>
  </si>
  <si>
    <t>6 days</t>
  </si>
  <si>
    <t>CA-2016-111682</t>
  </si>
  <si>
    <t>TB-21055</t>
  </si>
  <si>
    <t>Ted Butterfield</t>
  </si>
  <si>
    <t>Troy</t>
  </si>
  <si>
    <t>1 days</t>
  </si>
  <si>
    <t>CA-2015-135545</t>
  </si>
  <si>
    <t>KM-16720</t>
  </si>
  <si>
    <t>Kunst Miller</t>
  </si>
  <si>
    <t>TEC-AC-10004633</t>
  </si>
  <si>
    <t>Verbatim 25 GB 6x Blu-ray Single Layer Recordable Disc, 3/Pack</t>
  </si>
  <si>
    <t>Nov</t>
  </si>
  <si>
    <t>CA-2014-106376</t>
  </si>
  <si>
    <t>BS-11590</t>
  </si>
  <si>
    <t>Brendan Sweed</t>
  </si>
  <si>
    <t>Gilbert</t>
  </si>
  <si>
    <t>Arizona</t>
  </si>
  <si>
    <t>TEC-PH-10002726</t>
  </si>
  <si>
    <t>netTALK DUO VoIP Telephone Service</t>
  </si>
  <si>
    <t>CA-2017-155558</t>
  </si>
  <si>
    <t>PG-18895</t>
  </si>
  <si>
    <t>Paul Gonzalez</t>
  </si>
  <si>
    <t>Rochester</t>
  </si>
  <si>
    <t>TEC-AC-10001998</t>
  </si>
  <si>
    <t>Logitech LS21 Speaker System - PC Multimedia - 2.1-CH - Wired</t>
  </si>
  <si>
    <t>7 days</t>
  </si>
  <si>
    <t>Oct</t>
  </si>
  <si>
    <t>CA-2016-109806</t>
  </si>
  <si>
    <t>JS-15685</t>
  </si>
  <si>
    <t>Jim Sink</t>
  </si>
  <si>
    <t>CA-2016-158568</t>
  </si>
  <si>
    <t>RB-19465</t>
  </si>
  <si>
    <t>Rick Bensley</t>
  </si>
  <si>
    <t>Chicago</t>
  </si>
  <si>
    <t>TEC-AC-10001767</t>
  </si>
  <si>
    <t>SanDisk Ultra 64 GB MicroSDHC Class 10 Memory Card</t>
  </si>
  <si>
    <t>US-2015-156867</t>
  </si>
  <si>
    <t>LC-16870</t>
  </si>
  <si>
    <t>Lena Cacioppo</t>
  </si>
  <si>
    <t>Aurora</t>
  </si>
  <si>
    <t>Colorado</t>
  </si>
  <si>
    <t>TEC-AC-10001552</t>
  </si>
  <si>
    <t>Logitech K350 2.4Ghz Wireless Keyboard</t>
  </si>
  <si>
    <t>CA-2017-119004</t>
  </si>
  <si>
    <t>JM-15250</t>
  </si>
  <si>
    <t>Janet Martin</t>
  </si>
  <si>
    <t>Charlotte</t>
  </si>
  <si>
    <t>North Carolina</t>
  </si>
  <si>
    <t>South</t>
  </si>
  <si>
    <t>TEC-AC-10003499</t>
  </si>
  <si>
    <t>Memorex Mini Travel Drive 8 GB USB 2.0 Flash Drive</t>
  </si>
  <si>
    <t>TEC-PH-10002844</t>
  </si>
  <si>
    <t>Speck Products Candyshell Flip Case</t>
  </si>
  <si>
    <t>CA-2015-129476</t>
  </si>
  <si>
    <t>PA-19060</t>
  </si>
  <si>
    <t>Pete Armstrong</t>
  </si>
  <si>
    <t>Orland Park</t>
  </si>
  <si>
    <t>TEC-AC-10000844</t>
  </si>
  <si>
    <t>Logitech Gaming G510s - Keyboard</t>
  </si>
  <si>
    <t>CA-2016-103730</t>
  </si>
  <si>
    <t>SC-20725</t>
  </si>
  <si>
    <t>Steven Cartwright</t>
  </si>
  <si>
    <t>Wilmington</t>
  </si>
  <si>
    <t>TEC-PH-10003875</t>
  </si>
  <si>
    <t>KLD Oscar II Style Snap-on Ultra Thin Side Flip Synthetic Leather Cover Case for HTC One HTC M7</t>
  </si>
  <si>
    <t>3 days</t>
  </si>
  <si>
    <t>US-2017-164147</t>
  </si>
  <si>
    <t>DW-13585</t>
  </si>
  <si>
    <t>Dorothy Wardle</t>
  </si>
  <si>
    <t>Columbus</t>
  </si>
  <si>
    <t>Ohio</t>
  </si>
  <si>
    <t>TEC-PH-10002293</t>
  </si>
  <si>
    <t>Anker 36W 4-Port USB Wall Charger Travel Power Adapter for iPhone 5s 5c 5</t>
  </si>
  <si>
    <t>Feb</t>
  </si>
  <si>
    <t>CA-2016-114489</t>
  </si>
  <si>
    <t>JE-16165</t>
  </si>
  <si>
    <t>Justin Ellison</t>
  </si>
  <si>
    <t>Franklin</t>
  </si>
  <si>
    <t>Wisconsin</t>
  </si>
  <si>
    <t>TEC-PH-10000215</t>
  </si>
  <si>
    <t>Plantronics Cordless Phone Headset with In-line Volume - M214C</t>
  </si>
  <si>
    <t>TEC-PH-10001448</t>
  </si>
  <si>
    <t>Anker Astro 15000mAh USB Portable Charger</t>
  </si>
  <si>
    <t>CA-2016-158834</t>
  </si>
  <si>
    <t>TW-21025</t>
  </si>
  <si>
    <t>Tamara Willingham</t>
  </si>
  <si>
    <t>Scottsdale</t>
  </si>
  <si>
    <t>TEC-PH-10001254</t>
  </si>
  <si>
    <t>Jabra BIZ 2300 Duo QD Duo Corded Headset</t>
  </si>
  <si>
    <t>CA-2016-114104</t>
  </si>
  <si>
    <t>NP-18670</t>
  </si>
  <si>
    <t>Nora Paige</t>
  </si>
  <si>
    <t>Edmond</t>
  </si>
  <si>
    <t>Oklahoma</t>
  </si>
  <si>
    <t>TEC-PH-10004536</t>
  </si>
  <si>
    <t>Avaya 5420 Digital phone</t>
  </si>
  <si>
    <t>CA-2015-119697</t>
  </si>
  <si>
    <t>EM-13960</t>
  </si>
  <si>
    <t>Eric Murdock</t>
  </si>
  <si>
    <t>Philadelphia</t>
  </si>
  <si>
    <t>Pennsylvania</t>
  </si>
  <si>
    <t>TEC-AC-10003657</t>
  </si>
  <si>
    <t>Lenovo 17-Key USB Numeric Keypad</t>
  </si>
  <si>
    <t>CA-2014-139892</t>
  </si>
  <si>
    <t>BM-11140</t>
  </si>
  <si>
    <t>Becky Martin</t>
  </si>
  <si>
    <t>San Antonio</t>
  </si>
  <si>
    <t>TEC-MA-10000822</t>
  </si>
  <si>
    <t>Machines</t>
  </si>
  <si>
    <t>Lexmark MX611dhe Monochrome Laser Printer</t>
  </si>
  <si>
    <t>TEC-PH-10003931</t>
  </si>
  <si>
    <t>JBL Micro Wireless Portable Bluetooth Speaker</t>
  </si>
  <si>
    <t>CA-2014-166191</t>
  </si>
  <si>
    <t>DK-13150</t>
  </si>
  <si>
    <t>David Kendrick</t>
  </si>
  <si>
    <t>Decatur</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</si>
  <si>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</si>
  <si>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</si>
  <si>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</si>
  <si>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</si>
  <si>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</si>
  <si>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</si>
  <si>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</si>
  <si>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</si>
  <si>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</si>
  <si>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</si>
  <si>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</si>
  <si>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</si>
  <si>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</si>
  <si>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CA-2014-123260</t>
  </si>
  <si>
    <t>FM-14290</t>
  </si>
  <si>
    <t>Frank Merwin</t>
  </si>
  <si>
    <t>TEC-AC-10002323</t>
  </si>
  <si>
    <t>SanDisk Ultra 32 GB MicroSDHC Class 10 Memory Card</t>
  </si>
  <si>
    <t>CA-2015-102281</t>
  </si>
  <si>
    <t>MP-17470</t>
  </si>
  <si>
    <t>Mark Packer</t>
  </si>
  <si>
    <t>TEC-PH-10001552</t>
  </si>
  <si>
    <t>I Need's 3d Hello Kitty Hybrid Silicone Case Cover for HTC One X 4g with 3d Hello Kitty Stylus Pen Green/pink</t>
  </si>
  <si>
    <t>CA-2017-108329</t>
  </si>
  <si>
    <t>LE-16810</t>
  </si>
  <si>
    <t>Laurel Elliston</t>
  </si>
  <si>
    <t>Whittier</t>
  </si>
  <si>
    <t>TEC-PH-10001918</t>
  </si>
  <si>
    <t>Nortel Business Series Terminal T7208 Digital phone</t>
  </si>
  <si>
    <t>CA-2017-135860</t>
  </si>
  <si>
    <t>JH-15985</t>
  </si>
  <si>
    <t>Joseph Holt</t>
  </si>
  <si>
    <t>Saginaw</t>
  </si>
  <si>
    <t>Michigan</t>
  </si>
  <si>
    <t>TEC-PH-10001700</t>
  </si>
  <si>
    <t>Panasonic KX-TG6844B Expandable Digital Cordless Telephone</t>
  </si>
  <si>
    <t>CA-2015-101007</t>
  </si>
  <si>
    <t>MS-17980</t>
  </si>
  <si>
    <t>Michael Stewart</t>
  </si>
  <si>
    <t>Dallas</t>
  </si>
  <si>
    <t>TEC-AC-10001266</t>
  </si>
  <si>
    <t>Memorex Micro Travel Drive 8 GB</t>
  </si>
  <si>
    <t>CA-2015-146262</t>
  </si>
  <si>
    <t>VW-21775</t>
  </si>
  <si>
    <t>Victoria Wilson</t>
  </si>
  <si>
    <t>Medina</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</si>
  <si>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</si>
  <si>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</si>
  <si>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</si>
  <si>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</si>
  <si>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</si>
  <si>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</si>
  <si>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</si>
  <si>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</si>
  <si>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</si>
  <si>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</si>
  <si>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</si>
  <si>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</si>
  <si>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</si>
  <si>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TEC-MA-10001148</t>
  </si>
  <si>
    <t>Swingline SM12-08 MicroCut Jam Free Shredder</t>
  </si>
  <si>
    <t>US-2017-100930</t>
  </si>
  <si>
    <t>CS-12400</t>
  </si>
  <si>
    <t>Christopher Schild</t>
  </si>
  <si>
    <t>Tampa</t>
  </si>
  <si>
    <t>Florida</t>
  </si>
  <si>
    <t>TEC-AC-10003832</t>
  </si>
  <si>
    <t>Logitech P710e Mobile Speakerphone</t>
  </si>
  <si>
    <t>Apr</t>
  </si>
  <si>
    <t>CA-2016-157749</t>
  </si>
  <si>
    <t>KL-16645</t>
  </si>
  <si>
    <t>Ken Lonsdale</t>
  </si>
  <si>
    <t>TEC-PH-10000011</t>
  </si>
  <si>
    <t>PureGear Roll-On Screen Protector</t>
  </si>
  <si>
    <t>CA-2016-145625</t>
  </si>
  <si>
    <t>KC-16540</t>
  </si>
  <si>
    <t>Kelly Collister</t>
  </si>
  <si>
    <t>San Diego</t>
  </si>
  <si>
    <t>US-2015-159982</t>
  </si>
  <si>
    <t>DR-12880</t>
  </si>
  <si>
    <t>Dan Reichenbach</t>
  </si>
  <si>
    <t>TEC-PH-10001580</t>
  </si>
  <si>
    <t>Logitech Mobile Speakerphone P710e - speaker phone</t>
  </si>
  <si>
    <t>CA-2017-163139</t>
  </si>
  <si>
    <t>CC-12670</t>
  </si>
  <si>
    <t>Craig Carreira</t>
  </si>
  <si>
    <t>TEC-AC-10000290</t>
  </si>
  <si>
    <t>Sabrent 4-Port USB 2.0 Hub</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</si>
  <si>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</si>
  <si>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</si>
  <si>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</si>
  <si>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</si>
  <si>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</si>
  <si>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</si>
  <si>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</si>
  <si>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</si>
  <si>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</si>
  <si>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</si>
  <si>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</si>
  <si>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</si>
  <si>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</si>
  <si>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</si>
  <si>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</si>
  <si>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</si>
  <si>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CA-2015-155334</t>
  </si>
  <si>
    <t>HA-14920</t>
  </si>
  <si>
    <t>Helen Andreada</t>
  </si>
  <si>
    <t>TEC-AC-10003628</t>
  </si>
  <si>
    <t>Logitech 910-002974 M325 Wireless Mouse for Web Scrolling</t>
  </si>
  <si>
    <t>Jul</t>
  </si>
  <si>
    <t>US-2015-161991</t>
  </si>
  <si>
    <t>TEC-PH-10001760</t>
  </si>
  <si>
    <t>Bose SoundLink Bluetooth Speaker</t>
  </si>
  <si>
    <t>CA-2015-130883</t>
  </si>
  <si>
    <t>TB-21520</t>
  </si>
  <si>
    <t>Tracy Blumstein</t>
  </si>
  <si>
    <t>Portland</t>
  </si>
  <si>
    <t>Oregon</t>
  </si>
  <si>
    <t>TEC-AC-10001956</t>
  </si>
  <si>
    <t>Microsoft Arc Touch Mouse</t>
  </si>
  <si>
    <t>CA-2016-110772</t>
  </si>
  <si>
    <t>NZ-18565</t>
  </si>
  <si>
    <t>Nick Zandusky</t>
  </si>
  <si>
    <t>TEC-AC-10002001</t>
  </si>
  <si>
    <t>Logitech Wireless Gaming Headset G930</t>
  </si>
  <si>
    <t>CA-2014-167850</t>
  </si>
  <si>
    <t>AG-10525</t>
  </si>
  <si>
    <t>Andy Gerbode</t>
  </si>
  <si>
    <t>Saint Petersburg</t>
  </si>
  <si>
    <t>TEC-PH-10002398</t>
  </si>
  <si>
    <t>AT&amp;T 1070 Corded Phone</t>
  </si>
  <si>
    <t>CA-2014-164973</t>
  </si>
  <si>
    <t>NM-18445</t>
  </si>
  <si>
    <t>Nathan Mautz</t>
  </si>
  <si>
    <t>TEC-MA-10002927</t>
  </si>
  <si>
    <t>Canon imageCLASS MF7460 Monochrome Digital Laser Multifunction Copier</t>
  </si>
  <si>
    <t>TEC-AC-10000892</t>
  </si>
  <si>
    <t>NETGEAR N750 Dual Band Wi-Fi Gigabit Router</t>
  </si>
  <si>
    <t>CA-2016-162138</t>
  </si>
  <si>
    <t>GK-14620</t>
  </si>
  <si>
    <t>Grace Kelly</t>
  </si>
  <si>
    <t>Hesperia</t>
  </si>
  <si>
    <t>TEC-AC-10001908</t>
  </si>
  <si>
    <t>Logitech Wireless Headset h800</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</si>
  <si>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</si>
  <si>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</si>
  <si>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</si>
  <si>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</si>
  <si>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</si>
  <si>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</si>
  <si>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</si>
  <si>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</si>
  <si>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</si>
  <si>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</si>
  <si>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</si>
  <si>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</si>
  <si>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</si>
  <si>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TEC-CO-10001449</t>
  </si>
  <si>
    <t>Copiers</t>
  </si>
  <si>
    <t>Hewlett Packard LaserJet 3310 Copier</t>
  </si>
  <si>
    <t>CA-2014-122336</t>
  </si>
  <si>
    <t>JD-15895</t>
  </si>
  <si>
    <t>Jonathan Doherty</t>
  </si>
  <si>
    <t>TEC-PH-10000702</t>
  </si>
  <si>
    <t>Square Credit Card Reader, 4 1/2" x 4 1/2" x 1", White</t>
  </si>
  <si>
    <t>CA-2017-169901</t>
  </si>
  <si>
    <t>CC-12550</t>
  </si>
  <si>
    <t>Clay Cheatham</t>
  </si>
  <si>
    <t>CA-2016-129714</t>
  </si>
  <si>
    <t>AB-10060</t>
  </si>
  <si>
    <t>Adam Bellavance</t>
  </si>
  <si>
    <t>US-2014-119137</t>
  </si>
  <si>
    <t>AG-10900</t>
  </si>
  <si>
    <t>Arthur Gainer</t>
  </si>
  <si>
    <t>Tucson</t>
  </si>
  <si>
    <t>TEC-AC-10003911</t>
  </si>
  <si>
    <t>NETGEAR AC1750 Dual Band Gigabit Smart WiFi Router</t>
  </si>
  <si>
    <t>TEC-AC-10002076</t>
  </si>
  <si>
    <t>Microsoft Natural Keyboard Elite</t>
  </si>
  <si>
    <t>CA-2015-125395</t>
  </si>
  <si>
    <t>LA-16780</t>
  </si>
  <si>
    <t>Laura Armstrong</t>
  </si>
  <si>
    <t>Taylor</t>
  </si>
  <si>
    <t>TEC-AC-10004708</t>
  </si>
  <si>
    <t>Sony 32GB Class 10 Micro SDHC R40 Memory Card</t>
  </si>
  <si>
    <t>US-2015-168935</t>
  </si>
  <si>
    <t>DO-13435</t>
  </si>
  <si>
    <t>Denny Ordway</t>
  </si>
  <si>
    <t>Pembroke Pines</t>
  </si>
  <si>
    <t>TEC-AC-10002335</t>
  </si>
  <si>
    <t>Logitech Media Keyboard K200</t>
  </si>
  <si>
    <t>CA-2015-122756</t>
  </si>
  <si>
    <t>DK-13225</t>
  </si>
  <si>
    <t>Dean Katz</t>
  </si>
  <si>
    <t>TEC-MA-10001681</t>
  </si>
  <si>
    <t>Lexmark MarkNet N8150 Wireless Print Server</t>
  </si>
  <si>
    <t>CA-2017-101798</t>
  </si>
  <si>
    <t>MV-18190</t>
  </si>
  <si>
    <t>Mike Vittorini</t>
  </si>
  <si>
    <t>US-2014-135972</t>
  </si>
  <si>
    <t>JG-15115</t>
  </si>
  <si>
    <t>Jack Garza</t>
  </si>
  <si>
    <t>Des Moines</t>
  </si>
  <si>
    <t>Washington</t>
  </si>
  <si>
    <t>TEC-PH-10003012</t>
  </si>
  <si>
    <t>Nortel Meridian M3904 Professional Digital phone</t>
  </si>
  <si>
    <t>TEC-CO-10002313</t>
  </si>
  <si>
    <t>Canon PC1080F Personal Copier</t>
  </si>
  <si>
    <t>CA-2016-108987</t>
  </si>
  <si>
    <t>AG-10675</t>
  </si>
  <si>
    <t>Anna Gayman</t>
  </si>
  <si>
    <t>TEC-AC-10000158</t>
  </si>
  <si>
    <t>Sony 64GB Class 10 Micro SDHC R40 Memory Card</t>
  </si>
  <si>
    <t>CA-2017-117457</t>
  </si>
  <si>
    <t>KH-16510</t>
  </si>
  <si>
    <t>Keith Herrera</t>
  </si>
  <si>
    <t>TEC-CO-10004115</t>
  </si>
  <si>
    <t>Sharp AL-1530CS Digital Copier</t>
  </si>
  <si>
    <t>CA-2014-142048</t>
  </si>
  <si>
    <t>JE-15745</t>
  </si>
  <si>
    <t>Joel Eaton</t>
  </si>
  <si>
    <t>Louisville</t>
  </si>
  <si>
    <t>TEC-AC-10004114</t>
  </si>
  <si>
    <t>KeyTronic 6101 Series - Keyboard - Black</t>
  </si>
  <si>
    <t>CA-2014-101476</t>
  </si>
  <si>
    <t>SD-20485</t>
  </si>
  <si>
    <t>Shirley Daniels</t>
  </si>
  <si>
    <t>New Rochelle</t>
  </si>
  <si>
    <t>TEC-MA-10000029</t>
  </si>
  <si>
    <t>Epson WorkForce WF-2530 All-in-One Printer, Copier Scanner</t>
  </si>
  <si>
    <t>US-2016-123750</t>
  </si>
  <si>
    <t>RB-19795</t>
  </si>
  <si>
    <t>Ross Baird</t>
  </si>
  <si>
    <t>Gastonia</t>
  </si>
  <si>
    <t>US-2014-150574</t>
  </si>
  <si>
    <t>MK-18160</t>
  </si>
  <si>
    <t>Mike Kennedy</t>
  </si>
  <si>
    <t>Jacksonville</t>
  </si>
  <si>
    <t>TEC-AC-10002600</t>
  </si>
  <si>
    <t>Belkin QODE FastFit Bluetooth Keyboard</t>
  </si>
  <si>
    <t>CA-2016-147375</t>
  </si>
  <si>
    <t>PO-19180</t>
  </si>
  <si>
    <t>Philisse Overcash</t>
  </si>
  <si>
    <t>TEC-MA-10002937</t>
  </si>
  <si>
    <t>Canon Color ImageCLASS MF8580Cdw Wireless Laser All-In-One Printer, Copier, Scanner</t>
  </si>
  <si>
    <t>CA-2016-166674</t>
  </si>
  <si>
    <t>RB-19360</t>
  </si>
  <si>
    <t>Raymond Buch</t>
  </si>
  <si>
    <t>Auburn</t>
  </si>
  <si>
    <t>TEC-PH-10002365</t>
  </si>
  <si>
    <t>Belkin Grip Candy Sheer Case / Cover for iPhone 5 and 5S</t>
  </si>
  <si>
    <t>CA-2016-100153</t>
  </si>
  <si>
    <t>KH-16630</t>
  </si>
  <si>
    <t>Ken Heidel</t>
  </si>
  <si>
    <t>Norman</t>
  </si>
  <si>
    <t>TEC-AC-10001772</t>
  </si>
  <si>
    <t>Memorex Mini Travel Drive 16 GB USB 2.0 Flash Drive</t>
  </si>
  <si>
    <t>CA-2015-109638</t>
  </si>
  <si>
    <t>Seattle</t>
  </si>
  <si>
    <t>TEC-AC-10004571</t>
  </si>
  <si>
    <t>Logitech G700s Rechargeable Gaming Mouse</t>
  </si>
  <si>
    <t>CA-2014-144666</t>
  </si>
  <si>
    <t>JP-15520</t>
  </si>
  <si>
    <t>Jeremy Pistek</t>
  </si>
  <si>
    <t>TEC-PH-10002680</t>
  </si>
  <si>
    <t>Samsung Galaxy Note 3</t>
  </si>
  <si>
    <t>CA-2016-103891</t>
  </si>
  <si>
    <t>KH-16690</t>
  </si>
  <si>
    <t>Kristen Hastings</t>
  </si>
  <si>
    <t>TEC-PH-10000149</t>
  </si>
  <si>
    <t>Cisco SPA525G2 IP Phone - Wireless</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</si>
  <si>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</si>
  <si>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</si>
  <si>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</si>
  <si>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</si>
  <si>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</si>
  <si>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</si>
  <si>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</si>
  <si>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</si>
  <si>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</si>
  <si>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</si>
  <si>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</si>
  <si>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</si>
  <si>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</si>
  <si>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</si>
  <si>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</si>
  <si>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</si>
  <si>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</si>
  <si>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</si>
  <si>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</si>
  <si>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</si>
  <si>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</si>
  <si>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</si>
  <si>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</si>
  <si>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</si>
  <si>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</si>
  <si>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</si>
  <si>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</si>
  <si>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</si>
  <si>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CA-2016-169166</t>
  </si>
  <si>
    <t>SS-20590</t>
  </si>
  <si>
    <t>Sonia Sunley</t>
  </si>
  <si>
    <t>TEC-AC-10000991</t>
  </si>
  <si>
    <t>Sony Micro Vault Click 8 GB USB 2.0 Flash Drive</t>
  </si>
  <si>
    <t>May</t>
  </si>
  <si>
    <t>CA-2017-135307</t>
  </si>
  <si>
    <t>LS-17245</t>
  </si>
  <si>
    <t>Lynn Smith</t>
  </si>
  <si>
    <t>Gladstone</t>
  </si>
  <si>
    <t>Missouri</t>
  </si>
  <si>
    <t>TEC-AC-10002399</t>
  </si>
  <si>
    <t>SanDisk Cruzer 32 GB USB Flash Drive</t>
  </si>
  <si>
    <t>CA-2017-127432</t>
  </si>
  <si>
    <t>AD-10180</t>
  </si>
  <si>
    <t>Alan Dominguez</t>
  </si>
  <si>
    <t>Great Falls</t>
  </si>
  <si>
    <t>Montana</t>
  </si>
  <si>
    <t>TEC-CO-10003236</t>
  </si>
  <si>
    <t>Canon Image Class D660 Copier</t>
  </si>
  <si>
    <t>CA-2015-157812</t>
  </si>
  <si>
    <t>DB-13210</t>
  </si>
  <si>
    <t>Dean Braden</t>
  </si>
  <si>
    <t>US-2016-139486</t>
  </si>
  <si>
    <t>LH-17155</t>
  </si>
  <si>
    <t>Logan Haushalter</t>
  </si>
  <si>
    <t>TEC-PH-10003555</t>
  </si>
  <si>
    <t>Motorola HK250 Universal Bluetooth Headset</t>
  </si>
  <si>
    <t>Imation 16GB Mini TravelDrive USB 2.0 Flash Drive</t>
  </si>
  <si>
    <t>CA-2016-168753</t>
  </si>
  <si>
    <t>RL-19615</t>
  </si>
  <si>
    <t>Rob Lucas</t>
  </si>
  <si>
    <t>Montgomery</t>
  </si>
  <si>
    <t>Alabama</t>
  </si>
  <si>
    <t>TEC-PH-10000984</t>
  </si>
  <si>
    <t>Panasonic KX-TG9471B</t>
  </si>
  <si>
    <t>CA-2014-140795</t>
  </si>
  <si>
    <t>BD-11500</t>
  </si>
  <si>
    <t>Bradley Drucker</t>
  </si>
  <si>
    <t>Green Bay</t>
  </si>
  <si>
    <t>TEC-AC-10001432</t>
  </si>
  <si>
    <t>Enermax Aurora Lite Keyboard</t>
  </si>
  <si>
    <t>CA-2016-136924</t>
  </si>
  <si>
    <t>ES-14080</t>
  </si>
  <si>
    <t>Erin Smith</t>
  </si>
  <si>
    <t>TEC-PH-10002262</t>
  </si>
  <si>
    <t>LG Electronics Tone+ HBS-730 Bluetooth Headset</t>
  </si>
  <si>
    <t>CA-2014-103849</t>
  </si>
  <si>
    <t>Fort Worth</t>
  </si>
  <si>
    <t>TEC-AC-10001465</t>
  </si>
  <si>
    <t>SanDisk Cruzer 64 GB USB Flash Drive</t>
  </si>
  <si>
    <t>TEC-PH-10002597</t>
  </si>
  <si>
    <t>Xblue XB-1670-86 X16 Small Office Telephone - Titanium</t>
  </si>
  <si>
    <t>CA-2017-137099</t>
  </si>
  <si>
    <t>FP-14320</t>
  </si>
  <si>
    <t>Frank Preis</t>
  </si>
  <si>
    <t>TEC-PH-10002496</t>
  </si>
  <si>
    <t>Cisco SPA301</t>
  </si>
  <si>
    <t>CA-2017-164826</t>
  </si>
  <si>
    <t>JF-15415</t>
  </si>
  <si>
    <t>Jennifer Ferguson</t>
  </si>
  <si>
    <t>TEC-PH-10000347</t>
  </si>
  <si>
    <t>Cush Cases Heavy Duty Rugged Cover Case for Samsung Galaxy S5 - Purple</t>
  </si>
  <si>
    <t>CA-2017-145233</t>
  </si>
  <si>
    <t>DV-13465</t>
  </si>
  <si>
    <t>Dianna Vittorini</t>
  </si>
  <si>
    <t>Denver</t>
  </si>
  <si>
    <t>TEC-PH-10000586</t>
  </si>
  <si>
    <t>AT&amp;T SB67148 SynJ</t>
  </si>
  <si>
    <t>US-2016-156986</t>
  </si>
  <si>
    <t>ZC-21910</t>
  </si>
  <si>
    <t>Zuschuss Carroll</t>
  </si>
  <si>
    <t>Salem</t>
  </si>
  <si>
    <t>TEC-PH-10003800</t>
  </si>
  <si>
    <t>i.Sound Portable Power - 8000 mAh</t>
  </si>
  <si>
    <t>CA-2014-135405</t>
  </si>
  <si>
    <t>MS-17830</t>
  </si>
  <si>
    <t>Melanie Seite</t>
  </si>
  <si>
    <t>Laredo</t>
  </si>
  <si>
    <t>CA-2014-131450</t>
  </si>
  <si>
    <t>LR-16915</t>
  </si>
  <si>
    <t>Lena Radford</t>
  </si>
  <si>
    <t>US-2016-100720</t>
  </si>
  <si>
    <t>CK-12205</t>
  </si>
  <si>
    <t>Chloris Kastensmidt</t>
  </si>
  <si>
    <t>TEC-PH-10001425</t>
  </si>
  <si>
    <t>Mophie Juice Pack Helium for iPhone</t>
  </si>
  <si>
    <t>TEC-PH-10003963</t>
  </si>
  <si>
    <t>GE 2-Jack Phone Line Splitter</t>
  </si>
  <si>
    <t>US-2014-105767</t>
  </si>
  <si>
    <t>AR-10510</t>
  </si>
  <si>
    <t>Andrew Roberts</t>
  </si>
  <si>
    <t>TEC-PH-10003092</t>
  </si>
  <si>
    <t>Motorola L804</t>
  </si>
  <si>
    <t>CA-2016-161816</t>
  </si>
  <si>
    <t>NB-18655</t>
  </si>
  <si>
    <t>Nona Balk</t>
  </si>
  <si>
    <t>CA-2016-121223</t>
  </si>
  <si>
    <t>GD-14590</t>
  </si>
  <si>
    <t>Giulietta Dortch</t>
  </si>
  <si>
    <t>TEC-PH-10004667</t>
  </si>
  <si>
    <t>Cisco 8x8 Inc. 6753i IP Business Phone System</t>
  </si>
  <si>
    <t>CA-2017-138611</t>
  </si>
  <si>
    <t>CK-12595</t>
  </si>
  <si>
    <t>Clytie Kelty</t>
  </si>
  <si>
    <t>Grove City</t>
  </si>
  <si>
    <t>CA-2017-117947</t>
  </si>
  <si>
    <t>NG-18355</t>
  </si>
  <si>
    <t>Nat Gilpin</t>
  </si>
  <si>
    <t>TEC-PH-10002538</t>
  </si>
  <si>
    <t>Grandstream GXP1160 VoIP phone</t>
  </si>
  <si>
    <t>US-2016-135720</t>
  </si>
  <si>
    <t>FM-14380</t>
  </si>
  <si>
    <t>Fred McMath</t>
  </si>
  <si>
    <t>TEC-AC-10001267</t>
  </si>
  <si>
    <t>Imation 32GB Pocket Pro USB 3.0 Flash Drive - 32 GB - Black - 1 P ...</t>
  </si>
  <si>
    <t>TEC-PH-10002103</t>
  </si>
  <si>
    <t>Jabra SPEAK 410</t>
  </si>
  <si>
    <t>CA-2017-144694</t>
  </si>
  <si>
    <t>BD-11605</t>
  </si>
  <si>
    <t>Brian Dahlen</t>
  </si>
  <si>
    <t>Miami</t>
  </si>
  <si>
    <t>TEC-AC-10002857</t>
  </si>
  <si>
    <t>Verbatim 25 GB 6x Blu-ray Single Layer Recordable Disc, 1/Pack</t>
  </si>
  <si>
    <t>CA-2017-106103</t>
  </si>
  <si>
    <t>SC-20305</t>
  </si>
  <si>
    <t>Sean Christensen</t>
  </si>
  <si>
    <t>Rochester Hills</t>
  </si>
  <si>
    <t>CA-2016-160745</t>
  </si>
  <si>
    <t>AR-10825</t>
  </si>
  <si>
    <t>Anthony Rawles</t>
  </si>
  <si>
    <t>Vancouver</t>
  </si>
  <si>
    <t>TEC-AC-10001142</t>
  </si>
  <si>
    <t>First Data FD10 PIN Pad</t>
  </si>
  <si>
    <t>CA-2017-140844</t>
  </si>
  <si>
    <t>AR-10405</t>
  </si>
  <si>
    <t>Allen Rosenblatt</t>
  </si>
  <si>
    <t>TEC-AC-10001101</t>
  </si>
  <si>
    <t>Sony 16GB Class 10 Micro SDHC R40 Memory Card</t>
  </si>
  <si>
    <t>CA-2017-132682</t>
  </si>
  <si>
    <t>TH-21235</t>
  </si>
  <si>
    <t>Tiffany House</t>
  </si>
  <si>
    <t>TEC-PH-10004042</t>
  </si>
  <si>
    <t>ClearOne Communications CHAT 70 OC Speaker Phone</t>
  </si>
  <si>
    <t>CA-2017-130351</t>
  </si>
  <si>
    <t>RB-19570</t>
  </si>
  <si>
    <t>Rob Beeghly</t>
  </si>
  <si>
    <t>Indiana</t>
  </si>
  <si>
    <t>US-2017-119438</t>
  </si>
  <si>
    <t>CD-11980</t>
  </si>
  <si>
    <t>Carol Darley</t>
  </si>
  <si>
    <t>Tyler</t>
  </si>
  <si>
    <t>TEC-AC-10003614</t>
  </si>
  <si>
    <t>Verbatim 25 GB 6x Blu-ray Single Layer Recordable Disc, 10/Pack</t>
  </si>
  <si>
    <t>US-2017-168116</t>
  </si>
  <si>
    <t>Same Day</t>
  </si>
  <si>
    <t>GT-14635</t>
  </si>
  <si>
    <t>Grant Thornton</t>
  </si>
  <si>
    <t>Burlington</t>
  </si>
  <si>
    <t>TEC-MA-10004125</t>
  </si>
  <si>
    <t>Cubify CubeX 3D Printer Triple Head Print</t>
  </si>
  <si>
    <t>0 days</t>
  </si>
  <si>
    <t>CA-2014-157784</t>
  </si>
  <si>
    <t>MC-17845</t>
  </si>
  <si>
    <t>Michael Chen</t>
  </si>
  <si>
    <t>Jackson</t>
  </si>
  <si>
    <t>Mississippi</t>
  </si>
  <si>
    <t>US-2014-117135</t>
  </si>
  <si>
    <t>NP-18325</t>
  </si>
  <si>
    <t>Naresj Patel</t>
  </si>
  <si>
    <t>Waynesboro</t>
  </si>
  <si>
    <t>Virginia</t>
  </si>
  <si>
    <t>CA-2015-131534</t>
  </si>
  <si>
    <t>AB-10165</t>
  </si>
  <si>
    <t>Alan Barnes</t>
  </si>
  <si>
    <t>TEC-AC-10002253</t>
  </si>
  <si>
    <t>Imation Bio 8GB USB Flash Drive Imation Corp</t>
  </si>
  <si>
    <t>CA-2014-138527</t>
  </si>
  <si>
    <t>BN-11470</t>
  </si>
  <si>
    <t>Brad Norvell</t>
  </si>
  <si>
    <t>Cary</t>
  </si>
  <si>
    <t>CA-2014-112158</t>
  </si>
  <si>
    <t>DP-13165</t>
  </si>
  <si>
    <t>David Philippe</t>
  </si>
  <si>
    <t>US-2017-100048</t>
  </si>
  <si>
    <t>RS-19765</t>
  </si>
  <si>
    <t>Roland Schwarz</t>
  </si>
  <si>
    <t>Mount Vernon</t>
  </si>
  <si>
    <t>TEC-AC-10001606</t>
  </si>
  <si>
    <t>Logitech Wireless Performance Mouse MX for PC and Mac</t>
  </si>
  <si>
    <t>CA-2017-144113</t>
  </si>
  <si>
    <t>JF-15355</t>
  </si>
  <si>
    <t>Jay Fein</t>
  </si>
  <si>
    <t>Austin</t>
  </si>
  <si>
    <t>TEC-PH-10002170</t>
  </si>
  <si>
    <t>ClearSounds CSC500 Amplified Spirit Phone Corded phone</t>
  </si>
  <si>
    <t>CA-2017-131954</t>
  </si>
  <si>
    <t>DS-13030</t>
  </si>
  <si>
    <t>Darrin Sayre</t>
  </si>
  <si>
    <t>TEC-AC-10003610</t>
  </si>
  <si>
    <t>Logitech Illuminated - Keyboard</t>
  </si>
  <si>
    <t>CA-2014-132500</t>
  </si>
  <si>
    <t>GZ-14470</t>
  </si>
  <si>
    <t>Gary Zandusky</t>
  </si>
  <si>
    <t>TEC-AC-10001383</t>
  </si>
  <si>
    <t>Logitech Wireless Touch Keyboard K400</t>
  </si>
  <si>
    <t>CA-2016-150889</t>
  </si>
  <si>
    <t>PB-19105</t>
  </si>
  <si>
    <t>Peter Bühler</t>
  </si>
  <si>
    <t>Evanston</t>
  </si>
  <si>
    <t>TEC-PH-10000004</t>
  </si>
  <si>
    <t>Belkin iPhone and iPad Lightning Cable</t>
  </si>
  <si>
    <t>CA-2016-110499</t>
  </si>
  <si>
    <t>YC-21895</t>
  </si>
  <si>
    <t>Yoseph Carroll</t>
  </si>
  <si>
    <t>TEC-CO-10002095</t>
  </si>
  <si>
    <t>Hewlett Packard 610 Color Digital Copier / Printer</t>
  </si>
  <si>
    <t>CA-2014-106803</t>
  </si>
  <si>
    <t>DC-13285</t>
  </si>
  <si>
    <t>Debra Catini</t>
  </si>
  <si>
    <t>Cottage Grove</t>
  </si>
  <si>
    <t>CA-2015-114923</t>
  </si>
  <si>
    <t>LH-17020</t>
  </si>
  <si>
    <t>Lisa Hazard</t>
  </si>
  <si>
    <t>CA-2014-162775</t>
  </si>
  <si>
    <t>CS-12250</t>
  </si>
  <si>
    <t>Chris Selesnick</t>
  </si>
  <si>
    <t>Bossier City</t>
  </si>
  <si>
    <t>TEC-AC-10003174</t>
  </si>
  <si>
    <t>Plantronics S12 Corded Telephone Headset System</t>
  </si>
  <si>
    <t>CA-2017-104220</t>
  </si>
  <si>
    <t>BV-11245</t>
  </si>
  <si>
    <t>Benjamin Venier</t>
  </si>
  <si>
    <t>Iowa</t>
  </si>
  <si>
    <t>US-2015-157014</t>
  </si>
  <si>
    <t>BM-11785</t>
  </si>
  <si>
    <t>Bryan Mills</t>
  </si>
  <si>
    <t>TEC-AC-10000057</t>
  </si>
  <si>
    <t>Microsoft Natural Ergonomic Keyboard 4000</t>
  </si>
  <si>
    <t>CA-2016-105256</t>
  </si>
  <si>
    <t>JK-15730</t>
  </si>
  <si>
    <t>Joe Kamberova</t>
  </si>
  <si>
    <t>Asheville</t>
  </si>
  <si>
    <t>TEC-PH-10001530</t>
  </si>
  <si>
    <t>Cisco Unified IP Phone 7945G VoIP phone</t>
  </si>
  <si>
    <t>CA-2017-105809</t>
  </si>
  <si>
    <t>HW-14935</t>
  </si>
  <si>
    <t>Helen Wasserman</t>
  </si>
  <si>
    <t>CA-2014-134313</t>
  </si>
  <si>
    <t>RA-19915</t>
  </si>
  <si>
    <t>Russell Applegate</t>
  </si>
  <si>
    <t>TEC-PH-10001795</t>
  </si>
  <si>
    <t>ClearOne CHATAttach 160 - speaker phone</t>
  </si>
  <si>
    <t>CA-2015-140921</t>
  </si>
  <si>
    <t>AA-10375</t>
  </si>
  <si>
    <t>Allen Armold</t>
  </si>
  <si>
    <t>Omaha</t>
  </si>
  <si>
    <t>Nebraska</t>
  </si>
  <si>
    <t>TEC-AC-10004901</t>
  </si>
  <si>
    <t xml:space="preserve">Kensington SlimBlade Notebook Wireless Mouse with Nano Receiver </t>
  </si>
  <si>
    <t>CA-2014-151995</t>
  </si>
  <si>
    <t>Edmonds</t>
  </si>
  <si>
    <t>CA-2017-143686</t>
  </si>
  <si>
    <t>PJ-19015</t>
  </si>
  <si>
    <t>Pauline Johnson</t>
  </si>
  <si>
    <t>Santa Ana</t>
  </si>
  <si>
    <t>TEC-AC-10001838</t>
  </si>
  <si>
    <t>Razer Tiamat Over Ear 7.1 Surround Sound PC Gaming Headset</t>
  </si>
  <si>
    <t>CA-2017-101434</t>
  </si>
  <si>
    <t>TR-21325</t>
  </si>
  <si>
    <t>Toby Ritter</t>
  </si>
  <si>
    <t>Belleville</t>
  </si>
  <si>
    <t>New Jersey</t>
  </si>
  <si>
    <t>TEC-AC-10002402</t>
  </si>
  <si>
    <t>Razer Kraken PRO Over Ear PC and Music Headset</t>
  </si>
  <si>
    <t>US-2014-102071</t>
  </si>
  <si>
    <t>PG-18820</t>
  </si>
  <si>
    <t>Patrick Gardner</t>
  </si>
  <si>
    <t>TEC-AC-10003441</t>
  </si>
  <si>
    <t>Kingston Digital DataTraveler 32GB USB 2.0</t>
  </si>
  <si>
    <t>CA-2017-129462</t>
  </si>
  <si>
    <t>Florence</t>
  </si>
  <si>
    <t>Kentucky</t>
  </si>
  <si>
    <t>TEC-PH-10001557</t>
  </si>
  <si>
    <t>Pyle PMP37LED</t>
  </si>
  <si>
    <t>TEC-PH-10002085</t>
  </si>
  <si>
    <t>Clarity 53712</t>
  </si>
  <si>
    <t>CA-2016-165316</t>
  </si>
  <si>
    <t>JB-15400</t>
  </si>
  <si>
    <t>Jennifer Braxton</t>
  </si>
  <si>
    <t>TEC-MA-10004002</t>
  </si>
  <si>
    <t>Zebra GX420t Direct Thermal/Thermal Transfer Printer</t>
  </si>
  <si>
    <t>US-2016-137547</t>
  </si>
  <si>
    <t>EB-13705</t>
  </si>
  <si>
    <t>Ed Braxton</t>
  </si>
  <si>
    <t>CA-2015-114300</t>
  </si>
  <si>
    <t>AF-10885</t>
  </si>
  <si>
    <t>Art Foster</t>
  </si>
  <si>
    <t>CA-2014-107755</t>
  </si>
  <si>
    <t>CK-12760</t>
  </si>
  <si>
    <t>Cyma Kinney</t>
  </si>
  <si>
    <t>Linden</t>
  </si>
  <si>
    <t>TEC-AC-10000710</t>
  </si>
  <si>
    <t>Maxell DVD-RAM Discs</t>
  </si>
  <si>
    <t>CA-2016-134474</t>
  </si>
  <si>
    <t>AJ-10795</t>
  </si>
  <si>
    <t>Anthony Johnson</t>
  </si>
  <si>
    <t>TEC-AC-10001714</t>
  </si>
  <si>
    <t>Logitech MX Performance Wireless Mouse</t>
  </si>
  <si>
    <t>TEC-PH-10002923</t>
  </si>
  <si>
    <t>Logitech B530 USB Headset - headset - Full size, Binaural</t>
  </si>
  <si>
    <t>CA-2016-158099</t>
  </si>
  <si>
    <t>PK-18910</t>
  </si>
  <si>
    <t>Paul Knutson</t>
  </si>
  <si>
    <t>CA-2016-116736</t>
  </si>
  <si>
    <t>CC-12430</t>
  </si>
  <si>
    <t>Chuck Clark</t>
  </si>
  <si>
    <t>Concord</t>
  </si>
  <si>
    <t>New Hampshire</t>
  </si>
  <si>
    <t>TEC-AC-10002049</t>
  </si>
  <si>
    <t>Logitech G19 Programmable Gaming Keyboard</t>
  </si>
  <si>
    <t>CA-2017-132934</t>
  </si>
  <si>
    <t>JE-15475</t>
  </si>
  <si>
    <t>Jeremy Ellison</t>
  </si>
  <si>
    <t>TEC-AC-10000927</t>
  </si>
  <si>
    <t xml:space="preserve">Anker Ultrathin Bluetooth Wireless Keyboard Aluminum Cover with Stand </t>
  </si>
  <si>
    <t>CA-2017-133256</t>
  </si>
  <si>
    <t>TH-21550</t>
  </si>
  <si>
    <t>Tracy Hopkins</t>
  </si>
  <si>
    <t>Detroit</t>
  </si>
  <si>
    <t>TEC-PH-10002660</t>
  </si>
  <si>
    <t>Nortel Networks T7316 E Nt8 B27</t>
  </si>
  <si>
    <t>CA-2017-132353</t>
  </si>
  <si>
    <t>DB-13060</t>
  </si>
  <si>
    <t>Dave Brooks</t>
  </si>
  <si>
    <t>CA-2017-143259</t>
  </si>
  <si>
    <t>PO-18865</t>
  </si>
  <si>
    <t>Patrick O'Donnell</t>
  </si>
  <si>
    <t>TEC-PH-10004774</t>
  </si>
  <si>
    <t>Gear Head AU3700S Headset</t>
  </si>
  <si>
    <t>CA-2017-137596</t>
  </si>
  <si>
    <t>BE-11335</t>
  </si>
  <si>
    <t>Bill Eplett</t>
  </si>
  <si>
    <t>TEC-PH-10001494</t>
  </si>
  <si>
    <t>Polycom CX600 IP Phone VoIP phone</t>
  </si>
  <si>
    <t>TEC-AC-10004666</t>
  </si>
  <si>
    <t>Maxell iVDR EX 500GB Cartridge</t>
  </si>
  <si>
    <t>CA-2017-102519</t>
  </si>
  <si>
    <t>BM-11650</t>
  </si>
  <si>
    <t>Brian Moss</t>
  </si>
  <si>
    <t>Milwaukee</t>
  </si>
  <si>
    <t>CA-2015-111164</t>
  </si>
  <si>
    <t>SE-20110</t>
  </si>
  <si>
    <t>Sanjit Engle</t>
  </si>
  <si>
    <t>TEC-AC-10002473</t>
  </si>
  <si>
    <t>Maxell 4.7GB DVD-R</t>
  </si>
  <si>
    <t>TEC-PH-10004531</t>
  </si>
  <si>
    <t>OtterBox Commuter Series Case - iPhone 5 &amp; 5s</t>
  </si>
  <si>
    <t>CA-2014-132962</t>
  </si>
  <si>
    <t>JM-15535</t>
  </si>
  <si>
    <t>Jessica Myrick</t>
  </si>
  <si>
    <t>TEC-AC-10004353</t>
  </si>
  <si>
    <t>Hypercom P1300 Pinpad</t>
  </si>
  <si>
    <t>US-2017-111745</t>
  </si>
  <si>
    <t>RA-19885</t>
  </si>
  <si>
    <t>Ruben Ausman</t>
  </si>
  <si>
    <t>Farmington</t>
  </si>
  <si>
    <t>New Mexico</t>
  </si>
  <si>
    <t>CA-2017-102414</t>
  </si>
  <si>
    <t>JA-15970</t>
  </si>
  <si>
    <t>Joseph Airdo</t>
  </si>
  <si>
    <t>Phoenix</t>
  </si>
  <si>
    <t>CA-2014-115791</t>
  </si>
  <si>
    <t>DL-13315</t>
  </si>
  <si>
    <t>Delfina Latchford</t>
  </si>
  <si>
    <t>US-2017-103247</t>
  </si>
  <si>
    <t>PO-19195</t>
  </si>
  <si>
    <t>Phillina Ober</t>
  </si>
  <si>
    <t>CA-2017-159366</t>
  </si>
  <si>
    <t>BW-11110</t>
  </si>
  <si>
    <t>Bart Watters</t>
  </si>
  <si>
    <t>CA-2014-163419</t>
  </si>
  <si>
    <t>TZ-21580</t>
  </si>
  <si>
    <t>Tracy Zic</t>
  </si>
  <si>
    <t>TEC-PH-10000560</t>
  </si>
  <si>
    <t>Samsung Galaxy S III - 16GB - pebble blue (T-Mobile)</t>
  </si>
  <si>
    <t>CA-2017-100314</t>
  </si>
  <si>
    <t>AS-10630</t>
  </si>
  <si>
    <t>Ann Steele</t>
  </si>
  <si>
    <t>Pasadena</t>
  </si>
  <si>
    <t>TEC-MA-10003066</t>
  </si>
  <si>
    <t>Wasp CCD Handheld Bar Code Reader</t>
  </si>
  <si>
    <t>CA-2014-117639</t>
  </si>
  <si>
    <t>MW-18235</t>
  </si>
  <si>
    <t>Mitch Willingham</t>
  </si>
  <si>
    <t>Virginia Beach</t>
  </si>
  <si>
    <t>Plantronics Voyager Pro Legend</t>
  </si>
  <si>
    <t>CA-2015-124891</t>
  </si>
  <si>
    <t>RH-19495</t>
  </si>
  <si>
    <t>Rick Hansen</t>
  </si>
  <si>
    <t>TEC-AC-10003033</t>
  </si>
  <si>
    <t>Plantronics CS510 - Over-the-Head monaural Wireless Headset System</t>
  </si>
  <si>
    <t>CA-2017-135034</t>
  </si>
  <si>
    <t>AT-10735</t>
  </si>
  <si>
    <t>Annie Thurman</t>
  </si>
  <si>
    <t>US-2015-126214</t>
  </si>
  <si>
    <t>JS-15880</t>
  </si>
  <si>
    <t>John Stevenson</t>
  </si>
  <si>
    <t>TEC-AC-10003198</t>
  </si>
  <si>
    <t>Enermax Acrylux Wireless Keyboard</t>
  </si>
  <si>
    <t>CA-2015-108665</t>
  </si>
  <si>
    <t>KM-16225</t>
  </si>
  <si>
    <t>Kalyca Meade</t>
  </si>
  <si>
    <t>TEC-PH-10004188</t>
  </si>
  <si>
    <t>OtterBox Commuter Series Case - Samsung Galaxy S4</t>
  </si>
  <si>
    <t>CA-2015-124450</t>
  </si>
  <si>
    <t>GT-14710</t>
  </si>
  <si>
    <t>Greg Tran</t>
  </si>
  <si>
    <t>District of Columbia</t>
  </si>
  <si>
    <t>TEC-MA-10004212</t>
  </si>
  <si>
    <t>Cisco SPA525G2 5-Line IP Phone</t>
  </si>
  <si>
    <t>CA-2016-126529</t>
  </si>
  <si>
    <t>DE-13255</t>
  </si>
  <si>
    <t>Deanra Eno</t>
  </si>
  <si>
    <t>Springfield</t>
  </si>
  <si>
    <t>TEC-PH-10000148</t>
  </si>
  <si>
    <t>Cyber Acoustics AC-202b Speech Recognition Stereo Headset</t>
  </si>
  <si>
    <t>CA-2014-163552</t>
  </si>
  <si>
    <t>Hackensack</t>
  </si>
  <si>
    <t>TEC-PH-10003885</t>
  </si>
  <si>
    <t>Cisco SPA508G</t>
  </si>
  <si>
    <t>CA-2016-102981</t>
  </si>
  <si>
    <t>MO-17500</t>
  </si>
  <si>
    <t>Mary O'Rourke</t>
  </si>
  <si>
    <t>TEC-AC-10004761</t>
  </si>
  <si>
    <t>Maxell 4.7GB DVD+RW 3/Pack</t>
  </si>
  <si>
    <t>CA-2016-169103</t>
  </si>
  <si>
    <t>CA-2014-139192</t>
  </si>
  <si>
    <t>LC-16885</t>
  </si>
  <si>
    <t>Lena Creighton</t>
  </si>
  <si>
    <t>CA-2015-161263</t>
  </si>
  <si>
    <t>TS-21160</t>
  </si>
  <si>
    <t>Theresa Swint</t>
  </si>
  <si>
    <t>Toledo</t>
  </si>
  <si>
    <t>TEC-PH-10002115</t>
  </si>
  <si>
    <t>Plantronics 81402</t>
  </si>
  <si>
    <t>CA-2016-134348</t>
  </si>
  <si>
    <t>MS-17710</t>
  </si>
  <si>
    <t>Maurice Satty</t>
  </si>
  <si>
    <t>Mesa</t>
  </si>
  <si>
    <t>TEC-AC-10003447</t>
  </si>
  <si>
    <t>Micropad Numeric Keypads</t>
  </si>
  <si>
    <t>US-2016-143819</t>
  </si>
  <si>
    <t>KD-16270</t>
  </si>
  <si>
    <t>Karen Daniels</t>
  </si>
  <si>
    <t>Yonkers</t>
  </si>
  <si>
    <t>TEC-MA-10003979</t>
  </si>
  <si>
    <t>Ativa V4110MDD Micro-Cut Shredder</t>
  </si>
  <si>
    <t>CA-2016-166163</t>
  </si>
  <si>
    <t>CY-12745</t>
  </si>
  <si>
    <t>Craig Yedwab</t>
  </si>
  <si>
    <t>Oakland</t>
  </si>
  <si>
    <t>CA-2017-158407</t>
  </si>
  <si>
    <t>LW-16990</t>
  </si>
  <si>
    <t>Lindsay Williams</t>
  </si>
  <si>
    <t>TEC-PH-10001819</t>
  </si>
  <si>
    <t>Innergie mMini Combo Duo USB Travel Charging Kit</t>
  </si>
  <si>
    <t>CA-2015-143490</t>
  </si>
  <si>
    <t>TEC-PH-10000576</t>
  </si>
  <si>
    <t>AT&amp;T 1080 Corded phone</t>
  </si>
  <si>
    <t>CA-2016-107216</t>
  </si>
  <si>
    <t>PV-18985</t>
  </si>
  <si>
    <t>Paul Van Hugh</t>
  </si>
  <si>
    <t>TEC-AC-10001013</t>
  </si>
  <si>
    <t>Logitech ClearChat Comfort/USB Headset H390</t>
  </si>
  <si>
    <t>US-2016-110156</t>
  </si>
  <si>
    <t>TEC-PH-10003589</t>
  </si>
  <si>
    <t>invisibleSHIELD by ZAGG Smudge-Free Screen Protector</t>
  </si>
  <si>
    <t>CA-2017-140585</t>
  </si>
  <si>
    <t>Encinitas</t>
  </si>
  <si>
    <t>CA-2015-142755</t>
  </si>
  <si>
    <t>CS-12355</t>
  </si>
  <si>
    <t>Christine Sundaresam</t>
  </si>
  <si>
    <t>Roswell</t>
  </si>
  <si>
    <t>Georgia</t>
  </si>
  <si>
    <t>US-2014-147627</t>
  </si>
  <si>
    <t>HL-15040</t>
  </si>
  <si>
    <t>Hunter Lopez</t>
  </si>
  <si>
    <t>Jonesboro</t>
  </si>
  <si>
    <t>Arkansas</t>
  </si>
  <si>
    <t>TEC-PH-10001061</t>
  </si>
  <si>
    <t>Apple iPhone 5C</t>
  </si>
  <si>
    <t>CA-2014-146969</t>
  </si>
  <si>
    <t>AP-10915</t>
  </si>
  <si>
    <t>Arthur Prichep</t>
  </si>
  <si>
    <t>TEC-MA-10004241</t>
  </si>
  <si>
    <t>Star Micronics TSP800 TSP847IIU Receipt Printer</t>
  </si>
  <si>
    <t>CA-2015-112452</t>
  </si>
  <si>
    <t>NC-18340</t>
  </si>
  <si>
    <t>Nat Carroll</t>
  </si>
  <si>
    <t>Lansing</t>
  </si>
  <si>
    <t>TEC-PH-10000307</t>
  </si>
  <si>
    <t>Shocksock Galaxy S4 Armband</t>
  </si>
  <si>
    <t>TEC-CO-10004202</t>
  </si>
  <si>
    <t>Brother DCP1000 Digital 3 in 1 Multifunction Machine</t>
  </si>
  <si>
    <t>CA-2014-127964</t>
  </si>
  <si>
    <t>AP-10720</t>
  </si>
  <si>
    <t>Anne Pryor</t>
  </si>
  <si>
    <t>TEC-PH-10004700</t>
  </si>
  <si>
    <t>PowerGen Dual USB Car Charger</t>
  </si>
  <si>
    <t>CA-2015-125416</t>
  </si>
  <si>
    <t>CA-2016-113621</t>
  </si>
  <si>
    <t>Rockville</t>
  </si>
  <si>
    <t>Maryland</t>
  </si>
  <si>
    <t>CA-2016-168081</t>
  </si>
  <si>
    <t>CA-12055</t>
  </si>
  <si>
    <t>Cathy Armstrong</t>
  </si>
  <si>
    <t>CA-2014-128146</t>
  </si>
  <si>
    <t>Lakewood</t>
  </si>
  <si>
    <t>TEC-PH-10004539</t>
  </si>
  <si>
    <t>Wireless Extenders zBoost YX545 SOHO Signal Booster</t>
  </si>
  <si>
    <t>CA-2017-138779</t>
  </si>
  <si>
    <t>TEC-PH-10003655</t>
  </si>
  <si>
    <t>Sannysis Cute Owl Design Soft Skin Case Cover for Samsung Galaxy S4</t>
  </si>
  <si>
    <t>CA-2017-117212</t>
  </si>
  <si>
    <t>BT-11530</t>
  </si>
  <si>
    <t>Bradley Talbott</t>
  </si>
  <si>
    <t>TEC-PH-10004447</t>
  </si>
  <si>
    <t>Toshiba IPT2010-SD IP Telephone</t>
  </si>
  <si>
    <t>CA-2016-130946</t>
  </si>
  <si>
    <t>TEC-AC-10001990</t>
  </si>
  <si>
    <t>Kensington Orbit Wireless Mobile Trackball for PC and Mac</t>
  </si>
  <si>
    <t>CA-2017-133235</t>
  </si>
  <si>
    <t>LH-16750</t>
  </si>
  <si>
    <t>Larry Hughes</t>
  </si>
  <si>
    <t>US-2017-118087</t>
  </si>
  <si>
    <t>SP-20620</t>
  </si>
  <si>
    <t>Stefania Perrino</t>
  </si>
  <si>
    <t>TEC-PH-10002200</t>
  </si>
  <si>
    <t>Samsung Galaxy Note 2</t>
  </si>
  <si>
    <t>CA-2014-110184</t>
  </si>
  <si>
    <t>BF-11170</t>
  </si>
  <si>
    <t>Ben Ferrer</t>
  </si>
  <si>
    <t>TEC-PH-10000439</t>
  </si>
  <si>
    <t>GE DSL Phone Line Filter</t>
  </si>
  <si>
    <t>CA-2016-126004</t>
  </si>
  <si>
    <t>CA-2016-153682</t>
  </si>
  <si>
    <t>BG-11695</t>
  </si>
  <si>
    <t>Brooke Gillingham</t>
  </si>
  <si>
    <t>Cincinnati</t>
  </si>
  <si>
    <t>TEC-CO-10001046</t>
  </si>
  <si>
    <t>Canon Imageclass D680 Copier / Fax</t>
  </si>
  <si>
    <t>CA-2016-128727</t>
  </si>
  <si>
    <t>MO-17800</t>
  </si>
  <si>
    <t>Meg O'Connel</t>
  </si>
  <si>
    <t>TEC-PH-10003442</t>
  </si>
  <si>
    <t>Samsung Replacement EH64AVFWE Premium Headset</t>
  </si>
  <si>
    <t>CA-2015-154956</t>
  </si>
  <si>
    <t>IM-15070</t>
  </si>
  <si>
    <t>Irene Maddox</t>
  </si>
  <si>
    <t>TEC-PH-10004165</t>
  </si>
  <si>
    <t>Mitel MiVoice 5330e IP Phone</t>
  </si>
  <si>
    <t>CA-2017-144638</t>
  </si>
  <si>
    <t>MH-18115</t>
  </si>
  <si>
    <t>Mick Hernandez</t>
  </si>
  <si>
    <t>Chester</t>
  </si>
  <si>
    <t>US-2016-168620</t>
  </si>
  <si>
    <t>CA-2017-117079</t>
  </si>
  <si>
    <t>JR-15700</t>
  </si>
  <si>
    <t>Jocasta Rupert</t>
  </si>
  <si>
    <t>TEC-PH-10004586</t>
  </si>
  <si>
    <t>Wilson SignalBoost 841262 DB PRO Amplifier Kit</t>
  </si>
  <si>
    <t>CA-2016-155992</t>
  </si>
  <si>
    <t>CC-12220</t>
  </si>
  <si>
    <t>Chris Cortes</t>
  </si>
  <si>
    <t>La Porte</t>
  </si>
  <si>
    <t>CA-2016-119186</t>
  </si>
  <si>
    <t>TEC-AC-10000580</t>
  </si>
  <si>
    <t>Logitech G13 Programmable Gameboard with LCD Display</t>
  </si>
  <si>
    <t>CA-2014-163293</t>
  </si>
  <si>
    <t>KC-16255</t>
  </si>
  <si>
    <t>Karen Carlisle</t>
  </si>
  <si>
    <t>Macon</t>
  </si>
  <si>
    <t>TEC-AC-10004209</t>
  </si>
  <si>
    <t>Memorex Froggy Flash Drive 4 GB</t>
  </si>
  <si>
    <t>TEC-AC-10000023</t>
  </si>
  <si>
    <t>Maxell 74 Minute CD-R Spindle, 50/Pack</t>
  </si>
  <si>
    <t>CA-2016-160815</t>
  </si>
  <si>
    <t>Cedar Rapids</t>
  </si>
  <si>
    <t>TEC-PH-10003505</t>
  </si>
  <si>
    <t>Geemarc AmpliPOWER60</t>
  </si>
  <si>
    <t>CA-2016-134425</t>
  </si>
  <si>
    <t>QJ-19255</t>
  </si>
  <si>
    <t>Quincy Jones</t>
  </si>
  <si>
    <t>Saint Paul</t>
  </si>
  <si>
    <t>US-2017-126179</t>
  </si>
  <si>
    <t>CS-12460</t>
  </si>
  <si>
    <t>Chuck Sachs</t>
  </si>
  <si>
    <t>CA-2016-101966</t>
  </si>
  <si>
    <t>TEC-PH-10003437</t>
  </si>
  <si>
    <t>Blue Parrot B250XT Professional Grade Wireless Bluetooth Headset with</t>
  </si>
  <si>
    <t>CA-2017-157651</t>
  </si>
  <si>
    <t>TEC-AC-10003116</t>
  </si>
  <si>
    <t>Memorex Froggy Flash Drive 8 GB</t>
  </si>
  <si>
    <t>CA-2014-160773</t>
  </si>
  <si>
    <t>LW-16825</t>
  </si>
  <si>
    <t>Laurel Workman</t>
  </si>
  <si>
    <t>Deltona</t>
  </si>
  <si>
    <t>CA-2017-127705</t>
  </si>
  <si>
    <t>AB-10255</t>
  </si>
  <si>
    <t>Alejandro Ballentine</t>
  </si>
  <si>
    <t>Lorain</t>
  </si>
  <si>
    <t>CA-2017-100524</t>
  </si>
  <si>
    <t>CM-12115</t>
  </si>
  <si>
    <t>Chad McGuire</t>
  </si>
  <si>
    <t>TEC-PH-10002549</t>
  </si>
  <si>
    <t>Polycom SoundPoint IP 450 VoIP phone</t>
  </si>
  <si>
    <t>CA-2017-113481</t>
  </si>
  <si>
    <t>AS-10045</t>
  </si>
  <si>
    <t>Aaron Smayling</t>
  </si>
  <si>
    <t>TEC-MA-10002178</t>
  </si>
  <si>
    <t>Cisco CP-7937G Unified IP Conference Station Phone</t>
  </si>
  <si>
    <t>CA-2017-162978</t>
  </si>
  <si>
    <t>CA-2017-125199</t>
  </si>
  <si>
    <t>HM-14860</t>
  </si>
  <si>
    <t>Harry Marie</t>
  </si>
  <si>
    <t>TEC-PH-10001336</t>
  </si>
  <si>
    <t>Digium D40 VoIP phone</t>
  </si>
  <si>
    <t>US-2017-155425</t>
  </si>
  <si>
    <t>AB-10600</t>
  </si>
  <si>
    <t>Ann Blume</t>
  </si>
  <si>
    <t>TEC-MA-10003183</t>
  </si>
  <si>
    <t>DYMO CardScan Personal V9 Business Card Scanner</t>
  </si>
  <si>
    <t>TEC-AC-10001314</t>
  </si>
  <si>
    <t>Case Logic 2.4GHz Wireless Keyboard</t>
  </si>
  <si>
    <t>CA-2017-136672</t>
  </si>
  <si>
    <t>MG-17890</t>
  </si>
  <si>
    <t>Michael Granlund</t>
  </si>
  <si>
    <t>Clinton</t>
  </si>
  <si>
    <t>TEC-AC-10004510</t>
  </si>
  <si>
    <t>Logitech Desktop MK120 Mouse and keyboard Combo</t>
  </si>
  <si>
    <t>CA-2014-126361</t>
  </si>
  <si>
    <t>VD-21670</t>
  </si>
  <si>
    <t>Valerie Dominguez</t>
  </si>
  <si>
    <t>Pleasant Grove</t>
  </si>
  <si>
    <t>Utah</t>
  </si>
  <si>
    <t>TEC-PH-10002310</t>
  </si>
  <si>
    <t>Panasonic KX T7731-B Digital phone</t>
  </si>
  <si>
    <t>US-2016-108504</t>
  </si>
  <si>
    <t>PP-18955</t>
  </si>
  <si>
    <t>Paul Prost</t>
  </si>
  <si>
    <t>Smyrna</t>
  </si>
  <si>
    <t>CA-2016-124485</t>
  </si>
  <si>
    <t>CA-2016-159212</t>
  </si>
  <si>
    <t>KM-16375</t>
  </si>
  <si>
    <t>Katherine Murray</t>
  </si>
  <si>
    <t>US-2014-118486</t>
  </si>
  <si>
    <t>CA-2017-115994</t>
  </si>
  <si>
    <t>BT-11305</t>
  </si>
  <si>
    <t>Beth Thompson</t>
  </si>
  <si>
    <t>Costa Mesa</t>
  </si>
  <si>
    <t>CA-2015-126697</t>
  </si>
  <si>
    <t>SV-20815</t>
  </si>
  <si>
    <t>Stuart Van</t>
  </si>
  <si>
    <t>TEC-PH-10002922</t>
  </si>
  <si>
    <t>ShoreTel ShorePhone IP 230 VoIP phone</t>
  </si>
  <si>
    <t>CA-2015-124800</t>
  </si>
  <si>
    <t>RW-19540</t>
  </si>
  <si>
    <t>Rick Wilson</t>
  </si>
  <si>
    <t>TEC-PH-10001750</t>
  </si>
  <si>
    <t>Samsung Rugby III</t>
  </si>
  <si>
    <t>CA-2017-122700</t>
  </si>
  <si>
    <t>LT-17110</t>
  </si>
  <si>
    <t>Liz Thompson</t>
  </si>
  <si>
    <t>CA-2015-139731</t>
  </si>
  <si>
    <t>Amarillo</t>
  </si>
  <si>
    <t>TEC-AC-10004975</t>
  </si>
  <si>
    <t>Plantronics Audio 995 Wireless Stereo Headset</t>
  </si>
  <si>
    <t>CA-2016-133725</t>
  </si>
  <si>
    <t>CA-2017-102337</t>
  </si>
  <si>
    <t>TEC-PH-10002564</t>
  </si>
  <si>
    <t>OtterBox Defender Series Case - Samsung Galaxy S4</t>
  </si>
  <si>
    <t>CA-2015-145821</t>
  </si>
  <si>
    <t>TEC-PH-10004348</t>
  </si>
  <si>
    <t>OtterBox Defender Series Case - iPhone 5c</t>
  </si>
  <si>
    <t>CA-2016-133711</t>
  </si>
  <si>
    <t>MC-17425</t>
  </si>
  <si>
    <t>Mark Cousins</t>
  </si>
  <si>
    <t>Mobile</t>
  </si>
  <si>
    <t>TEC-MA-10000010</t>
  </si>
  <si>
    <t>Hewlett-Packard Deskjet 3050a All-in-One Color Inkjet Printer</t>
  </si>
  <si>
    <t>CA-2016-152289</t>
  </si>
  <si>
    <t>CA-2014-151708</t>
  </si>
  <si>
    <t>MB-17305</t>
  </si>
  <si>
    <t>Maria Bertelson</t>
  </si>
  <si>
    <t>Glendale</t>
  </si>
  <si>
    <t>CA-2015-100769</t>
  </si>
  <si>
    <t>CA-2017-121468</t>
  </si>
  <si>
    <t>KD-16345</t>
  </si>
  <si>
    <t>Katherine Ducich</t>
  </si>
  <si>
    <t>Westminster</t>
  </si>
  <si>
    <t>US-2016-108098</t>
  </si>
  <si>
    <t>CP-12340</t>
  </si>
  <si>
    <t>Christine Phan</t>
  </si>
  <si>
    <t>TEC-AC-10000865</t>
  </si>
  <si>
    <t>WD My Passport Ultra 500GB Portable External Hard Drive</t>
  </si>
  <si>
    <t>CA-2015-140410</t>
  </si>
  <si>
    <t>CM-12655</t>
  </si>
  <si>
    <t>Corinna Mitchell</t>
  </si>
  <si>
    <t>TEC-PH-10003580</t>
  </si>
  <si>
    <t>Cisco IP Phone 7961G-GE VoIP phone</t>
  </si>
  <si>
    <t>TEC-AC-10001109</t>
  </si>
  <si>
    <t>Logitech Trackman Marble Mouse</t>
  </si>
  <si>
    <t>CA-2016-100468</t>
  </si>
  <si>
    <t>AT-10435</t>
  </si>
  <si>
    <t>Alyssa Tate</t>
  </si>
  <si>
    <t>TEC-PH-10001300</t>
  </si>
  <si>
    <t>iKross Bluetooth Portable Keyboard + Cell Phone Stand Holder + Brush for Apple iPhone 5S 5C 5, 4S 4</t>
  </si>
  <si>
    <t>CA-2016-134208</t>
  </si>
  <si>
    <t>CS-12505</t>
  </si>
  <si>
    <t>Cindy Stewart</t>
  </si>
  <si>
    <t>TEC-MA-10004458</t>
  </si>
  <si>
    <t>Lexmark X 9575 Professional All-in-One Color Printer</t>
  </si>
  <si>
    <t>CA-2017-121888</t>
  </si>
  <si>
    <t>CL-11890</t>
  </si>
  <si>
    <t>Carl Ludwig</t>
  </si>
  <si>
    <t>Everett</t>
  </si>
  <si>
    <t>Massachusetts</t>
  </si>
  <si>
    <t>CA-2014-134278</t>
  </si>
  <si>
    <t>EP-13915</t>
  </si>
  <si>
    <t>Emily Phan</t>
  </si>
  <si>
    <t>CA-2017-120761</t>
  </si>
  <si>
    <t>AB-10150</t>
  </si>
  <si>
    <t>Aimee Bixby</t>
  </si>
  <si>
    <t>Long Beach</t>
  </si>
  <si>
    <t>CA-2015-132101</t>
  </si>
  <si>
    <t>JO-15550</t>
  </si>
  <si>
    <t>Jesus Ocampo</t>
  </si>
  <si>
    <t>CA-2015-129112</t>
  </si>
  <si>
    <t>AW-10840</t>
  </si>
  <si>
    <t>Anthony Witt</t>
  </si>
  <si>
    <t>Allen</t>
  </si>
  <si>
    <t>TEC-AC-10003038</t>
  </si>
  <si>
    <t>Kingston Digital DataTraveler 16GB USB 2.0</t>
  </si>
  <si>
    <t>US-2014-157385</t>
  </si>
  <si>
    <t>SC-20095</t>
  </si>
  <si>
    <t>Sanjit Chand</t>
  </si>
  <si>
    <t>TEC-AC-10003280</t>
  </si>
  <si>
    <t>Belkin F8E887 USB Wired Ergonomic Keyboard</t>
  </si>
  <si>
    <t>CA-2014-101602</t>
  </si>
  <si>
    <t>MC-18100</t>
  </si>
  <si>
    <t>Mick Crebagga</t>
  </si>
  <si>
    <t>El Paso</t>
  </si>
  <si>
    <t>TEC-PH-10000169</t>
  </si>
  <si>
    <t>ARKON Windshield Dashboard Air Vent Car Mount Holder</t>
  </si>
  <si>
    <t>CA-2015-131338</t>
  </si>
  <si>
    <t>CA-2015-122826</t>
  </si>
  <si>
    <t>RD-19480</t>
  </si>
  <si>
    <t>Rick Duston</t>
  </si>
  <si>
    <t>Olympia</t>
  </si>
  <si>
    <t>TEC-PH-10004830</t>
  </si>
  <si>
    <t>Pyle PRT45 Retro Home Telephone</t>
  </si>
  <si>
    <t>US-2016-115819</t>
  </si>
  <si>
    <t>JO-15280</t>
  </si>
  <si>
    <t>Jas O'Carroll</t>
  </si>
  <si>
    <t>CA-2014-156349</t>
  </si>
  <si>
    <t>ML-17395</t>
  </si>
  <si>
    <t>Marina Lichtenstein</t>
  </si>
  <si>
    <t>TEC-PH-10000441</t>
  </si>
  <si>
    <t>VTech DS6151</t>
  </si>
  <si>
    <t>US-2016-113509</t>
  </si>
  <si>
    <t>PL-18925</t>
  </si>
  <si>
    <t>Paul Lucas</t>
  </si>
  <si>
    <t>TEC-AC-10004855</t>
  </si>
  <si>
    <t>V7 USB Numeric Keypad</t>
  </si>
  <si>
    <t>CA-2017-108560</t>
  </si>
  <si>
    <t>JC-15385</t>
  </si>
  <si>
    <t>Jenna Caffey</t>
  </si>
  <si>
    <t>Kent</t>
  </si>
  <si>
    <t>TEC-AC-10003063</t>
  </si>
  <si>
    <t>Micro Innovations USB RF Wireless Keyboard with Mouse</t>
  </si>
  <si>
    <t>CA-2015-157084</t>
  </si>
  <si>
    <t>JG-15160</t>
  </si>
  <si>
    <t>James Galang</t>
  </si>
  <si>
    <t>Plantronics Savi W720 Multi-Device Wireless Headset System</t>
  </si>
  <si>
    <t>CA-2016-106530</t>
  </si>
  <si>
    <t>CL-12565</t>
  </si>
  <si>
    <t>Clay Ludtke</t>
  </si>
  <si>
    <t>Cleveland</t>
  </si>
  <si>
    <t>CA-2014-168984</t>
  </si>
  <si>
    <t>NW-18400</t>
  </si>
  <si>
    <t>Natalie Webber</t>
  </si>
  <si>
    <t>Tigard</t>
  </si>
  <si>
    <t>TEC-PH-10000038</t>
  </si>
  <si>
    <t>Jawbone MINI JAMBOX Wireless Bluetooth Speaker</t>
  </si>
  <si>
    <t>CA-2015-111829</t>
  </si>
  <si>
    <t>FH-14365</t>
  </si>
  <si>
    <t>Fred Hopkins</t>
  </si>
  <si>
    <t>TEC-CO-10001766</t>
  </si>
  <si>
    <t>Canon PC940 Copier</t>
  </si>
  <si>
    <t>CA-2015-105221</t>
  </si>
  <si>
    <t>VM-21685</t>
  </si>
  <si>
    <t>Valerie Mitchum</t>
  </si>
  <si>
    <t>CA-2015-120341</t>
  </si>
  <si>
    <t>SF-20200</t>
  </si>
  <si>
    <t>Sarah Foster</t>
  </si>
  <si>
    <t>TEC-PH-10003357</t>
  </si>
  <si>
    <t>Grandstream GXP2100 Mainstream Business Phone</t>
  </si>
  <si>
    <t>US-2017-132444</t>
  </si>
  <si>
    <t>CD-12280</t>
  </si>
  <si>
    <t>Christina DeMoss</t>
  </si>
  <si>
    <t>CA-2017-161809</t>
  </si>
  <si>
    <t>TH-21100</t>
  </si>
  <si>
    <t>Thea Hendricks</t>
  </si>
  <si>
    <t>TEC-PH-10004922</t>
  </si>
  <si>
    <t>RCA Visys Integrated PBX 8-Line Router</t>
  </si>
  <si>
    <t>CA-2017-144526</t>
  </si>
  <si>
    <t>CA-2016-128531</t>
  </si>
  <si>
    <t>NS-18505</t>
  </si>
  <si>
    <t>Neola Schneider</t>
  </si>
  <si>
    <t>TEC-AC-10003023</t>
  </si>
  <si>
    <t>Logitech G105 Gaming Keyboard</t>
  </si>
  <si>
    <t>CA-2017-159457</t>
  </si>
  <si>
    <t>TEC-PH-10002185</t>
  </si>
  <si>
    <t>QVS USB Car Charger 2-Port 2.1Amp for iPod/iPhone/iPad/iPad 2/iPad 3</t>
  </si>
  <si>
    <t>CA-2016-107615</t>
  </si>
  <si>
    <t>RB-19645</t>
  </si>
  <si>
    <t>Robert Barroso</t>
  </si>
  <si>
    <t>North Las Vegas</t>
  </si>
  <si>
    <t>Nevada</t>
  </si>
  <si>
    <t>CA-2017-111647</t>
  </si>
  <si>
    <t>RD-19585</t>
  </si>
  <si>
    <t>Rob Dowd</t>
  </si>
  <si>
    <t>Plano</t>
  </si>
  <si>
    <t>CA-2014-122882</t>
  </si>
  <si>
    <t>TEC-MA-10004679</t>
  </si>
  <si>
    <t>StarTech.com 10/100 VDSL2 Ethernet Extender Kit</t>
  </si>
  <si>
    <t>US-2016-158708</t>
  </si>
  <si>
    <t>TEC-AC-10003133</t>
  </si>
  <si>
    <t>Memorex Mini Travel Drive 4 GB USB 2.0 Flash Drive</t>
  </si>
  <si>
    <t>CA-2015-156335</t>
  </si>
  <si>
    <t>Bayonne</t>
  </si>
  <si>
    <t>TEC-AC-10002006</t>
  </si>
  <si>
    <t>Memorex Micro Travel Drive 16 GB</t>
  </si>
  <si>
    <t>CA-2017-123491</t>
  </si>
  <si>
    <t>JK-15205</t>
  </si>
  <si>
    <t>Jamie Kunitz</t>
  </si>
  <si>
    <t>US-2015-123218</t>
  </si>
  <si>
    <t>TEC-AC-10000736</t>
  </si>
  <si>
    <t>Logitech G600 MMO Gaming Mouse</t>
  </si>
  <si>
    <t>CA-2016-106894</t>
  </si>
  <si>
    <t>CA-12265</t>
  </si>
  <si>
    <t>Christina Anderson</t>
  </si>
  <si>
    <t>CA-2017-101483</t>
  </si>
  <si>
    <t>CA-2015-130204</t>
  </si>
  <si>
    <t>DB-13120</t>
  </si>
  <si>
    <t>David Bremer</t>
  </si>
  <si>
    <t>TEC-AC-10003590</t>
  </si>
  <si>
    <t>TRENDnet 56K USB 2.0 Phone, Internet and Fax Modem</t>
  </si>
  <si>
    <t>CA-2017-152807</t>
  </si>
  <si>
    <t>CA-2015-135622</t>
  </si>
  <si>
    <t>TT-21460</t>
  </si>
  <si>
    <t>Tonja Turnell</t>
  </si>
  <si>
    <t>TEC-PH-10001817</t>
  </si>
  <si>
    <t>Wilson Electronics DB Pro Signal Booster</t>
  </si>
  <si>
    <t>CA-2014-139017</t>
  </si>
  <si>
    <t>RM-19375</t>
  </si>
  <si>
    <t>Raymond Messe</t>
  </si>
  <si>
    <t>CA-2016-129686</t>
  </si>
  <si>
    <t>GG-14650</t>
  </si>
  <si>
    <t>Greg Guthrie</t>
  </si>
  <si>
    <t>CA-2016-124667</t>
  </si>
  <si>
    <t>BD-11770</t>
  </si>
  <si>
    <t>Bryan Davis</t>
  </si>
  <si>
    <t>CA-2017-166317</t>
  </si>
  <si>
    <t>JE-15610</t>
  </si>
  <si>
    <t>Jim Epp</t>
  </si>
  <si>
    <t>TEC-PH-10001615</t>
  </si>
  <si>
    <t>AT&amp;T CL82213</t>
  </si>
  <si>
    <t>CA-2015-154326</t>
  </si>
  <si>
    <t>RP-19855</t>
  </si>
  <si>
    <t>Roy Phan</t>
  </si>
  <si>
    <t>Kenosha</t>
  </si>
  <si>
    <t>TEC-AC-10004568</t>
  </si>
  <si>
    <t>Maxell LTO Ultrium - 800 GB</t>
  </si>
  <si>
    <t>US-2017-139465</t>
  </si>
  <si>
    <t>MR-17545</t>
  </si>
  <si>
    <t>Mathew Reese</t>
  </si>
  <si>
    <t>TEC-PH-10000455</t>
  </si>
  <si>
    <t>GE 30522EE2</t>
  </si>
  <si>
    <t>CA-2017-158379</t>
  </si>
  <si>
    <t>TEC-AC-10002926</t>
  </si>
  <si>
    <t>Logitech Wireless Marathon Mouse M705</t>
  </si>
  <si>
    <t>US-2016-116729</t>
  </si>
  <si>
    <t>CA-2016-164938</t>
  </si>
  <si>
    <t>PB-19210</t>
  </si>
  <si>
    <t>Phillip Breyer</t>
  </si>
  <si>
    <t>Tulsa</t>
  </si>
  <si>
    <t>TEC-PH-10004897</t>
  </si>
  <si>
    <t>Mediabridge Sport Armband iPhone 5s</t>
  </si>
  <si>
    <t>CA-2016-109344</t>
  </si>
  <si>
    <t>CH-12070</t>
  </si>
  <si>
    <t>Cathy Hwang</t>
  </si>
  <si>
    <t>Raleigh</t>
  </si>
  <si>
    <t>TEC-PH-10002624</t>
  </si>
  <si>
    <t>Samsung Galaxy S4 Mini</t>
  </si>
  <si>
    <t>CA-2014-103373</t>
  </si>
  <si>
    <t>BS-11755</t>
  </si>
  <si>
    <t>Bruce Stewart</t>
  </si>
  <si>
    <t>TEC-PH-10002885</t>
  </si>
  <si>
    <t>Apple iPhone 5</t>
  </si>
  <si>
    <t>CA-2017-145884</t>
  </si>
  <si>
    <t>SL-20155</t>
  </si>
  <si>
    <t>Sara Luxemburg</t>
  </si>
  <si>
    <t>Muskogee</t>
  </si>
  <si>
    <t>TEC-PH-10000895</t>
  </si>
  <si>
    <t>Polycom VVX 310 VoIP phone</t>
  </si>
  <si>
    <t>CA-2017-162691</t>
  </si>
  <si>
    <t>TEC-MA-10000488</t>
  </si>
  <si>
    <t>Bady BDG101FRU Card Printer</t>
  </si>
  <si>
    <t>US-2017-113852</t>
  </si>
  <si>
    <t>GW-14605</t>
  </si>
  <si>
    <t>Giulietta Weimer</t>
  </si>
  <si>
    <t>CA-2015-160472</t>
  </si>
  <si>
    <t>RK-19300</t>
  </si>
  <si>
    <t>Ralph Kennedy</t>
  </si>
  <si>
    <t>South Bend</t>
  </si>
  <si>
    <t>CA-2015-121608</t>
  </si>
  <si>
    <t>Bristol</t>
  </si>
  <si>
    <t>Connecticut</t>
  </si>
  <si>
    <t>TEC-PH-10004959</t>
  </si>
  <si>
    <t>Classic Ivory Antique Telephone ZL1810</t>
  </si>
  <si>
    <t>US-2017-121251</t>
  </si>
  <si>
    <t>GM-14440</t>
  </si>
  <si>
    <t>Gary McGarr</t>
  </si>
  <si>
    <t>US-2017-116659</t>
  </si>
  <si>
    <t>Newark</t>
  </si>
  <si>
    <t>TEC-PH-10002824</t>
  </si>
  <si>
    <t>Jabra SPEAK 410 Multidevice Speakerphone</t>
  </si>
  <si>
    <t>CA-2017-112039</t>
  </si>
  <si>
    <t>JC-15775</t>
  </si>
  <si>
    <t>John Castell</t>
  </si>
  <si>
    <t>CA-2017-118885</t>
  </si>
  <si>
    <t>CA-2016-151141</t>
  </si>
  <si>
    <t>DW-13480</t>
  </si>
  <si>
    <t>Dianna Wilson</t>
  </si>
  <si>
    <t>TEC-PH-10004924</t>
  </si>
  <si>
    <t>SKILCRAFT Telephone Shoulder Rest, 2" x 6.5" x 2.5", Black</t>
  </si>
  <si>
    <t>CA-2017-167094</t>
  </si>
  <si>
    <t>DK-12835</t>
  </si>
  <si>
    <t>Damala Kotsonis</t>
  </si>
  <si>
    <t>CA-2016-105963</t>
  </si>
  <si>
    <t>SC-20770</t>
  </si>
  <si>
    <t>Stewart Carmichael</t>
  </si>
  <si>
    <t>CA-2017-121503</t>
  </si>
  <si>
    <t>FH-14275</t>
  </si>
  <si>
    <t>Frank Hawley</t>
  </si>
  <si>
    <t>TEC-MA-10003674</t>
  </si>
  <si>
    <t>Hewlett-Packard Deskjet 5550 Printer</t>
  </si>
  <si>
    <t>CA-2014-103366</t>
  </si>
  <si>
    <t>EH-13990</t>
  </si>
  <si>
    <t>Erica Hackney</t>
  </si>
  <si>
    <t>CA-2015-123673</t>
  </si>
  <si>
    <t>TEC-PH-10001809</t>
  </si>
  <si>
    <t>Panasonic KX T7736-B Digital phone</t>
  </si>
  <si>
    <t>CA-2016-156685</t>
  </si>
  <si>
    <t>SC-20230</t>
  </si>
  <si>
    <t>Scot Coram</t>
  </si>
  <si>
    <t>Arlington</t>
  </si>
  <si>
    <t>TEC-PH-10004345</t>
  </si>
  <si>
    <t>Cisco SPA 502G IP Phone</t>
  </si>
  <si>
    <t>CA-2017-102834</t>
  </si>
  <si>
    <t>US-2016-139710</t>
  </si>
  <si>
    <t>GM-14680</t>
  </si>
  <si>
    <t>Greg Matthias</t>
  </si>
  <si>
    <t>TEC-PH-10001198</t>
  </si>
  <si>
    <t>Avaya 4621SW VoIP phone</t>
  </si>
  <si>
    <t>US-2017-101539</t>
  </si>
  <si>
    <t>CA-2016-152121</t>
  </si>
  <si>
    <t>TEC-PH-10002483</t>
  </si>
  <si>
    <t>Motorola Moto X</t>
  </si>
  <si>
    <t>CA-2017-101245</t>
  </si>
  <si>
    <t>TEC-AC-10001284</t>
  </si>
  <si>
    <t>Enermax Briskie RF Wireless Keyboard and Mouse Combo</t>
  </si>
  <si>
    <t>CA-2016-108581</t>
  </si>
  <si>
    <t>EA-14035</t>
  </si>
  <si>
    <t>Erin Ashbrook</t>
  </si>
  <si>
    <t>Carrollton</t>
  </si>
  <si>
    <t>CA-2017-157987</t>
  </si>
  <si>
    <t>AC-10615</t>
  </si>
  <si>
    <t>Ann Chong</t>
  </si>
  <si>
    <t>TEC-AC-10002842</t>
  </si>
  <si>
    <t>WD My Passport Ultra 2TB Portable External Hard Drive</t>
  </si>
  <si>
    <t>CA-2017-110905</t>
  </si>
  <si>
    <t>RW-19690</t>
  </si>
  <si>
    <t>Robert Waldorf</t>
  </si>
  <si>
    <t>TEC-AC-10002217</t>
  </si>
  <si>
    <t>Imation Clip USB flash drive - 8 GB</t>
  </si>
  <si>
    <t>CA-2017-165841</t>
  </si>
  <si>
    <t>Paterson</t>
  </si>
  <si>
    <t>CA-2017-117485</t>
  </si>
  <si>
    <t>BD-11320</t>
  </si>
  <si>
    <t>Bill Donatelli</t>
  </si>
  <si>
    <t>CA-2017-140242</t>
  </si>
  <si>
    <t>ML-17755</t>
  </si>
  <si>
    <t>Max Ludwig</t>
  </si>
  <si>
    <t>CA-2014-148950</t>
  </si>
  <si>
    <t>JD-16015</t>
  </si>
  <si>
    <t>Joy Daniels</t>
  </si>
  <si>
    <t>TEC-AC-10002718</t>
  </si>
  <si>
    <t>Belkin Standard 104 key USB Keyboard</t>
  </si>
  <si>
    <t>CA-2014-110408</t>
  </si>
  <si>
    <t>AS-10225</t>
  </si>
  <si>
    <t>Alan Schoenberger</t>
  </si>
  <si>
    <t>TEC-PH-10002352</t>
  </si>
  <si>
    <t>Avaya IP Phone 1140E VoIP phone</t>
  </si>
  <si>
    <t>CA-2014-122749</t>
  </si>
  <si>
    <t>NG-18430</t>
  </si>
  <si>
    <t>Nathan Gelder</t>
  </si>
  <si>
    <t>Oklahoma City</t>
  </si>
  <si>
    <t>TEC-PH-10003811</t>
  </si>
  <si>
    <t>Jabra Supreme Plus Driver Edition Headset</t>
  </si>
  <si>
    <t>CA-2016-147417</t>
  </si>
  <si>
    <t>CB-12415</t>
  </si>
  <si>
    <t>Christy Brittain</t>
  </si>
  <si>
    <t>CA-2014-131905</t>
  </si>
  <si>
    <t>ND-18460</t>
  </si>
  <si>
    <t>Neil Ducich</t>
  </si>
  <si>
    <t>Chesapeake</t>
  </si>
  <si>
    <t>CA-2017-166128</t>
  </si>
  <si>
    <t>LW-17215</t>
  </si>
  <si>
    <t>Luke Weiss</t>
  </si>
  <si>
    <t>CA-2014-111150</t>
  </si>
  <si>
    <t>RW-19630</t>
  </si>
  <si>
    <t>Rob Williams</t>
  </si>
  <si>
    <t>Columbia</t>
  </si>
  <si>
    <t>CA-2015-155761</t>
  </si>
  <si>
    <t>SC-20800</t>
  </si>
  <si>
    <t>Stuart Calhoun</t>
  </si>
  <si>
    <t>CA-2016-131835</t>
  </si>
  <si>
    <t>MC-17590</t>
  </si>
  <si>
    <t>Matt Collister</t>
  </si>
  <si>
    <t>Perth Amboy</t>
  </si>
  <si>
    <t>CA-2017-120376</t>
  </si>
  <si>
    <t>TP-21130</t>
  </si>
  <si>
    <t>Theone Pippenger</t>
  </si>
  <si>
    <t>TEC-AC-10001114</t>
  </si>
  <si>
    <t>Microsoft Wireless Mobile Mouse 4000</t>
  </si>
  <si>
    <t>CA-2014-106439</t>
  </si>
  <si>
    <t>CA-2015-133452</t>
  </si>
  <si>
    <t>Pomona</t>
  </si>
  <si>
    <t>TEC-AC-10002800</t>
  </si>
  <si>
    <t>Plantronics Audio 478 Stereo USB Headset</t>
  </si>
  <si>
    <t>CA-2017-122504</t>
  </si>
  <si>
    <t>DB-13270</t>
  </si>
  <si>
    <t>Deborah Brumfield</t>
  </si>
  <si>
    <t>TEC-AC-10003289</t>
  </si>
  <si>
    <t>Anker Ultra-Slim Mini Bluetooth 3.0 Wireless Keyboard</t>
  </si>
  <si>
    <t>TEC-PH-10002468</t>
  </si>
  <si>
    <t>Plantronics CS 50-USB - headset - Convertible, Monaural</t>
  </si>
  <si>
    <t>CA-2015-120103</t>
  </si>
  <si>
    <t>MS-17365</t>
  </si>
  <si>
    <t>Maribeth Schnelling</t>
  </si>
  <si>
    <t>CA-2017-124401</t>
  </si>
  <si>
    <t>RD-19900</t>
  </si>
  <si>
    <t>Ruben Dartt</t>
  </si>
  <si>
    <t>CA-2017-167101</t>
  </si>
  <si>
    <t>CA-2015-164882</t>
  </si>
  <si>
    <t>SG-20080</t>
  </si>
  <si>
    <t>Sandra Glassco</t>
  </si>
  <si>
    <t>Redlands</t>
  </si>
  <si>
    <t>TEC-PH-10001578</t>
  </si>
  <si>
    <t>Polycom SoundStation2 EX Conference phone</t>
  </si>
  <si>
    <t>CA-2017-144862</t>
  </si>
  <si>
    <t>EH-14005</t>
  </si>
  <si>
    <t>Erica Hernandez</t>
  </si>
  <si>
    <t>TEC-PH-10000923</t>
  </si>
  <si>
    <t>Belkin SportFit Armband For iPhone 5s/5c, Fuchsia</t>
  </si>
  <si>
    <t>CA-2014-126032</t>
  </si>
  <si>
    <t>BS-11665</t>
  </si>
  <si>
    <t>Brian Stugart</t>
  </si>
  <si>
    <t>CA-2015-122210</t>
  </si>
  <si>
    <t>WB-21850</t>
  </si>
  <si>
    <t>William Brown</t>
  </si>
  <si>
    <t>TEC-PH-10002807</t>
  </si>
  <si>
    <t>Motorla HX550 Universal Bluetooth Headset</t>
  </si>
  <si>
    <t>CA-2016-155481</t>
  </si>
  <si>
    <t>CA-2017-102771</t>
  </si>
  <si>
    <t>TEC-PH-10001536</t>
  </si>
  <si>
    <t>Spigen Samsung Galaxy S5 Case Wallet</t>
  </si>
  <si>
    <t>CA-2014-167360</t>
  </si>
  <si>
    <t>RB-19435</t>
  </si>
  <si>
    <t>Richard Bierner</t>
  </si>
  <si>
    <t>Saint Louis</t>
  </si>
  <si>
    <t>CA-2016-154018</t>
  </si>
  <si>
    <t>CA-2017-117870</t>
  </si>
  <si>
    <t>JH-15820</t>
  </si>
  <si>
    <t>John Huston</t>
  </si>
  <si>
    <t>CA-2016-128818</t>
  </si>
  <si>
    <t>CJ-12010</t>
  </si>
  <si>
    <t>Caroline Jumper</t>
  </si>
  <si>
    <t>CA-2016-101378</t>
  </si>
  <si>
    <t>RH-19600</t>
  </si>
  <si>
    <t>Rob Haberlin</t>
  </si>
  <si>
    <t>CA-2017-143063</t>
  </si>
  <si>
    <t>IL-15100</t>
  </si>
  <si>
    <t>Ivan Liston</t>
  </si>
  <si>
    <t>CA-2016-128412</t>
  </si>
  <si>
    <t>US-2014-165659</t>
  </si>
  <si>
    <t>Little Rock</t>
  </si>
  <si>
    <t>US-2014-103905</t>
  </si>
  <si>
    <t>AW-10930</t>
  </si>
  <si>
    <t>Arthur Wiediger</t>
  </si>
  <si>
    <t>CA-2014-125556</t>
  </si>
  <si>
    <t>ML-17410</t>
  </si>
  <si>
    <t>Maris LaWare</t>
  </si>
  <si>
    <t>Fairfield</t>
  </si>
  <si>
    <t>TEC-PH-10001079</t>
  </si>
  <si>
    <t>Polycom SoundPoint Pro SE-225 Corded phone</t>
  </si>
  <si>
    <t>CA-2017-130841</t>
  </si>
  <si>
    <t>MH-17620</t>
  </si>
  <si>
    <t>Matt Hagelstein</t>
  </si>
  <si>
    <t>CA-2015-131884</t>
  </si>
  <si>
    <t>DK-13375</t>
  </si>
  <si>
    <t>Dennis Kane</t>
  </si>
  <si>
    <t>Marion</t>
  </si>
  <si>
    <t>CA-2017-130771</t>
  </si>
  <si>
    <t>CA-2015-123232</t>
  </si>
  <si>
    <t>DJ-13630</t>
  </si>
  <si>
    <t>Doug Jacobs</t>
  </si>
  <si>
    <t>TEC-PH-10001051</t>
  </si>
  <si>
    <t>HTC One</t>
  </si>
  <si>
    <t>CA-2017-104066</t>
  </si>
  <si>
    <t>Vermont</t>
  </si>
  <si>
    <t>US-2016-126893</t>
  </si>
  <si>
    <t>CT-11995</t>
  </si>
  <si>
    <t>Carol Triggs</t>
  </si>
  <si>
    <t>CA-2017-103380</t>
  </si>
  <si>
    <t>BF-11005</t>
  </si>
  <si>
    <t>Barry Franz</t>
  </si>
  <si>
    <t>CA-2016-164091</t>
  </si>
  <si>
    <t>Bangor</t>
  </si>
  <si>
    <t>Maine</t>
  </si>
  <si>
    <t>TEC-PH-10001944</t>
  </si>
  <si>
    <t>Wi-Ex zBoost YX540 Cellular Phone Signal Booster</t>
  </si>
  <si>
    <t>CA-2015-117611</t>
  </si>
  <si>
    <t>MZ-17335</t>
  </si>
  <si>
    <t>Maria Zettner</t>
  </si>
  <si>
    <t>US-2015-137960</t>
  </si>
  <si>
    <t>MW-18220</t>
  </si>
  <si>
    <t>Mitch Webber</t>
  </si>
  <si>
    <t>CA-2016-131065</t>
  </si>
  <si>
    <t>Atlanta</t>
  </si>
  <si>
    <t>TEC-AC-10004145</t>
  </si>
  <si>
    <t>Logitech diNovo Edge Keyboard</t>
  </si>
  <si>
    <t>CA-2015-142944</t>
  </si>
  <si>
    <t>TEC-CO-10003763</t>
  </si>
  <si>
    <t>Canon PC1060 Personal Laser Copier</t>
  </si>
  <si>
    <t>CA-2014-104283</t>
  </si>
  <si>
    <t>LM-17065</t>
  </si>
  <si>
    <t>Liz MacKendrick</t>
  </si>
  <si>
    <t>Southaven</t>
  </si>
  <si>
    <t>CA-2015-153108</t>
  </si>
  <si>
    <t>New Castle</t>
  </si>
  <si>
    <t>CA-2015-149342</t>
  </si>
  <si>
    <t>CA-2015-130995</t>
  </si>
  <si>
    <t>CA-2015-113145</t>
  </si>
  <si>
    <t>TEC-PH-10001527</t>
  </si>
  <si>
    <t>Plantronics MX500i Earset</t>
  </si>
  <si>
    <t>CA-2016-106558</t>
  </si>
  <si>
    <t>DL-13495</t>
  </si>
  <si>
    <t>Dionis Lloyd</t>
  </si>
  <si>
    <t>CA-2017-116225</t>
  </si>
  <si>
    <t>SV-20935</t>
  </si>
  <si>
    <t>Susan Vittorini</t>
  </si>
  <si>
    <t>CA-2017-122035</t>
  </si>
  <si>
    <t>EM-13825</t>
  </si>
  <si>
    <t>Elizabeth Moffitt</t>
  </si>
  <si>
    <t>Sioux Falls</t>
  </si>
  <si>
    <t>South Dakota</t>
  </si>
  <si>
    <t>TEC-AC-10003095</t>
  </si>
  <si>
    <t>Logitech G35 7.1-Channel Surround Sound Headset</t>
  </si>
  <si>
    <t>CA-2017-165491</t>
  </si>
  <si>
    <t>TEC-AC-10000358</t>
  </si>
  <si>
    <t>Imation Secure Drive + Hardware Encrypted USB flash drive - 16 GB</t>
  </si>
  <si>
    <t>US-2014-143231</t>
  </si>
  <si>
    <t>GM-14455</t>
  </si>
  <si>
    <t>Gary Mitchum</t>
  </si>
  <si>
    <t>CA-2015-111514</t>
  </si>
  <si>
    <t>SC-20260</t>
  </si>
  <si>
    <t>Scott Cohen</t>
  </si>
  <si>
    <t>TEC-AC-10004864</t>
  </si>
  <si>
    <t>Memorex Micro Travel Drive 32 GB</t>
  </si>
  <si>
    <t>TEC-MA-10000597</t>
  </si>
  <si>
    <t>Lexmark S315 Color Inkjet Printer</t>
  </si>
  <si>
    <t>CA-2017-155152</t>
  </si>
  <si>
    <t>MP-17965</t>
  </si>
  <si>
    <t>Michael Paige</t>
  </si>
  <si>
    <t>Warwick</t>
  </si>
  <si>
    <t>Rhode Island</t>
  </si>
  <si>
    <t>US-2017-117534</t>
  </si>
  <si>
    <t>CV-12295</t>
  </si>
  <si>
    <t>Christina VanderZanden</t>
  </si>
  <si>
    <t>Fresno</t>
  </si>
  <si>
    <t>TEC-PH-10000141</t>
  </si>
  <si>
    <t>Clearsounds A400</t>
  </si>
  <si>
    <t>TEC-CO-10000971</t>
  </si>
  <si>
    <t>Hewlett Packard 310 Color Digital Copier</t>
  </si>
  <si>
    <t>US-2015-127040</t>
  </si>
  <si>
    <t>SG-20605</t>
  </si>
  <si>
    <t>Speros Goranitis</t>
  </si>
  <si>
    <t>TEC-AC-10002637</t>
  </si>
  <si>
    <t>Logitech VX Revolution Cordless Laser Mouse for Notebooks (Black)</t>
  </si>
  <si>
    <t>CA-2015-137897</t>
  </si>
  <si>
    <t>PJ-18835</t>
  </si>
  <si>
    <t>Patrick Jones</t>
  </si>
  <si>
    <t>CA-2017-108574</t>
  </si>
  <si>
    <t>MG-18145</t>
  </si>
  <si>
    <t>Mike Gockenbach</t>
  </si>
  <si>
    <t>CA-2017-144589</t>
  </si>
  <si>
    <t>TM-21010</t>
  </si>
  <si>
    <t>Tamara Manning</t>
  </si>
  <si>
    <t>TEC-PH-10003072</t>
  </si>
  <si>
    <t>Panasonic KX-TG9541B DECT 6.0 Digital 2-Line Expandable Cordless Phone With Digital Answering System</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</si>
  <si>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</si>
  <si>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</si>
  <si>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</si>
  <si>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</si>
  <si>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</si>
  <si>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</si>
  <si>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</si>
  <si>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</si>
  <si>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</si>
  <si>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</si>
  <si>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</si>
  <si>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</si>
  <si>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US-2017-147669</t>
  </si>
  <si>
    <t>US-2017-112613</t>
  </si>
  <si>
    <t>CA-2016-146934</t>
  </si>
  <si>
    <t>AF-10870</t>
  </si>
  <si>
    <t>Art Ferguson</t>
  </si>
  <si>
    <t>Passaic</t>
  </si>
  <si>
    <t>CA-2017-140949</t>
  </si>
  <si>
    <t>DB-13405</t>
  </si>
  <si>
    <t>Denny Blanton</t>
  </si>
  <si>
    <t>CA-2017-148691</t>
  </si>
  <si>
    <t>CA-2016-114972</t>
  </si>
  <si>
    <t>PF-19225</t>
  </si>
  <si>
    <t>Phillip Flathmann</t>
  </si>
  <si>
    <t>TEC-AC-10000682</t>
  </si>
  <si>
    <t>Kensington K72356US Mouse-in-a-Box USB Desktop Mouse</t>
  </si>
  <si>
    <t>CA-2017-126067</t>
  </si>
  <si>
    <t>KN-16705</t>
  </si>
  <si>
    <t>Kristina Nunn</t>
  </si>
  <si>
    <t>TEC-PH-10000912</t>
  </si>
  <si>
    <t>Anker 24W Portable Micro USB Car Charger</t>
  </si>
  <si>
    <t>CA-2015-141040</t>
  </si>
  <si>
    <t>TB-21250</t>
  </si>
  <si>
    <t>Tim Brockman</t>
  </si>
  <si>
    <t>TEC-PH-10001835</t>
  </si>
  <si>
    <t>Jawbone JAMBOX Wireless Bluetooth Speaker</t>
  </si>
  <si>
    <t>CA-2014-144624</t>
  </si>
  <si>
    <t>JM-15865</t>
  </si>
  <si>
    <t>John Murray</t>
  </si>
  <si>
    <t>Jamestown</t>
  </si>
  <si>
    <t>CA-2016-146206</t>
  </si>
  <si>
    <t>KT-16480</t>
  </si>
  <si>
    <t>Kean Thornton</t>
  </si>
  <si>
    <t>CA-2017-163902</t>
  </si>
  <si>
    <t>MY-17380</t>
  </si>
  <si>
    <t>Maribeth Yedwab</t>
  </si>
  <si>
    <t>TEC-PH-10000675</t>
  </si>
  <si>
    <t>Panasonic KX TS3282B Corded phone</t>
  </si>
  <si>
    <t>CA-2015-102722</t>
  </si>
  <si>
    <t>KW-16570</t>
  </si>
  <si>
    <t>Kelly Williams</t>
  </si>
  <si>
    <t>CA-2016-124506</t>
  </si>
  <si>
    <t>BB-11545</t>
  </si>
  <si>
    <t>Brenda Bowman</t>
  </si>
  <si>
    <t>CA-2016-124352</t>
  </si>
  <si>
    <t>CD-12790</t>
  </si>
  <si>
    <t>Cynthia Delaney</t>
  </si>
  <si>
    <t>CA-2015-124541</t>
  </si>
  <si>
    <t>TT-21220</t>
  </si>
  <si>
    <t>Thomas Thornton</t>
  </si>
  <si>
    <t>TEC-AC-10002550</t>
  </si>
  <si>
    <t>Maxell 4.7GB DVD-RW 3/Pack</t>
  </si>
  <si>
    <t>CA-2014-111500</t>
  </si>
  <si>
    <t>DJ-13510</t>
  </si>
  <si>
    <t>Don Jones</t>
  </si>
  <si>
    <t>CA-2015-143238</t>
  </si>
  <si>
    <t>LO-17170</t>
  </si>
  <si>
    <t>Lori Olson</t>
  </si>
  <si>
    <t>La Quinta</t>
  </si>
  <si>
    <t>CA-2015-168746</t>
  </si>
  <si>
    <t>SV-20365</t>
  </si>
  <si>
    <t>Seth Vernon</t>
  </si>
  <si>
    <t>TEC-PH-10002555</t>
  </si>
  <si>
    <t>Nortel Meridian M5316 Digital phone</t>
  </si>
  <si>
    <t>US-2015-128090</t>
  </si>
  <si>
    <t>CA-2016-118626</t>
  </si>
  <si>
    <t>Tallahassee</t>
  </si>
  <si>
    <t>TEC-PH-10000369</t>
  </si>
  <si>
    <t>HTC One Mini</t>
  </si>
  <si>
    <t>CA-2015-111458</t>
  </si>
  <si>
    <t>PF-19165</t>
  </si>
  <si>
    <t>Philip Fox</t>
  </si>
  <si>
    <t>TEC-AC-10001590</t>
  </si>
  <si>
    <t>Dell Slim USB Multimedia Keyboard</t>
  </si>
  <si>
    <t>CA-2015-110632</t>
  </si>
  <si>
    <t>HR-14830</t>
  </si>
  <si>
    <t>Harold Ryan</t>
  </si>
  <si>
    <t>TEC-AC-10000387</t>
  </si>
  <si>
    <t>KeyTronic KT800P2 - Keyboard - Black</t>
  </si>
  <si>
    <t>CA-2017-109589</t>
  </si>
  <si>
    <t>BD-11635</t>
  </si>
  <si>
    <t>Brian Derr</t>
  </si>
  <si>
    <t>Bowling Green</t>
  </si>
  <si>
    <t>CA-2017-134404</t>
  </si>
  <si>
    <t>CA-2016-155845</t>
  </si>
  <si>
    <t>CM-12235</t>
  </si>
  <si>
    <t>Chris McAfee</t>
  </si>
  <si>
    <t>US-2014-155502</t>
  </si>
  <si>
    <t>Alexandria</t>
  </si>
  <si>
    <t>TEC-PH-10004833</t>
  </si>
  <si>
    <t>Macally Suction Cup Mount</t>
  </si>
  <si>
    <t>CA-2016-137729</t>
  </si>
  <si>
    <t>CA-2017-128300</t>
  </si>
  <si>
    <t>Summerville</t>
  </si>
  <si>
    <t>South Carolina</t>
  </si>
  <si>
    <t>CA-2017-149048</t>
  </si>
  <si>
    <t>Plantronics Calisto P620-M USB Wireless Speakerphone System</t>
  </si>
  <si>
    <t>CA-2016-165848</t>
  </si>
  <si>
    <t>EN-13780</t>
  </si>
  <si>
    <t>Edward Nazzal</t>
  </si>
  <si>
    <t>TEC-MA-10003356</t>
  </si>
  <si>
    <t>Panasonic KX MC6040 Color Laser Multifunction Printer</t>
  </si>
  <si>
    <t>CA-2014-127446</t>
  </si>
  <si>
    <t>TEC-AC-10001635</t>
  </si>
  <si>
    <t>KeyTronic KT400U2 - Keyboard - Black</t>
  </si>
  <si>
    <t>CA-2017-115931</t>
  </si>
  <si>
    <t>JM-15655</t>
  </si>
  <si>
    <t>Jim Mitchum</t>
  </si>
  <si>
    <t>Carlsbad</t>
  </si>
  <si>
    <t>CA-2017-127180</t>
  </si>
  <si>
    <t>TA-21385</t>
  </si>
  <si>
    <t>Tom Ashbrook</t>
  </si>
  <si>
    <t>TEC-CO-10004722</t>
  </si>
  <si>
    <t>Canon imageCLASS 2200 Advanced Copier</t>
  </si>
  <si>
    <t>US-2017-165344</t>
  </si>
  <si>
    <t>TEC-MA-10002210</t>
  </si>
  <si>
    <t>Epson TM-T88V Direct Thermal Printer - Monochrome - Desktop</t>
  </si>
  <si>
    <t>CA-2015-169740</t>
  </si>
  <si>
    <t>Hot Springs</t>
  </si>
  <si>
    <t>CA-2016-149111</t>
  </si>
  <si>
    <t>CA-2014-131002</t>
  </si>
  <si>
    <t>TB-21400</t>
  </si>
  <si>
    <t>Tom Boeckenhauer</t>
  </si>
  <si>
    <t>CA-2017-123372</t>
  </si>
  <si>
    <t>DG-13300</t>
  </si>
  <si>
    <t>Deirdre Greer</t>
  </si>
  <si>
    <t>TEC-PH-10002834</t>
  </si>
  <si>
    <t>Google Nexus 5</t>
  </si>
  <si>
    <t>CA-2016-111794</t>
  </si>
  <si>
    <t>HG-15025</t>
  </si>
  <si>
    <t>Hunter Glantz</t>
  </si>
  <si>
    <t>CA-2017-127026</t>
  </si>
  <si>
    <t>TEC-MA-10002981</t>
  </si>
  <si>
    <t>I.R.I.S IRISCard Anywhere 5 Card Scanner</t>
  </si>
  <si>
    <t>TEC-PH-10003601</t>
  </si>
  <si>
    <t>Ativa D5772 2-Line 5.8GHz Digital Expandable Corded/Cordless Phone System with Answering &amp; Caller ID/Call Waiting, Black/Silver</t>
  </si>
  <si>
    <t>US-2016-144211</t>
  </si>
  <si>
    <t>CS-12130</t>
  </si>
  <si>
    <t>Chad Sievert</t>
  </si>
  <si>
    <t>Englewood</t>
  </si>
  <si>
    <t>TEC-PH-10002890</t>
  </si>
  <si>
    <t>AT&amp;T 17929 Lendline Telephone</t>
  </si>
  <si>
    <t>CA-2014-145317</t>
  </si>
  <si>
    <t>SM-20320</t>
  </si>
  <si>
    <t>Sean Miller</t>
  </si>
  <si>
    <t>TEC-MA-10003626</t>
  </si>
  <si>
    <t>Hewlett-Packard Deskjet 6540 Color Inkjet Printer</t>
  </si>
  <si>
    <t>TEC-MA-10002412</t>
  </si>
  <si>
    <t>Cisco TelePresence System EX90 Videoconferencing Unit</t>
  </si>
  <si>
    <t>CA-2017-156818</t>
  </si>
  <si>
    <t>CA-2015-121797</t>
  </si>
  <si>
    <t>CC-12145</t>
  </si>
  <si>
    <t>Charles Crestani</t>
  </si>
  <si>
    <t>CA-2014-110100</t>
  </si>
  <si>
    <t>AT&amp;T CL2909</t>
  </si>
  <si>
    <t>CA-2014-127187</t>
  </si>
  <si>
    <t>CP-12085</t>
  </si>
  <si>
    <t>Cathy Prescott</t>
  </si>
  <si>
    <t>TEC-PH-10000673</t>
  </si>
  <si>
    <t>Plantronics Voyager Pro HD - Bluetooth Headset</t>
  </si>
  <si>
    <t>CA-2017-128475</t>
  </si>
  <si>
    <t>SC-20680</t>
  </si>
  <si>
    <t>Steve Carroll</t>
  </si>
  <si>
    <t>CA-2014-100006</t>
  </si>
  <si>
    <t>TEC-PH-10002075</t>
  </si>
  <si>
    <t>AT&amp;T EL51110 DECT</t>
  </si>
  <si>
    <t>CA-2017-149888</t>
  </si>
  <si>
    <t>CA-2017-119193</t>
  </si>
  <si>
    <t>SK-19990</t>
  </si>
  <si>
    <t>Sally Knutson</t>
  </si>
  <si>
    <t>CA-2017-104801</t>
  </si>
  <si>
    <t>FH-14350</t>
  </si>
  <si>
    <t>Fred Harton</t>
  </si>
  <si>
    <t>CA-2014-107594</t>
  </si>
  <si>
    <t>Plainfield</t>
  </si>
  <si>
    <t>CA-2015-115798</t>
  </si>
  <si>
    <t>TEC-PH-10003691</t>
  </si>
  <si>
    <t>BlackBerry Q10</t>
  </si>
  <si>
    <t>CA-2017-122707</t>
  </si>
  <si>
    <t>EB-13750</t>
  </si>
  <si>
    <t>Edward Becker</t>
  </si>
  <si>
    <t>Hoover</t>
  </si>
  <si>
    <t>TEC-AC-10004227</t>
  </si>
  <si>
    <t>SanDisk Ultra 16 GB MicroSDHC Class 10 Memory Card</t>
  </si>
  <si>
    <t>CA-2015-140144</t>
  </si>
  <si>
    <t>CA-2017-163321</t>
  </si>
  <si>
    <t>US-2015-165449</t>
  </si>
  <si>
    <t>Frisco</t>
  </si>
  <si>
    <t>TEC-AC-10004127</t>
  </si>
  <si>
    <t>SanDisk Cruzer 8 GB USB Flash Drive</t>
  </si>
  <si>
    <t>CA-2015-155306</t>
  </si>
  <si>
    <t>GA-14515</t>
  </si>
  <si>
    <t>George Ashbrook</t>
  </si>
  <si>
    <t>CA-2016-127775</t>
  </si>
  <si>
    <t>ES-14020</t>
  </si>
  <si>
    <t>Erica Smith</t>
  </si>
  <si>
    <t>CA-2017-126536</t>
  </si>
  <si>
    <t>NK-18490</t>
  </si>
  <si>
    <t>Neil Knudson</t>
  </si>
  <si>
    <t>TEC-AC-10003709</t>
  </si>
  <si>
    <t>Maxell 4.7GB DVD-R 5/Pack</t>
  </si>
  <si>
    <t>US-2015-122140</t>
  </si>
  <si>
    <t>MO-17950</t>
  </si>
  <si>
    <t>Michael Oakman</t>
  </si>
  <si>
    <t>CA-2017-108322</t>
  </si>
  <si>
    <t>SS-20140</t>
  </si>
  <si>
    <t>Saphhira Shifley</t>
  </si>
  <si>
    <t>Pompano Beach</t>
  </si>
  <si>
    <t>TEC-AC-10003433</t>
  </si>
  <si>
    <t>Maxell 4.7GB DVD+R 5/Pack</t>
  </si>
  <si>
    <t>CA-2016-139878</t>
  </si>
  <si>
    <t>LD-17005</t>
  </si>
  <si>
    <t>Lisa DeCherney</t>
  </si>
  <si>
    <t>US-2016-106677</t>
  </si>
  <si>
    <t>AS-10285</t>
  </si>
  <si>
    <t>Alejandro Savely</t>
  </si>
  <si>
    <t>TEC-PH-10003187</t>
  </si>
  <si>
    <t>Anker Astro Mini 3000mAh Ultra-Compact Portable Charger</t>
  </si>
  <si>
    <t>CA-2016-116974</t>
  </si>
  <si>
    <t>CA-2014-154599</t>
  </si>
  <si>
    <t>KN-16450</t>
  </si>
  <si>
    <t>Kean Nguyen</t>
  </si>
  <si>
    <t>Redondo Beach</t>
  </si>
  <si>
    <t>CA-2016-153318</t>
  </si>
  <si>
    <t>JS-15595</t>
  </si>
  <si>
    <t>Jill Stevenson</t>
  </si>
  <si>
    <t>CA-2015-135685</t>
  </si>
  <si>
    <t>MP-18175</t>
  </si>
  <si>
    <t>Mike Pelletier</t>
  </si>
  <si>
    <t>CA-2017-100202</t>
  </si>
  <si>
    <t>BD-11620</t>
  </si>
  <si>
    <t>Brian DeCherney</t>
  </si>
  <si>
    <t>Anaheim</t>
  </si>
  <si>
    <t>CA-2014-148915</t>
  </si>
  <si>
    <t>ND-18370</t>
  </si>
  <si>
    <t>Natalie DeCherney</t>
  </si>
  <si>
    <t>CA-2016-147368</t>
  </si>
  <si>
    <t>TC-21295</t>
  </si>
  <si>
    <t>Toby Carlisle</t>
  </si>
  <si>
    <t>CA-2017-112865</t>
  </si>
  <si>
    <t>CA-2017-138975</t>
  </si>
  <si>
    <t>SC-20380</t>
  </si>
  <si>
    <t>Shahid Collister</t>
  </si>
  <si>
    <t>TEC-PH-10004389</t>
  </si>
  <si>
    <t>Nokia Lumia 925</t>
  </si>
  <si>
    <t>CA-2016-152072</t>
  </si>
  <si>
    <t>Dp-13240</t>
  </si>
  <si>
    <t>Dean percer</t>
  </si>
  <si>
    <t>Westfield</t>
  </si>
  <si>
    <t>CA-2017-139913</t>
  </si>
  <si>
    <t>JC-16105</t>
  </si>
  <si>
    <t>Julie Creighton</t>
  </si>
  <si>
    <t>US-2016-164630</t>
  </si>
  <si>
    <t>EB-13975</t>
  </si>
  <si>
    <t>Erica Bern</t>
  </si>
  <si>
    <t>CA-2015-166464</t>
  </si>
  <si>
    <t>CA-2015-134747</t>
  </si>
  <si>
    <t>DL-12925</t>
  </si>
  <si>
    <t>Daniel Lacy</t>
  </si>
  <si>
    <t>Noblesville</t>
  </si>
  <si>
    <t>US-2016-169040</t>
  </si>
  <si>
    <t>CA-2017-134915</t>
  </si>
  <si>
    <t>EM-14140</t>
  </si>
  <si>
    <t>Eugene Moren</t>
  </si>
  <si>
    <t>TEC-PH-10001459</t>
  </si>
  <si>
    <t>Samsung Galaxy Mega 6.3</t>
  </si>
  <si>
    <t>CA-2016-153353</t>
  </si>
  <si>
    <t>CA-2016-139010</t>
  </si>
  <si>
    <t>MC-17635</t>
  </si>
  <si>
    <t>Matthew Clasen</t>
  </si>
  <si>
    <t>CA-2014-138317</t>
  </si>
  <si>
    <t>TEC-MA-10004521</t>
  </si>
  <si>
    <t>Epson Perfection V600 Photo Scanner</t>
  </si>
  <si>
    <t>CA-2017-134845</t>
  </si>
  <si>
    <t>SR-20425</t>
  </si>
  <si>
    <t>Sharelle Roach</t>
  </si>
  <si>
    <t>US-2016-160528</t>
  </si>
  <si>
    <t>Pharr</t>
  </si>
  <si>
    <t>US-2016-164189</t>
  </si>
  <si>
    <t>Gresham</t>
  </si>
  <si>
    <t>US-2015-123960</t>
  </si>
  <si>
    <t>CA-2015-135174</t>
  </si>
  <si>
    <t>BP-11230</t>
  </si>
  <si>
    <t>Benjamin Patterson</t>
  </si>
  <si>
    <t>CA-2017-121419</t>
  </si>
  <si>
    <t>TC-21475</t>
  </si>
  <si>
    <t>Tony Chapman</t>
  </si>
  <si>
    <t>CA-2016-128517</t>
  </si>
  <si>
    <t>SW-20350</t>
  </si>
  <si>
    <t>Sean Wendt</t>
  </si>
  <si>
    <t>US-2015-100377</t>
  </si>
  <si>
    <t>TS-21370</t>
  </si>
  <si>
    <t>Todd Sumrall</t>
  </si>
  <si>
    <t>CA-2016-144554</t>
  </si>
  <si>
    <t>DM-13345</t>
  </si>
  <si>
    <t>Denise Monton</t>
  </si>
  <si>
    <t>CA-2015-145184</t>
  </si>
  <si>
    <t>JD-16150</t>
  </si>
  <si>
    <t>Justin Deggeller</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</si>
  <si>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</si>
  <si>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</si>
  <si>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</si>
  <si>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</si>
  <si>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</si>
  <si>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</si>
  <si>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</si>
  <si>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</si>
  <si>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</si>
  <si>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CA-2017-101182</t>
  </si>
  <si>
    <t>KB-16405</t>
  </si>
  <si>
    <t>Katrina Bavinger</t>
  </si>
  <si>
    <t>Apple Valley</t>
  </si>
  <si>
    <t>US-2017-132297</t>
  </si>
  <si>
    <t>CA-2017-118773</t>
  </si>
  <si>
    <t>TP-21415</t>
  </si>
  <si>
    <t>Tom Prescott</t>
  </si>
  <si>
    <t>US-2017-159205</t>
  </si>
  <si>
    <t>DB-12910</t>
  </si>
  <si>
    <t>Daniel Byrd</t>
  </si>
  <si>
    <t>Henderson</t>
  </si>
  <si>
    <t>TEC-PH-10000526</t>
  </si>
  <si>
    <t>Vtech CS6719</t>
  </si>
  <si>
    <t>CA-2016-112123</t>
  </si>
  <si>
    <t>CA-2016-150350</t>
  </si>
  <si>
    <t>MS-17770</t>
  </si>
  <si>
    <t>Maxwell Schwartz</t>
  </si>
  <si>
    <t>TEC-MA-10001972</t>
  </si>
  <si>
    <t>Okidata C331dn Printer</t>
  </si>
  <si>
    <t>CA-2015-121720</t>
  </si>
  <si>
    <t>Lakeland</t>
  </si>
  <si>
    <t>CA-2017-149895</t>
  </si>
  <si>
    <t>EB-14110</t>
  </si>
  <si>
    <t>Eugene Barchas</t>
  </si>
  <si>
    <t>Aastra 6757i CT Wireless VoIP phone</t>
  </si>
  <si>
    <t>CA-2014-136399</t>
  </si>
  <si>
    <t>CC-12100</t>
  </si>
  <si>
    <t>Chad Cunningham</t>
  </si>
  <si>
    <t>CA-2017-164168</t>
  </si>
  <si>
    <t>LS-16975</t>
  </si>
  <si>
    <t>Lindsay Shagiari</t>
  </si>
  <si>
    <t>TEC-PH-10004908</t>
  </si>
  <si>
    <t>Panasonic KX TS3282W Corded phone</t>
  </si>
  <si>
    <t>CA-2017-162572</t>
  </si>
  <si>
    <t>CA-2017-131828</t>
  </si>
  <si>
    <t>CS-11845</t>
  </si>
  <si>
    <t>Cari Sayre</t>
  </si>
  <si>
    <t>CA-2015-147830</t>
  </si>
  <si>
    <t>NF-18385</t>
  </si>
  <si>
    <t>Natalie Fritzler</t>
  </si>
  <si>
    <t>TEC-MA-10000418</t>
  </si>
  <si>
    <t>Cubify CubeX 3D Printer Double Head Print</t>
  </si>
  <si>
    <t>CA-2015-139584</t>
  </si>
  <si>
    <t>EM-13810</t>
  </si>
  <si>
    <t>Eleni McCrary</t>
  </si>
  <si>
    <t>US-2016-162677</t>
  </si>
  <si>
    <t>CA-2014-153969</t>
  </si>
  <si>
    <t>HF-14995</t>
  </si>
  <si>
    <t>Herbert Flentye</t>
  </si>
  <si>
    <t>TEC-PH-10001299</t>
  </si>
  <si>
    <t>Polycom CX300 Desktop Phone USB VoIP phone</t>
  </si>
  <si>
    <t>US-2017-132059</t>
  </si>
  <si>
    <t>Fort Collins</t>
  </si>
  <si>
    <t>CA-2017-152912</t>
  </si>
  <si>
    <t>CA-2017-159352</t>
  </si>
  <si>
    <t>KB-16585</t>
  </si>
  <si>
    <t>Ken Black</t>
  </si>
  <si>
    <t>Lowell</t>
  </si>
  <si>
    <t>CA-2017-123981</t>
  </si>
  <si>
    <t>CA-2017-109750</t>
  </si>
  <si>
    <t>CA-2014-131527</t>
  </si>
  <si>
    <t>TB-21280</t>
  </si>
  <si>
    <t>Toby Braunhardt</t>
  </si>
  <si>
    <t>TEC-PH-10001644</t>
  </si>
  <si>
    <t>BlueLounge Milo Smartphone Stand, White/Metallic</t>
  </si>
  <si>
    <t>CA-2014-158372</t>
  </si>
  <si>
    <t>CA-2016-108882</t>
  </si>
  <si>
    <t>TEC-AC-10000420</t>
  </si>
  <si>
    <t>Logitech G500s Laser Gaming Mouse with Adjustable Weight Tuning</t>
  </si>
  <si>
    <t>CA-2014-114433</t>
  </si>
  <si>
    <t>CA-2017-104640</t>
  </si>
  <si>
    <t>US-2015-137008</t>
  </si>
  <si>
    <t>JP-15460</t>
  </si>
  <si>
    <t>Jennifer Patt</t>
  </si>
  <si>
    <t>CA-2014-108189</t>
  </si>
  <si>
    <t>Tempe</t>
  </si>
  <si>
    <t>US-2016-127971</t>
  </si>
  <si>
    <t>DW-13195</t>
  </si>
  <si>
    <t>David Wiener</t>
  </si>
  <si>
    <t>TEC-PH-10003095</t>
  </si>
  <si>
    <t>Samsung HM1900 Bluetooth Headset</t>
  </si>
  <si>
    <t>CA-2017-113355</t>
  </si>
  <si>
    <t>SJ-20215</t>
  </si>
  <si>
    <t>Sarah Jordon</t>
  </si>
  <si>
    <t>Grand Prairie</t>
  </si>
  <si>
    <t>TEC-PH-10004912</t>
  </si>
  <si>
    <t>Cisco SPA112 2 Port Phone Adapter</t>
  </si>
  <si>
    <t>US-2017-140907</t>
  </si>
  <si>
    <t>BP-11185</t>
  </si>
  <si>
    <t>Ben Peterman</t>
  </si>
  <si>
    <t>CA-2016-159730</t>
  </si>
  <si>
    <t>SJ-20125</t>
  </si>
  <si>
    <t>Sanjit Jacobs</t>
  </si>
  <si>
    <t>CA-2017-110373</t>
  </si>
  <si>
    <t>MA-17560</t>
  </si>
  <si>
    <t>Matt Abelman</t>
  </si>
  <si>
    <t>CA-2016-155474</t>
  </si>
  <si>
    <t>CA-2014-140662</t>
  </si>
  <si>
    <t>TS-21205</t>
  </si>
  <si>
    <t>Thomas Seio</t>
  </si>
  <si>
    <t>CA-2014-143840</t>
  </si>
  <si>
    <t>EH-14185</t>
  </si>
  <si>
    <t>Evan Henry</t>
  </si>
  <si>
    <t>TEC-PH-10003171</t>
  </si>
  <si>
    <t>Plantronics Encore H101 Dual Earpieces Headset</t>
  </si>
  <si>
    <t>CA-2014-115980</t>
  </si>
  <si>
    <t>CA-2015-155145</t>
  </si>
  <si>
    <t>Visalia</t>
  </si>
  <si>
    <t>CA-2017-133865</t>
  </si>
  <si>
    <t>PS-19045</t>
  </si>
  <si>
    <t>Penelope Sewall</t>
  </si>
  <si>
    <t>CA-2014-102988</t>
  </si>
  <si>
    <t>GM-14695</t>
  </si>
  <si>
    <t>Greg Maxwell</t>
  </si>
  <si>
    <t>US-2014-117170</t>
  </si>
  <si>
    <t>KT-16465</t>
  </si>
  <si>
    <t>Kean Takahito</t>
  </si>
  <si>
    <t>CA-2015-157770</t>
  </si>
  <si>
    <t>Temecula</t>
  </si>
  <si>
    <t>TEC-AC-10003399</t>
  </si>
  <si>
    <t>Memorex Mini Travel Drive 64 GB USB 2.0 Flash Drive</t>
  </si>
  <si>
    <t>CA-2017-113418</t>
  </si>
  <si>
    <t>TEC-MA-10002428</t>
  </si>
  <si>
    <t>Fellowes Powershred HS-440 4-Sheet High Security Shredder</t>
  </si>
  <si>
    <t>CA-2017-136308</t>
  </si>
  <si>
    <t>US-2014-159926</t>
  </si>
  <si>
    <t>CS-11950</t>
  </si>
  <si>
    <t>Carlos Soltero</t>
  </si>
  <si>
    <t>TEC-PH-10001128</t>
  </si>
  <si>
    <t>Motorola Droid Maxx</t>
  </si>
  <si>
    <t>CA-2014-104738</t>
  </si>
  <si>
    <t>CA-2014-165309</t>
  </si>
  <si>
    <t>CA-2017-122595</t>
  </si>
  <si>
    <t>TEC-AC-10000474</t>
  </si>
  <si>
    <t>Kensington Expert Mouse Optical USB Trackball for PC or Mac</t>
  </si>
  <si>
    <t>US-2017-109253</t>
  </si>
  <si>
    <t>PR-18880</t>
  </si>
  <si>
    <t>Patrick Ryan</t>
  </si>
  <si>
    <t>CA-2016-145982</t>
  </si>
  <si>
    <t>Quincy</t>
  </si>
  <si>
    <t>CA-2016-147536</t>
  </si>
  <si>
    <t>US-2014-134733</t>
  </si>
  <si>
    <t>US-2014-150434</t>
  </si>
  <si>
    <t>CA-12310</t>
  </si>
  <si>
    <t>Christine Abelman</t>
  </si>
  <si>
    <t>CA-2016-139234</t>
  </si>
  <si>
    <t>CA-2016-134887</t>
  </si>
  <si>
    <t>CA-2015-161718</t>
  </si>
  <si>
    <t>SO-20335</t>
  </si>
  <si>
    <t>Sean O'Donnell</t>
  </si>
  <si>
    <t>Hempstead</t>
  </si>
  <si>
    <t>CA-2015-130659</t>
  </si>
  <si>
    <t>CA-2017-148404</t>
  </si>
  <si>
    <t>CA-2014-166471</t>
  </si>
  <si>
    <t>MG-17650</t>
  </si>
  <si>
    <t>Matthew Grinstein</t>
  </si>
  <si>
    <t>CA-2014-102274</t>
  </si>
  <si>
    <t>DH-13075</t>
  </si>
  <si>
    <t>Dave Hallsten</t>
  </si>
  <si>
    <t>Richmond</t>
  </si>
  <si>
    <t>CA-2016-134803</t>
  </si>
  <si>
    <t>CA-2014-157609</t>
  </si>
  <si>
    <t>TEC-PH-10002415</t>
  </si>
  <si>
    <t>Polycom VoiceStation 500 Conference phone</t>
  </si>
  <si>
    <t>CA-2017-136448</t>
  </si>
  <si>
    <t>AS-10090</t>
  </si>
  <si>
    <t>Adam Shillingsburg</t>
  </si>
  <si>
    <t>CA-2017-114258</t>
  </si>
  <si>
    <t>CA-2017-128699</t>
  </si>
  <si>
    <t>CA-2017-122644</t>
  </si>
  <si>
    <t>SF-20965</t>
  </si>
  <si>
    <t>Sylvia Foulston</t>
  </si>
  <si>
    <t>CA-2017-111815</t>
  </si>
  <si>
    <t>Dearborn Heights</t>
  </si>
  <si>
    <t>CA-2016-144911</t>
  </si>
  <si>
    <t>Overland Park</t>
  </si>
  <si>
    <t>Kansas</t>
  </si>
  <si>
    <t>CA-2014-143385</t>
  </si>
  <si>
    <t>SJ-20500</t>
  </si>
  <si>
    <t>Shirley Jackson</t>
  </si>
  <si>
    <t>Santa Fe</t>
  </si>
  <si>
    <t>CA-2014-124688</t>
  </si>
  <si>
    <t>CC-12610</t>
  </si>
  <si>
    <t>Corey Catlett</t>
  </si>
  <si>
    <t>US-2016-134761</t>
  </si>
  <si>
    <t>Hickory</t>
  </si>
  <si>
    <t>CA-2017-142034</t>
  </si>
  <si>
    <t>KB-16240</t>
  </si>
  <si>
    <t>Karen Bern</t>
  </si>
  <si>
    <t>Saint Cloud</t>
  </si>
  <si>
    <t>TEC-AC-10002305</t>
  </si>
  <si>
    <t>KeyTronic E03601U1 - Keyboard - Beige</t>
  </si>
  <si>
    <t>TEC-AC-10000990</t>
  </si>
  <si>
    <t>Imation Bio 2GB USB Flash Drive Imation Corp</t>
  </si>
  <si>
    <t>CA-2016-108616</t>
  </si>
  <si>
    <t>CA-2017-125115</t>
  </si>
  <si>
    <t>RD-19930</t>
  </si>
  <si>
    <t>Russell D'Ascenzo</t>
  </si>
  <si>
    <t>CA-2014-166863</t>
  </si>
  <si>
    <t>SC-20020</t>
  </si>
  <si>
    <t>Sam Craven</t>
  </si>
  <si>
    <t>CA-2016-168536</t>
  </si>
  <si>
    <t>US-2016-113649</t>
  </si>
  <si>
    <t>Fayetteville</t>
  </si>
  <si>
    <t>CA-2016-114482</t>
  </si>
  <si>
    <t>CA-2016-137673</t>
  </si>
  <si>
    <t>CA-2016-132731</t>
  </si>
  <si>
    <t>TEC-PH-10004120</t>
  </si>
  <si>
    <t>AT&amp;T 1080 Phone</t>
  </si>
  <si>
    <t>CA-2017-148922</t>
  </si>
  <si>
    <t>SU-20665</t>
  </si>
  <si>
    <t>Stephanie Ulpright</t>
  </si>
  <si>
    <t>CA-2016-130680</t>
  </si>
  <si>
    <t>CA-2015-141145</t>
  </si>
  <si>
    <t>Orlando</t>
  </si>
  <si>
    <t>CA-2014-110849</t>
  </si>
  <si>
    <t>JL-15835</t>
  </si>
  <si>
    <t>John Lee</t>
  </si>
  <si>
    <t>TEC-MA-10002859</t>
  </si>
  <si>
    <t>Ativa MDM8000 8-Sheet Micro-Cut Shredder</t>
  </si>
  <si>
    <t>CA-2016-152555</t>
  </si>
  <si>
    <t>ME-17320</t>
  </si>
  <si>
    <t>Maria Etezadi</t>
  </si>
  <si>
    <t>CA-2014-120838</t>
  </si>
  <si>
    <t>TEC-PH-10003484</t>
  </si>
  <si>
    <t>Ooma Telo VoIP Home Phone System</t>
  </si>
  <si>
    <t>CA-2017-152737</t>
  </si>
  <si>
    <t>TS-21505</t>
  </si>
  <si>
    <t>Tony Sayre</t>
  </si>
  <si>
    <t>CA-2017-168109</t>
  </si>
  <si>
    <t>JK-15640</t>
  </si>
  <si>
    <t>Jim Kriz</t>
  </si>
  <si>
    <t>Okidata MB491 Multifunction Printer</t>
  </si>
  <si>
    <t>CA-2017-121839</t>
  </si>
  <si>
    <t>Lancaster</t>
  </si>
  <si>
    <t>CA-2014-102869</t>
  </si>
  <si>
    <t>LC-17140</t>
  </si>
  <si>
    <t>Logan Currie</t>
  </si>
  <si>
    <t>TEC-AC-10002134</t>
  </si>
  <si>
    <t>Rosewill 107 Normal Keys USB Wired Standard Keyboard</t>
  </si>
  <si>
    <t>CA-2017-138310</t>
  </si>
  <si>
    <t>NP-18700</t>
  </si>
  <si>
    <t>Nora Preis</t>
  </si>
  <si>
    <t>US-2016-131674</t>
  </si>
  <si>
    <t>NC-18535</t>
  </si>
  <si>
    <t>Nick Crebassa</t>
  </si>
  <si>
    <t>CA-2015-110093</t>
  </si>
  <si>
    <t>CA-2017-141929</t>
  </si>
  <si>
    <t>RA-19285</t>
  </si>
  <si>
    <t>Ralph Arnett</t>
  </si>
  <si>
    <t>CA-2016-109743</t>
  </si>
  <si>
    <t>SH-19975</t>
  </si>
  <si>
    <t>Sally Hughsby</t>
  </si>
  <si>
    <t>Tennessee</t>
  </si>
  <si>
    <t>TEC-PH-10004071</t>
  </si>
  <si>
    <t>PayAnywhere Card Reader</t>
  </si>
  <si>
    <t>CA-2017-113530</t>
  </si>
  <si>
    <t>BC-11125</t>
  </si>
  <si>
    <t>Becky Castell</t>
  </si>
  <si>
    <t>CA-2016-145177</t>
  </si>
  <si>
    <t>Memorex 25GB 6X Branded Blu-Ray Recordable Disc, 30/Pack</t>
  </si>
  <si>
    <t>CA-2017-109960</t>
  </si>
  <si>
    <t>TEC-AC-10004859</t>
  </si>
  <si>
    <t>Maxell Pro 80 Minute CD-R, 10/Pack</t>
  </si>
  <si>
    <t>CA-2017-158036</t>
  </si>
  <si>
    <t>DB-13555</t>
  </si>
  <si>
    <t>Dorothy Badders</t>
  </si>
  <si>
    <t>TEC-AC-10002558</t>
  </si>
  <si>
    <t>Imation Swivel Flash Drive USB flash drive - 8 GB</t>
  </si>
  <si>
    <t>CA-2016-155005</t>
  </si>
  <si>
    <t>SC-20050</t>
  </si>
  <si>
    <t>Sample Company A</t>
  </si>
  <si>
    <t>US-2017-129777</t>
  </si>
  <si>
    <t>CA-2014-129364</t>
  </si>
  <si>
    <t>CA-2015-132626</t>
  </si>
  <si>
    <t>BT-11680</t>
  </si>
  <si>
    <t>Brian Thompson</t>
  </si>
  <si>
    <t>US-2015-131359</t>
  </si>
  <si>
    <t>FA-14230</t>
  </si>
  <si>
    <t>Frank Atkinson</t>
  </si>
  <si>
    <t>TEC-CO-10001571</t>
  </si>
  <si>
    <t>Sharp 1540cs Digital Laser Copier</t>
  </si>
  <si>
    <t>CA-2017-160416</t>
  </si>
  <si>
    <t>CA-2015-104941</t>
  </si>
  <si>
    <t>CA-2014-120544</t>
  </si>
  <si>
    <t>Mesquite</t>
  </si>
  <si>
    <t>CA-2017-166198</t>
  </si>
  <si>
    <t>JW-15955</t>
  </si>
  <si>
    <t>Joni Wasserman</t>
  </si>
  <si>
    <t>TEC-AC-10000521</t>
  </si>
  <si>
    <t>Verbatim Slim CD and DVD Storage Cases, 50/Pack</t>
  </si>
  <si>
    <t>CA-2016-142370</t>
  </si>
  <si>
    <t>CA-2015-109575</t>
  </si>
  <si>
    <t>TEC-PH-10000730</t>
  </si>
  <si>
    <t>Samsung Galaxy S4 Active</t>
  </si>
  <si>
    <t>CA-2016-115476</t>
  </si>
  <si>
    <t>VM-21835</t>
  </si>
  <si>
    <t>Vivian Mathis</t>
  </si>
  <si>
    <t>CA-2016-133340</t>
  </si>
  <si>
    <t>CA-2017-161956</t>
  </si>
  <si>
    <t>Inglewood</t>
  </si>
  <si>
    <t>CA-2015-103205</t>
  </si>
  <si>
    <t>JJ-15760</t>
  </si>
  <si>
    <t>Joel Jenkins</t>
  </si>
  <si>
    <t>CA-2014-115357</t>
  </si>
  <si>
    <t>RF-19735</t>
  </si>
  <si>
    <t>Roland Fjeld</t>
  </si>
  <si>
    <t>US-2014-102715</t>
  </si>
  <si>
    <t>JK-15370</t>
  </si>
  <si>
    <t>Jay Kimmel</t>
  </si>
  <si>
    <t>TEC-AC-10001874</t>
  </si>
  <si>
    <t>Logitech Wireless Anywhere Mouse MX for PC and Mac</t>
  </si>
  <si>
    <t>US-2017-148768</t>
  </si>
  <si>
    <t>PN-18775</t>
  </si>
  <si>
    <t>Parhena Norris</t>
  </si>
  <si>
    <t>CA-2014-149643</t>
  </si>
  <si>
    <t>RH-19510</t>
  </si>
  <si>
    <t>Rick Huthwaite</t>
  </si>
  <si>
    <t>Manhattan</t>
  </si>
  <si>
    <t>CA-2015-135314</t>
  </si>
  <si>
    <t>MC-17575</t>
  </si>
  <si>
    <t>Matt Collins</t>
  </si>
  <si>
    <t>CA-2017-125752</t>
  </si>
  <si>
    <t>EH-14125</t>
  </si>
  <si>
    <t>Eugene Hildebrand</t>
  </si>
  <si>
    <t>Fort Lauderdale</t>
  </si>
  <si>
    <t>CA-2017-147760</t>
  </si>
  <si>
    <t>KL-16555</t>
  </si>
  <si>
    <t>Kelly Lampkin</t>
  </si>
  <si>
    <t>Greensboro</t>
  </si>
  <si>
    <t>CA-2016-156503</t>
  </si>
  <si>
    <t>NC-18415</t>
  </si>
  <si>
    <t>Nathan Cano</t>
  </si>
  <si>
    <t>CA-2015-113628</t>
  </si>
  <si>
    <t>AH-10690</t>
  </si>
  <si>
    <t>Anna Häberlin</t>
  </si>
  <si>
    <t>Plantation</t>
  </si>
  <si>
    <t>CA-2016-152471</t>
  </si>
  <si>
    <t>CA-2015-102582</t>
  </si>
  <si>
    <t>CA-2015-140984</t>
  </si>
  <si>
    <t>CC-12685</t>
  </si>
  <si>
    <t>Craig Carroll</t>
  </si>
  <si>
    <t>CA-2014-105984</t>
  </si>
  <si>
    <t>MY-18295</t>
  </si>
  <si>
    <t>Muhammed Yedwab</t>
  </si>
  <si>
    <t>CA-2014-126760</t>
  </si>
  <si>
    <t>TEC-AC-10004814</t>
  </si>
  <si>
    <t>Logitech Illuminated Ultrathin Keyboard with Backlighting</t>
  </si>
  <si>
    <t>CA-2017-161053</t>
  </si>
  <si>
    <t>US-2017-105389</t>
  </si>
  <si>
    <t>DM-13015</t>
  </si>
  <si>
    <t>Darrin Martin</t>
  </si>
  <si>
    <t>CA-2014-140816</t>
  </si>
  <si>
    <t>Thornton</t>
  </si>
  <si>
    <t>TEC-AC-10001539</t>
  </si>
  <si>
    <t>Logitech G430 Surround Sound Gaming Headset with Dolby 7.1 Technology</t>
  </si>
  <si>
    <t>CA-2017-154039</t>
  </si>
  <si>
    <t>JK-16120</t>
  </si>
  <si>
    <t>Julie Kriz</t>
  </si>
  <si>
    <t>TEC-PH-10002789</t>
  </si>
  <si>
    <t>LG Exalt</t>
  </si>
  <si>
    <t>CA-2014-124709</t>
  </si>
  <si>
    <t>CA-2017-146360</t>
  </si>
  <si>
    <t>Lawrence</t>
  </si>
  <si>
    <t>CA-2015-132486</t>
  </si>
  <si>
    <t>CA-2016-136231</t>
  </si>
  <si>
    <t>Johnson City</t>
  </si>
  <si>
    <t>CA-2016-167759</t>
  </si>
  <si>
    <t>Bloomington</t>
  </si>
  <si>
    <t>CA-2014-100895</t>
  </si>
  <si>
    <t>SV-20785</t>
  </si>
  <si>
    <t>Stewart Visinsky</t>
  </si>
  <si>
    <t>US-2016-163881</t>
  </si>
  <si>
    <t>SP-20860</t>
  </si>
  <si>
    <t>Sung Pak</t>
  </si>
  <si>
    <t>US-2016-144547</t>
  </si>
  <si>
    <t>CA-2017-110212</t>
  </si>
  <si>
    <t>Texarkana</t>
  </si>
  <si>
    <t>TEC-AC-10002331</t>
  </si>
  <si>
    <t>Maxell 74 Minute CDR, 10/Pack</t>
  </si>
  <si>
    <t>CA-2017-157980</t>
  </si>
  <si>
    <t>SH-20395</t>
  </si>
  <si>
    <t>Shahid Hopkins</t>
  </si>
  <si>
    <t>CA-2015-151043</t>
  </si>
  <si>
    <t>MG-17680</t>
  </si>
  <si>
    <t>Maureen Gastineau</t>
  </si>
  <si>
    <t>TEC-AC-10001090</t>
  </si>
  <si>
    <t>Micro Innovations Wireless Classic Keyboard with Mouse</t>
  </si>
  <si>
    <t>CA-2015-167010</t>
  </si>
  <si>
    <t>VT-21700</t>
  </si>
  <si>
    <t>Valerie Takahito</t>
  </si>
  <si>
    <t>CA-2017-126788</t>
  </si>
  <si>
    <t>AB-10105</t>
  </si>
  <si>
    <t>Adrian Barton</t>
  </si>
  <si>
    <t>Pearland</t>
  </si>
  <si>
    <t>TEC-PH-10001619</t>
  </si>
  <si>
    <t>LG G3</t>
  </si>
  <si>
    <t>CA-2016-110044</t>
  </si>
  <si>
    <t>CA-2016-132094</t>
  </si>
  <si>
    <t>VG-21805</t>
  </si>
  <si>
    <t>Vivek Grady</t>
  </si>
  <si>
    <t>CA-2017-123001</t>
  </si>
  <si>
    <t>Bakersfield</t>
  </si>
  <si>
    <t>US-2016-151862</t>
  </si>
  <si>
    <t>TEC-PH-10003535</t>
  </si>
  <si>
    <t>RCA ViSYS 25423RE1 Corded phone</t>
  </si>
  <si>
    <t>CA-2015-113901</t>
  </si>
  <si>
    <t>NH-18610</t>
  </si>
  <si>
    <t>Nicole Hansen</t>
  </si>
  <si>
    <t>CA-2017-101308</t>
  </si>
  <si>
    <t>FG-14260</t>
  </si>
  <si>
    <t>Frank Gastineau</t>
  </si>
  <si>
    <t>CA-2016-135265</t>
  </si>
  <si>
    <t>CC-12370</t>
  </si>
  <si>
    <t>Christopher Conant</t>
  </si>
  <si>
    <t>CA-2015-105627</t>
  </si>
  <si>
    <t>DK-12895</t>
  </si>
  <si>
    <t>Dana Kaydos</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</si>
  <si>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</si>
  <si>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</si>
  <si>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</si>
  <si>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</si>
  <si>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</si>
  <si>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</si>
  <si>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</si>
  <si>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</si>
  <si>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</si>
  <si>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</si>
  <si>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</si>
  <si>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CA-2015-165624</t>
  </si>
  <si>
    <t>CA-2014-154963</t>
  </si>
  <si>
    <t>AA-10645</t>
  </si>
  <si>
    <t>Anna Andreadi</t>
  </si>
  <si>
    <t>CA-2017-130764</t>
  </si>
  <si>
    <t>JO-15145</t>
  </si>
  <si>
    <t>Jack O'Briant</t>
  </si>
  <si>
    <t>TEC-PH-10003215</t>
  </si>
  <si>
    <t>Jackery Bar Premium Fast-charging Portable Charger</t>
  </si>
  <si>
    <t>CA-2017-139311</t>
  </si>
  <si>
    <t>Bedford</t>
  </si>
  <si>
    <t>CA-2017-124296</t>
  </si>
  <si>
    <t>Lafayette</t>
  </si>
  <si>
    <t>CA-2016-169957</t>
  </si>
  <si>
    <t>Covington</t>
  </si>
  <si>
    <t>US-2016-108777</t>
  </si>
  <si>
    <t>CA-2014-110786</t>
  </si>
  <si>
    <t>US-2015-166520</t>
  </si>
  <si>
    <t>KE-16420</t>
  </si>
  <si>
    <t>Katrina Edelman</t>
  </si>
  <si>
    <t>CA-2015-124058</t>
  </si>
  <si>
    <t>CA-2016-129196</t>
  </si>
  <si>
    <t>US-2016-122182</t>
  </si>
  <si>
    <t>CA-2014-102673</t>
  </si>
  <si>
    <t>TEC-PH-10004434</t>
  </si>
  <si>
    <t>Cisco IP Phone 7961G VoIP phone - Dark gray</t>
  </si>
  <si>
    <t>CA-2015-156104</t>
  </si>
  <si>
    <t>NP-18685</t>
  </si>
  <si>
    <t>Nora Pelletier</t>
  </si>
  <si>
    <t>Indianapolis</t>
  </si>
  <si>
    <t>US-2015-164308</t>
  </si>
  <si>
    <t>Broken Arrow</t>
  </si>
  <si>
    <t>CA-2015-165414</t>
  </si>
  <si>
    <t>CA-2016-111913</t>
  </si>
  <si>
    <t>Sacramento</t>
  </si>
  <si>
    <t>CA-2015-102491</t>
  </si>
  <si>
    <t>KW-16435</t>
  </si>
  <si>
    <t>Katrina Willman</t>
  </si>
  <si>
    <t>US-2017-155999</t>
  </si>
  <si>
    <t>CA-2015-153717</t>
  </si>
  <si>
    <t>CA-2015-116687</t>
  </si>
  <si>
    <t>NC-18625</t>
  </si>
  <si>
    <t>Noah Childs</t>
  </si>
  <si>
    <t>CA-2017-117394</t>
  </si>
  <si>
    <t>MM-17920</t>
  </si>
  <si>
    <t>Michael Moore</t>
  </si>
  <si>
    <t>TEC-AC-10000199</t>
  </si>
  <si>
    <t>Kingston Digital DataTraveler 8GB USB 2.0</t>
  </si>
  <si>
    <t>CA-2014-127299</t>
  </si>
  <si>
    <t>TEC-MA-10001127</t>
  </si>
  <si>
    <t>HP Designjet T520 Inkjet Large Format Printer - 24" Color</t>
  </si>
  <si>
    <t>CA-2014-128839</t>
  </si>
  <si>
    <t>TT-21070</t>
  </si>
  <si>
    <t>Ted Trevino</t>
  </si>
  <si>
    <t>CA-2017-106068</t>
  </si>
  <si>
    <t>RB-19330</t>
  </si>
  <si>
    <t>Randy Bradley</t>
  </si>
  <si>
    <t>CA-2015-101091</t>
  </si>
  <si>
    <t>SW-20245</t>
  </si>
  <si>
    <t>Scot Wooten</t>
  </si>
  <si>
    <t>CA-2017-115546</t>
  </si>
  <si>
    <t>AH-10465</t>
  </si>
  <si>
    <t>Amy Hunt</t>
  </si>
  <si>
    <t>US-2017-106131</t>
  </si>
  <si>
    <t>TP-21565</t>
  </si>
  <si>
    <t>Tracy Poddar</t>
  </si>
  <si>
    <t>CA-2014-128846</t>
  </si>
  <si>
    <t>US-2017-136868</t>
  </si>
  <si>
    <t>CR-12820</t>
  </si>
  <si>
    <t>Cyra Reiten</t>
  </si>
  <si>
    <t>CA-2016-111493</t>
  </si>
  <si>
    <t>CM-12160</t>
  </si>
  <si>
    <t>Charles McCrossin</t>
  </si>
  <si>
    <t>Baltimore</t>
  </si>
  <si>
    <t>CA-2017-166709</t>
  </si>
  <si>
    <t>CA-2015-150875</t>
  </si>
  <si>
    <t>HK-14890</t>
  </si>
  <si>
    <t>Heather Kirkland</t>
  </si>
  <si>
    <t>Boise</t>
  </si>
  <si>
    <t>Idaho</t>
  </si>
  <si>
    <t>CA-2015-143105</t>
  </si>
  <si>
    <t>CA-2017-149881</t>
  </si>
  <si>
    <t>CA-2017-134565</t>
  </si>
  <si>
    <t>TEC-MA-10001570</t>
  </si>
  <si>
    <t>Cisco Desktop Collaboration Experience DX650 IP Video Phone</t>
  </si>
  <si>
    <t>CA-2016-159142</t>
  </si>
  <si>
    <t>CA-2014-138436</t>
  </si>
  <si>
    <t>CA-2015-155068</t>
  </si>
  <si>
    <t>CA-2017-158344</t>
  </si>
  <si>
    <t>CC-12475</t>
  </si>
  <si>
    <t>Cindy Chapman</t>
  </si>
  <si>
    <t>Moorhead</t>
  </si>
  <si>
    <t>US-2016-131611</t>
  </si>
  <si>
    <t>US-2017-158505</t>
  </si>
  <si>
    <t>Murray</t>
  </si>
  <si>
    <t>US-2016-107440</t>
  </si>
  <si>
    <t>BS-11365</t>
  </si>
  <si>
    <t>Bill Shonely</t>
  </si>
  <si>
    <t>TEC-MA-10001047</t>
  </si>
  <si>
    <t>3D Systems Cube Printer, 2nd Generation, Magenta</t>
  </si>
  <si>
    <t>CA-2015-105690</t>
  </si>
  <si>
    <t>CA-11965</t>
  </si>
  <si>
    <t>Carol Adams</t>
  </si>
  <si>
    <t>Port Arthur</t>
  </si>
  <si>
    <t>CA-2017-130967</t>
  </si>
  <si>
    <t>EB-13870</t>
  </si>
  <si>
    <t>Emily Burns</t>
  </si>
  <si>
    <t>CA-2017-129021</t>
  </si>
  <si>
    <t>CA-2014-162278</t>
  </si>
  <si>
    <t>AH-10585</t>
  </si>
  <si>
    <t>Angele Hood</t>
  </si>
  <si>
    <t>CA-2014-125829</t>
  </si>
  <si>
    <t>TEC-MA-10003246</t>
  </si>
  <si>
    <t>Hewlett-Packard Deskjet D4360 Printer</t>
  </si>
  <si>
    <t>CA-2014-152345</t>
  </si>
  <si>
    <t>ST-20530</t>
  </si>
  <si>
    <t>Shui Tom</t>
  </si>
  <si>
    <t>US-2015-147662</t>
  </si>
  <si>
    <t>KB-16315</t>
  </si>
  <si>
    <t>Karl Braun</t>
  </si>
  <si>
    <t>Akron</t>
  </si>
  <si>
    <t>CA-2017-107909</t>
  </si>
  <si>
    <t>SS-20875</t>
  </si>
  <si>
    <t>Sung Shariari</t>
  </si>
  <si>
    <t>Redmond</t>
  </si>
  <si>
    <t>CA-2015-112375</t>
  </si>
  <si>
    <t>RD-19720</t>
  </si>
  <si>
    <t>Roger Demir</t>
  </si>
  <si>
    <t>Daytona Beach</t>
  </si>
  <si>
    <t>TEC-AC-10003237</t>
  </si>
  <si>
    <t>Memorex Micro Travel Drive 4 GB</t>
  </si>
  <si>
    <t>CA-2015-125234</t>
  </si>
  <si>
    <t>CA-2017-105410</t>
  </si>
  <si>
    <t>US-2017-100482</t>
  </si>
  <si>
    <t>JL-15130</t>
  </si>
  <si>
    <t>Jack Lebron</t>
  </si>
  <si>
    <t>CA-2017-107748</t>
  </si>
  <si>
    <t>AG-10330</t>
  </si>
  <si>
    <t>Alex Grayson</t>
  </si>
  <si>
    <t>Stockton</t>
  </si>
  <si>
    <t>US-2017-163195</t>
  </si>
  <si>
    <t>LL-16840</t>
  </si>
  <si>
    <t>Lauren Leatherbury</t>
  </si>
  <si>
    <t>US-2017-169320</t>
  </si>
  <si>
    <t>Elkhart</t>
  </si>
  <si>
    <t>US-2015-122784</t>
  </si>
  <si>
    <t>Highland Park</t>
  </si>
  <si>
    <t>CA-2017-111556</t>
  </si>
  <si>
    <t>CD-11920</t>
  </si>
  <si>
    <t>Carlos Daly</t>
  </si>
  <si>
    <t>CA-2016-108868</t>
  </si>
  <si>
    <t>CA-2016-148740</t>
  </si>
  <si>
    <t>CA-2015-164336</t>
  </si>
  <si>
    <t>CA-2014-130624</t>
  </si>
  <si>
    <t>CA-2014-153983</t>
  </si>
  <si>
    <t>CA-2017-159464</t>
  </si>
  <si>
    <t>TB-21355</t>
  </si>
  <si>
    <t>Todd Boyes</t>
  </si>
  <si>
    <t>Sandy Springs</t>
  </si>
  <si>
    <t>US-2016-111290</t>
  </si>
  <si>
    <t>Westland</t>
  </si>
  <si>
    <t>US-2017-125717</t>
  </si>
  <si>
    <t>CA-2017-121300</t>
  </si>
  <si>
    <t>Mentor</t>
  </si>
  <si>
    <t>CA-2014-150798</t>
  </si>
  <si>
    <t>US-2014-138247</t>
  </si>
  <si>
    <t>TEC-PH-10000213</t>
  </si>
  <si>
    <t>Seidio BD2-HK3IPH5-BK DILEX Case and Holster Combo for Apple iPhone 5/5s - Black</t>
  </si>
  <si>
    <t>CA-2014-109491</t>
  </si>
  <si>
    <t>US-2017-105046</t>
  </si>
  <si>
    <t>Rome</t>
  </si>
  <si>
    <t>CA-2017-152856</t>
  </si>
  <si>
    <t>CA-2015-104129</t>
  </si>
  <si>
    <t>Providence</t>
  </si>
  <si>
    <t>CA-2015-126557</t>
  </si>
  <si>
    <t>CA-2015-118871</t>
  </si>
  <si>
    <t>TEC-PH-10000193</t>
  </si>
  <si>
    <t>Jensen SMPS-640 - speaker phone</t>
  </si>
  <si>
    <t>CA-2017-126662</t>
  </si>
  <si>
    <t>CA-2016-139395</t>
  </si>
  <si>
    <t>CA-2015-164427</t>
  </si>
  <si>
    <t>Hattiesburg</t>
  </si>
  <si>
    <t>CA-2016-129868</t>
  </si>
  <si>
    <t>MC-18130</t>
  </si>
  <si>
    <t>Mike Caudle</t>
  </si>
  <si>
    <t>US-2015-113327</t>
  </si>
  <si>
    <t>CA-2015-135020</t>
  </si>
  <si>
    <t>CA-2015-159863</t>
  </si>
  <si>
    <t>DS-13180</t>
  </si>
  <si>
    <t>David Smith</t>
  </si>
  <si>
    <t>CA-2015-117800</t>
  </si>
  <si>
    <t>CA-2017-145219</t>
  </si>
  <si>
    <t>CA-2016-102162</t>
  </si>
  <si>
    <t>JF-15565</t>
  </si>
  <si>
    <t>Jill Fjeld</t>
  </si>
  <si>
    <t>Newport News</t>
  </si>
  <si>
    <t>TEC-CO-10001943</t>
  </si>
  <si>
    <t>Canon PC-428 Personal Copier</t>
  </si>
  <si>
    <t>CA-2015-147501</t>
  </si>
  <si>
    <t>Co-12640</t>
  </si>
  <si>
    <t>Corey-Lock</t>
  </si>
  <si>
    <t>CA-2015-112130</t>
  </si>
  <si>
    <t>TEC-AC-10001542</t>
  </si>
  <si>
    <t>SanDisk Cruzer 16 GB USB Flash Drive</t>
  </si>
  <si>
    <t>CA-2016-116547</t>
  </si>
  <si>
    <t>CA-2016-133550</t>
  </si>
  <si>
    <t>CA-2014-114510</t>
  </si>
  <si>
    <t>JF-15295</t>
  </si>
  <si>
    <t>Jason Fortune-</t>
  </si>
  <si>
    <t>Logan</t>
  </si>
  <si>
    <t>TEC-AC-10004877</t>
  </si>
  <si>
    <t>Imation 30456 USB Flash Drive 8GB</t>
  </si>
  <si>
    <t>CA-2016-127698</t>
  </si>
  <si>
    <t>CA-2016-101987</t>
  </si>
  <si>
    <t>TEC-PH-10001305</t>
  </si>
  <si>
    <t>Panasonic KX TS208W Corded phone</t>
  </si>
  <si>
    <t>CA-2014-138681</t>
  </si>
  <si>
    <t>CA-2017-138149</t>
  </si>
  <si>
    <t>CA-2017-121643</t>
  </si>
  <si>
    <t>US-2015-122910</t>
  </si>
  <si>
    <t>LT-16765</t>
  </si>
  <si>
    <t>Larry Tron</t>
  </si>
  <si>
    <t>CA-2016-124681</t>
  </si>
  <si>
    <t>TEC-AC-10000487</t>
  </si>
  <si>
    <t>SanDisk Cruzer 4 GB USB Flash Drive</t>
  </si>
  <si>
    <t>US-2015-103996</t>
  </si>
  <si>
    <t>CA-2015-155054</t>
  </si>
  <si>
    <t>Lewiston</t>
  </si>
  <si>
    <t>CA-2016-127649</t>
  </si>
  <si>
    <t>Spokane</t>
  </si>
  <si>
    <t>CA-2016-159989</t>
  </si>
  <si>
    <t>US-2015-167220</t>
  </si>
  <si>
    <t>TEC-AC-10002018</t>
  </si>
  <si>
    <t>AmazonBasics 3-Button USB Wired Mouse</t>
  </si>
  <si>
    <t>CA-2014-121573</t>
  </si>
  <si>
    <t>CA-2015-123155</t>
  </si>
  <si>
    <t>NS-18640</t>
  </si>
  <si>
    <t>Noel Staavos</t>
  </si>
  <si>
    <t>US-2014-167262</t>
  </si>
  <si>
    <t>AC-10450</t>
  </si>
  <si>
    <t>Amy Cox</t>
  </si>
  <si>
    <t>Avondale</t>
  </si>
  <si>
    <t>CA-2017-119746</t>
  </si>
  <si>
    <t>CM-12385</t>
  </si>
  <si>
    <t>Christopher Martinez</t>
  </si>
  <si>
    <t>CA-2015-104346</t>
  </si>
  <si>
    <t>Colorado Springs</t>
  </si>
  <si>
    <t>TEC-AC-10004396</t>
  </si>
  <si>
    <t>Logitech Keyboard K120</t>
  </si>
  <si>
    <t>US-2016-148901</t>
  </si>
  <si>
    <t>MK-17905</t>
  </si>
  <si>
    <t>Michael Kennedy</t>
  </si>
  <si>
    <t>CA-2017-136364</t>
  </si>
  <si>
    <t>MH-17455</t>
  </si>
  <si>
    <t>Mark Hamilton</t>
  </si>
  <si>
    <t>CA-2015-151589</t>
  </si>
  <si>
    <t>RE-19450</t>
  </si>
  <si>
    <t>Richard Eichhorn</t>
  </si>
  <si>
    <t>Eau Claire</t>
  </si>
  <si>
    <t>CA-2016-121370</t>
  </si>
  <si>
    <t>CA-2015-140025</t>
  </si>
  <si>
    <t>PF-19120</t>
  </si>
  <si>
    <t>Peter Fuller</t>
  </si>
  <si>
    <t>CA-2016-140018</t>
  </si>
  <si>
    <t>TEC-MA-10000752</t>
  </si>
  <si>
    <t>Texas Instrument TI-15 Fraction Calculator</t>
  </si>
  <si>
    <t>CA-2017-106831</t>
  </si>
  <si>
    <t>CA-2014-164469</t>
  </si>
  <si>
    <t>CA-2014-138940</t>
  </si>
  <si>
    <t>CA-2017-163531</t>
  </si>
  <si>
    <t>CA-2017-131366</t>
  </si>
  <si>
    <t>SC-20440</t>
  </si>
  <si>
    <t>Shaun Chance</t>
  </si>
  <si>
    <t>CA-2014-132864</t>
  </si>
  <si>
    <t>KN-16390</t>
  </si>
  <si>
    <t>Katherine Nockton</t>
  </si>
  <si>
    <t>CA-2017-143567</t>
  </si>
  <si>
    <t>TB-21175</t>
  </si>
  <si>
    <t>Thomas Boland</t>
  </si>
  <si>
    <t>CA-2016-163167</t>
  </si>
  <si>
    <t>RF-19345</t>
  </si>
  <si>
    <t>Randy Ferguson</t>
  </si>
  <si>
    <t>Marietta</t>
  </si>
  <si>
    <t>CA-2014-133809</t>
  </si>
  <si>
    <t>MS-17530</t>
  </si>
  <si>
    <t>MaryBeth Skach</t>
  </si>
  <si>
    <t>TEC-PH-10004875</t>
  </si>
  <si>
    <t>PNY Rapid USB Car Charger - Black</t>
  </si>
  <si>
    <t>CA-2017-127306</t>
  </si>
  <si>
    <t>CA-2016-160304</t>
  </si>
  <si>
    <t>BM-11575</t>
  </si>
  <si>
    <t>Brendan Murry</t>
  </si>
  <si>
    <t>Gaithersburg</t>
  </si>
  <si>
    <t>CA-2017-114055</t>
  </si>
  <si>
    <t>CA-2015-155124</t>
  </si>
  <si>
    <t>KS-16300</t>
  </si>
  <si>
    <t>Karen Seio</t>
  </si>
  <si>
    <t>Lehi</t>
  </si>
  <si>
    <t>TEC-PH-10003356</t>
  </si>
  <si>
    <t>SmartStand Mobile Device Holder, Assorted Colors</t>
  </si>
  <si>
    <t>CA-2015-153906</t>
  </si>
  <si>
    <t>CA-2016-166226</t>
  </si>
  <si>
    <t>TC-21535</t>
  </si>
  <si>
    <t>Tracy Collins</t>
  </si>
  <si>
    <t>CA-2015-109708</t>
  </si>
  <si>
    <t>CA-2015-122406</t>
  </si>
  <si>
    <t>BE-11455</t>
  </si>
  <si>
    <t>Brad Eason</t>
  </si>
  <si>
    <t>CA-2015-142202</t>
  </si>
  <si>
    <t>JR-16210</t>
  </si>
  <si>
    <t>Justin Ritter</t>
  </si>
  <si>
    <t>CA-2015-165050</t>
  </si>
  <si>
    <t>US-2016-131114</t>
  </si>
  <si>
    <t>CA-2017-107321</t>
  </si>
  <si>
    <t>CA-2016-129238</t>
  </si>
  <si>
    <t>CA-2017-159688</t>
  </si>
  <si>
    <t>CA-2014-156006</t>
  </si>
  <si>
    <t>CA-2015-169796</t>
  </si>
  <si>
    <t>TEC-MA-10000045</t>
  </si>
  <si>
    <t>Zebra ZM400 Thermal Label Printer</t>
  </si>
  <si>
    <t>CA-2015-102876</t>
  </si>
  <si>
    <t>LR-17035</t>
  </si>
  <si>
    <t>Lisa Ryan</t>
  </si>
  <si>
    <t>US-2017-160465</t>
  </si>
  <si>
    <t>TEC-PH-10004522</t>
  </si>
  <si>
    <t>Dexim XPower Skin Super-Thin Power Case for iPhone 5 - Black</t>
  </si>
  <si>
    <t>CA-2014-153850</t>
  </si>
  <si>
    <t>TEC-PH-10002584</t>
  </si>
  <si>
    <t>Samsung Galaxy S4</t>
  </si>
  <si>
    <t>CA-2014-127558</t>
  </si>
  <si>
    <t>SS-20410</t>
  </si>
  <si>
    <t>Shahid Shariari</t>
  </si>
  <si>
    <t>CA-2016-133795</t>
  </si>
  <si>
    <t>US-2017-130953</t>
  </si>
  <si>
    <t>CA-2014-151792</t>
  </si>
  <si>
    <t>CA-2014-169803</t>
  </si>
  <si>
    <t>CA-2017-141719</t>
  </si>
  <si>
    <t>EG-13900</t>
  </si>
  <si>
    <t>Emily Grady</t>
  </si>
  <si>
    <t>CA-2015-136469</t>
  </si>
  <si>
    <t>US-2014-104759</t>
  </si>
  <si>
    <t>DD-13570</t>
  </si>
  <si>
    <t>Dorothy Dickinson</t>
  </si>
  <si>
    <t>CA-2015-141243</t>
  </si>
  <si>
    <t>CA-2016-109722</t>
  </si>
  <si>
    <t>Georgetown</t>
  </si>
  <si>
    <t>CA-2015-136798</t>
  </si>
  <si>
    <t>Minneapolis</t>
  </si>
  <si>
    <t>CA-2017-122196</t>
  </si>
  <si>
    <t>CA-2017-142090</t>
  </si>
  <si>
    <t>CA-2014-124478</t>
  </si>
  <si>
    <t>Trenton</t>
  </si>
  <si>
    <t>CA-2016-155138</t>
  </si>
  <si>
    <t>JM-15580</t>
  </si>
  <si>
    <t>Jill Matthias</t>
  </si>
  <si>
    <t>CA-2015-109001</t>
  </si>
  <si>
    <t>TEC-PH-10000562</t>
  </si>
  <si>
    <t>Samsung Convoy 3</t>
  </si>
  <si>
    <t>US-2014-140452</t>
  </si>
  <si>
    <t>BK-11260</t>
  </si>
  <si>
    <t>Berenike Kampe</t>
  </si>
  <si>
    <t>CA-2015-167374</t>
  </si>
  <si>
    <t>GM-14500</t>
  </si>
  <si>
    <t>Gene McClure</t>
  </si>
  <si>
    <t>CA-2015-147102</t>
  </si>
  <si>
    <t>CA-2015-127173</t>
  </si>
  <si>
    <t>Oceanside</t>
  </si>
  <si>
    <t>CA-2014-149538</t>
  </si>
  <si>
    <t>CA-2014-160766</t>
  </si>
  <si>
    <t>CA-2015-123330</t>
  </si>
  <si>
    <t>CA-2015-154886</t>
  </si>
  <si>
    <t>SW-20455</t>
  </si>
  <si>
    <t>Shaun Weien</t>
  </si>
  <si>
    <t>CA-2014-141796</t>
  </si>
  <si>
    <t>CA-2017-163006</t>
  </si>
  <si>
    <t>GH-14410</t>
  </si>
  <si>
    <t>Gary Hansen</t>
  </si>
  <si>
    <t>CA-2015-156146</t>
  </si>
  <si>
    <t>AG-10495</t>
  </si>
  <si>
    <t>Andrew Gjertsen</t>
  </si>
  <si>
    <t>Peoria</t>
  </si>
  <si>
    <t>US-2015-120502</t>
  </si>
  <si>
    <t>BT-11395</t>
  </si>
  <si>
    <t>Bill Tyler</t>
  </si>
  <si>
    <t>US-2015-154389</t>
  </si>
  <si>
    <t>CA-2015-115567</t>
  </si>
  <si>
    <t>US-2017-136679</t>
  </si>
  <si>
    <t>CA-2014-159709</t>
  </si>
  <si>
    <t>AI-10855</t>
  </si>
  <si>
    <t>Arianne Irving</t>
  </si>
  <si>
    <t>CA-2016-103982</t>
  </si>
  <si>
    <t>AA-10315</t>
  </si>
  <si>
    <t>Alex Avila</t>
  </si>
  <si>
    <t>Round Rock</t>
  </si>
  <si>
    <t>CA-2017-117401</t>
  </si>
  <si>
    <t>CA-2014-166744</t>
  </si>
  <si>
    <t>DN-13690</t>
  </si>
  <si>
    <t>Duane Noonan</t>
  </si>
  <si>
    <t>CA-2016-156265</t>
  </si>
  <si>
    <t>BF-11020</t>
  </si>
  <si>
    <t>Barry Französisch</t>
  </si>
  <si>
    <t>US-2017-110989</t>
  </si>
  <si>
    <t>EJ-14155</t>
  </si>
  <si>
    <t>Eva Jacobs</t>
  </si>
  <si>
    <t>US-2016-169369</t>
  </si>
  <si>
    <t>EC-14050</t>
  </si>
  <si>
    <t>Erin Creighton</t>
  </si>
  <si>
    <t>CA-2014-105165</t>
  </si>
  <si>
    <t>SZ-20035</t>
  </si>
  <si>
    <t>Sam Zeldin</t>
  </si>
  <si>
    <t>US-2017-114657</t>
  </si>
  <si>
    <t>TEC-MA-10003173</t>
  </si>
  <si>
    <t>Hewlett-Packard 300S Scientific Calculator</t>
  </si>
  <si>
    <t>CA-2017-147333</t>
  </si>
  <si>
    <t>US-2017-104094</t>
  </si>
  <si>
    <t>CA-2017-108791</t>
  </si>
  <si>
    <t>TM-21490</t>
  </si>
  <si>
    <t>Tony Molinari</t>
  </si>
  <si>
    <t>CA-2016-113831</t>
  </si>
  <si>
    <t>US-2016-168410</t>
  </si>
  <si>
    <t>TEC-PH-10002583</t>
  </si>
  <si>
    <t>iOttie HLCRIO102 Car Mount</t>
  </si>
  <si>
    <t>CA-2015-120320</t>
  </si>
  <si>
    <t>CA-2015-146486</t>
  </si>
  <si>
    <t>US-2014-168501</t>
  </si>
  <si>
    <t>JK-15325</t>
  </si>
  <si>
    <t>Jason Klamczynski</t>
  </si>
  <si>
    <t>CA-2015-112053</t>
  </si>
  <si>
    <t>CA-2016-123932</t>
  </si>
  <si>
    <t>CA-2014-150490</t>
  </si>
  <si>
    <t>CA-2016-107790</t>
  </si>
  <si>
    <t>CA-2017-158071</t>
  </si>
  <si>
    <t>CA-2017-134152</t>
  </si>
  <si>
    <t>CA-2016-136021</t>
  </si>
  <si>
    <t>TEC-MA-10000423</t>
  </si>
  <si>
    <t>Texas Instruments TI-34 Scientific Calculator</t>
  </si>
  <si>
    <t>CA-2017-161410</t>
  </si>
  <si>
    <t>CA-2017-164707</t>
  </si>
  <si>
    <t>CV-12805</t>
  </si>
  <si>
    <t>Cynthia Voltz</t>
  </si>
  <si>
    <t>CA-2017-132262</t>
  </si>
  <si>
    <t>ML-18265</t>
  </si>
  <si>
    <t>Muhammed Lee</t>
  </si>
  <si>
    <t>US-2016-143280</t>
  </si>
  <si>
    <t>CA-2017-166856</t>
  </si>
  <si>
    <t>Clovis</t>
  </si>
  <si>
    <t>TEC-AC-10004992</t>
  </si>
  <si>
    <t>Kingston Digital DataTraveler 64GB USB 2.0</t>
  </si>
  <si>
    <t>CA-2016-153157</t>
  </si>
  <si>
    <t>TB-21625</t>
  </si>
  <si>
    <t>Trudy Brown</t>
  </si>
  <si>
    <t>Wichita</t>
  </si>
  <si>
    <t>US-2017-125647</t>
  </si>
  <si>
    <t>CA-2015-110877</t>
  </si>
  <si>
    <t>JE-15715</t>
  </si>
  <si>
    <t>Joe Elijah</t>
  </si>
  <si>
    <t>US-2016-151827</t>
  </si>
  <si>
    <t>CA-2016-153598</t>
  </si>
  <si>
    <t>NM-18520</t>
  </si>
  <si>
    <t>Neoma Murray</t>
  </si>
  <si>
    <t>TEC-AC-10003870</t>
  </si>
  <si>
    <t>Logitech Z-906 Speaker sys - home theater - 5.1-CH</t>
  </si>
  <si>
    <t>CA-2015-160171</t>
  </si>
  <si>
    <t>CA-2015-148712</t>
  </si>
  <si>
    <t>US-2016-127425</t>
  </si>
  <si>
    <t>US-2014-119081</t>
  </si>
  <si>
    <t>Olathe</t>
  </si>
  <si>
    <t>CA-2017-105487</t>
  </si>
  <si>
    <t>CA-2017-134495</t>
  </si>
  <si>
    <t>CA-2017-117821</t>
  </si>
  <si>
    <t>CA-2017-164378</t>
  </si>
  <si>
    <t>MM-18055</t>
  </si>
  <si>
    <t>Michelle Moray</t>
  </si>
  <si>
    <t>CA-2017-127782</t>
  </si>
  <si>
    <t>TH-21115</t>
  </si>
  <si>
    <t>Thea Hudgings</t>
  </si>
  <si>
    <t>US-2017-152569</t>
  </si>
  <si>
    <t>CA-2015-103177</t>
  </si>
  <si>
    <t>RCA H5401RE1 DECT 6.0 4-Line Cordless Handset With Caller ID/Call Waiting</t>
  </si>
  <si>
    <t>US-2016-138408</t>
  </si>
  <si>
    <t>CA-2017-117667</t>
  </si>
  <si>
    <t>CA-2015-137106</t>
  </si>
  <si>
    <t>CA-2017-160885</t>
  </si>
  <si>
    <t>JK-16090</t>
  </si>
  <si>
    <t>Juliana Krohn</t>
  </si>
  <si>
    <t>US-2016-167472</t>
  </si>
  <si>
    <t>CA-2017-151008</t>
  </si>
  <si>
    <t>JM-16195</t>
  </si>
  <si>
    <t>Justin MacKendrick</t>
  </si>
  <si>
    <t>Draper</t>
  </si>
  <si>
    <t>CA-2014-159800</t>
  </si>
  <si>
    <t>SG-20470</t>
  </si>
  <si>
    <t>Sheri Gordon</t>
  </si>
  <si>
    <t>US-2014-159618</t>
  </si>
  <si>
    <t>DB-12970</t>
  </si>
  <si>
    <t>Darren Budd</t>
  </si>
  <si>
    <t>CA-2017-133263</t>
  </si>
  <si>
    <t>CA-2017-157966</t>
  </si>
  <si>
    <t>TEC-MA-10002109</t>
  </si>
  <si>
    <t>HP Officejet Pro 8600 e-All-In-One Printer, Copier, Scanner, Fax</t>
  </si>
  <si>
    <t>CA-2014-151162</t>
  </si>
  <si>
    <t>TEC-PH-10001870</t>
  </si>
  <si>
    <t>Lunatik TT5L-002 Taktik Strike Impact Protection System for iPhone 5</t>
  </si>
  <si>
    <t>CA-2017-105333</t>
  </si>
  <si>
    <t>VP-21730</t>
  </si>
  <si>
    <t>Victor Preis</t>
  </si>
  <si>
    <t>TEC-PH-10001468</t>
  </si>
  <si>
    <t>Panasonic Business Telephones KX-T7736</t>
  </si>
  <si>
    <t>CA-2017-160325</t>
  </si>
  <si>
    <t>BP-11095</t>
  </si>
  <si>
    <t>Bart Pistole</t>
  </si>
  <si>
    <t>CA-2014-108903</t>
  </si>
  <si>
    <t>CA-2017-117198</t>
  </si>
  <si>
    <t>BG-11035</t>
  </si>
  <si>
    <t>Barry Gonzalez</t>
  </si>
  <si>
    <t>CA-2015-145828</t>
  </si>
  <si>
    <t>CA-2017-121027</t>
  </si>
  <si>
    <t>US-2016-124163</t>
  </si>
  <si>
    <t>SC-20695</t>
  </si>
  <si>
    <t>Steve Chapman</t>
  </si>
  <si>
    <t>La Crosse</t>
  </si>
  <si>
    <t>CA-2016-121748</t>
  </si>
  <si>
    <t>CA-2014-127614</t>
  </si>
  <si>
    <t>CA-2017-123022</t>
  </si>
  <si>
    <t>La Mesa</t>
  </si>
  <si>
    <t>CA-2016-145261</t>
  </si>
  <si>
    <t>AH-10120</t>
  </si>
  <si>
    <t>Adrian Hane</t>
  </si>
  <si>
    <t>CA-2016-142405</t>
  </si>
  <si>
    <t>CA-2015-141012</t>
  </si>
  <si>
    <t>TG-21640</t>
  </si>
  <si>
    <t>Trudy Glocke</t>
  </si>
  <si>
    <t>Pocatello</t>
  </si>
  <si>
    <t>CA-2014-135993</t>
  </si>
  <si>
    <t>CA-2014-164315</t>
  </si>
  <si>
    <t>Athens</t>
  </si>
  <si>
    <t>US-2015-138093</t>
  </si>
  <si>
    <t>CA-2016-125661</t>
  </si>
  <si>
    <t>US-2014-123519</t>
  </si>
  <si>
    <t>US-2015-160857</t>
  </si>
  <si>
    <t>CA-2017-115805</t>
  </si>
  <si>
    <t>US-2014-143707</t>
  </si>
  <si>
    <t>HR-14770</t>
  </si>
  <si>
    <t>Hallie Redmond</t>
  </si>
  <si>
    <t>CA-2015-124107</t>
  </si>
  <si>
    <t>Ann Arbor</t>
  </si>
  <si>
    <t>CA-2015-138674</t>
  </si>
  <si>
    <t>CA-2015-103933</t>
  </si>
  <si>
    <t>CA-2015-110548</t>
  </si>
  <si>
    <t>CA-2017-117324</t>
  </si>
  <si>
    <t>Madison</t>
  </si>
  <si>
    <t>US-2017-147886</t>
  </si>
  <si>
    <t>CA-2016-113733</t>
  </si>
  <si>
    <t>Greenville</t>
  </si>
  <si>
    <t>CA-2017-104913</t>
  </si>
  <si>
    <t>DK-13090</t>
  </si>
  <si>
    <t>Dave Kipp</t>
  </si>
  <si>
    <t>CA-2014-163748</t>
  </si>
  <si>
    <t>CA-2015-149300</t>
  </si>
  <si>
    <t>Hialeah</t>
  </si>
  <si>
    <t>US-2014-126340</t>
  </si>
  <si>
    <t>Redding</t>
  </si>
  <si>
    <t>CA-2017-126396</t>
  </si>
  <si>
    <t>AR-10345</t>
  </si>
  <si>
    <t>Alex Russell</t>
  </si>
  <si>
    <t>CA-2015-158939</t>
  </si>
  <si>
    <t>US-2015-159513</t>
  </si>
  <si>
    <t>JD-15790</t>
  </si>
  <si>
    <t>John Dryer</t>
  </si>
  <si>
    <t>TEC-MA-10003329</t>
  </si>
  <si>
    <t>Vtech AT&amp;T CL2940 Corded Speakerphone, Black</t>
  </si>
  <si>
    <t>CA-2014-123225</t>
  </si>
  <si>
    <t>MN-17935</t>
  </si>
  <si>
    <t>Michael Nguyen</t>
  </si>
  <si>
    <t>CA-2015-163440</t>
  </si>
  <si>
    <t>Thousand Oaks</t>
  </si>
  <si>
    <t>US-2015-163279</t>
  </si>
  <si>
    <t>US-2015-106495</t>
  </si>
  <si>
    <t>CA-2014-124730</t>
  </si>
  <si>
    <t>Utica</t>
  </si>
  <si>
    <t>CA-2015-111206</t>
  </si>
  <si>
    <t>CA-2015-101868</t>
  </si>
  <si>
    <t>MJ-17740</t>
  </si>
  <si>
    <t>Max Jones</t>
  </si>
  <si>
    <t>CA-2017-133207</t>
  </si>
  <si>
    <t>DO-13645</t>
  </si>
  <si>
    <t>Doug O'Connell</t>
  </si>
  <si>
    <t>TEC-PH-10004100</t>
  </si>
  <si>
    <t>Griffin GC17055 Auxiliary Audio Cable</t>
  </si>
  <si>
    <t>CA-2015-126725</t>
  </si>
  <si>
    <t>TEC-PH-10003174</t>
  </si>
  <si>
    <t>RCA ViSYS 25825 Wireless digital phone</t>
  </si>
  <si>
    <t>CA-2015-121783</t>
  </si>
  <si>
    <t>Roseville</t>
  </si>
  <si>
    <t>US-2014-109456</t>
  </si>
  <si>
    <t>CA-2016-146157</t>
  </si>
  <si>
    <t>CA-2016-167682</t>
  </si>
  <si>
    <t>US-2017-153948</t>
  </si>
  <si>
    <t>US-2015-126977</t>
  </si>
  <si>
    <t>CA-2017-150420</t>
  </si>
  <si>
    <t>Bellingham</t>
  </si>
  <si>
    <t>US-2017-169551</t>
  </si>
  <si>
    <t>CA-2016-103107</t>
  </si>
  <si>
    <t>CA-2017-122077</t>
  </si>
  <si>
    <t>CA-2017-112431</t>
  </si>
  <si>
    <t>CA-2016-151092</t>
  </si>
  <si>
    <t>VG-21790</t>
  </si>
  <si>
    <t>Vivek Gonzalez</t>
  </si>
  <si>
    <t>CA-2014-104178</t>
  </si>
  <si>
    <t>CA-2017-161046</t>
  </si>
  <si>
    <t>CB-12535</t>
  </si>
  <si>
    <t>Claudia Bergmann</t>
  </si>
  <si>
    <t>CA-2014-140732</t>
  </si>
  <si>
    <t>CA-2017-119011</t>
  </si>
  <si>
    <t>CA-2017-116953</t>
  </si>
  <si>
    <t>US-2017-163300</t>
  </si>
  <si>
    <t>CA-2017-129581</t>
  </si>
  <si>
    <t>New Bedford</t>
  </si>
  <si>
    <t>CA-2015-135580</t>
  </si>
  <si>
    <t>CA-2016-159016</t>
  </si>
  <si>
    <t>KF-16285</t>
  </si>
  <si>
    <t>Karen Ferguson</t>
  </si>
  <si>
    <t>US-2016-156692</t>
  </si>
  <si>
    <t>Kenner</t>
  </si>
  <si>
    <t>US-2017-128832</t>
  </si>
  <si>
    <t>LS-16945</t>
  </si>
  <si>
    <t>Linda Southworth</t>
  </si>
  <si>
    <t>CA-2017-136007</t>
  </si>
  <si>
    <t>CA-2017-122364</t>
  </si>
  <si>
    <t>TEC-MA-10001031</t>
  </si>
  <si>
    <t>Socket Bluetooth Cordless Hand Scanner (CHS)</t>
  </si>
  <si>
    <t>CA-2014-138072</t>
  </si>
  <si>
    <t>GA-14725</t>
  </si>
  <si>
    <t>Guy Armstrong</t>
  </si>
  <si>
    <t>CA-2015-111780</t>
  </si>
  <si>
    <t>CA-2017-166695</t>
  </si>
  <si>
    <t>TEC-MA-10003176</t>
  </si>
  <si>
    <t>Okidata B400 Printer</t>
  </si>
  <si>
    <t>CA-2016-151561</t>
  </si>
  <si>
    <t>US-2016-132577</t>
  </si>
  <si>
    <t>CA-2017-100111</t>
  </si>
  <si>
    <t>TEC-AC-10002647</t>
  </si>
  <si>
    <t>Logitech Wireless Boombox Speaker - portable - wireless, wired</t>
  </si>
  <si>
    <t>CA-2014-120852</t>
  </si>
  <si>
    <t>US-2016-113677</t>
  </si>
  <si>
    <t>TEC-PH-10002114</t>
  </si>
  <si>
    <t>Xiaomi Mi3</t>
  </si>
  <si>
    <t>CA-2017-143378</t>
  </si>
  <si>
    <t>CA-2017-145772</t>
  </si>
  <si>
    <t>CA-2017-162033</t>
  </si>
  <si>
    <t>EM-14200</t>
  </si>
  <si>
    <t>Evan Minnotte</t>
  </si>
  <si>
    <t>CA-2015-105613</t>
  </si>
  <si>
    <t>Mcallen</t>
  </si>
  <si>
    <t>CA-2017-121083</t>
  </si>
  <si>
    <t>JF-15190</t>
  </si>
  <si>
    <t>Jamie Frazer</t>
  </si>
  <si>
    <t>Manchester</t>
  </si>
  <si>
    <t>CA-2016-161928</t>
  </si>
  <si>
    <t>AC-10660</t>
  </si>
  <si>
    <t>Anna Chung</t>
  </si>
  <si>
    <t>CA-2016-104150</t>
  </si>
  <si>
    <t>TEC-AC-10004803</t>
  </si>
  <si>
    <t>Sony Micro Vault Click 4 GB USB 2.0 Flash Drive</t>
  </si>
  <si>
    <t>CA-2014-103989</t>
  </si>
  <si>
    <t>MC-17605</t>
  </si>
  <si>
    <t>Matt Connell</t>
  </si>
  <si>
    <t>US-2014-106299</t>
  </si>
  <si>
    <t>CA-2015-158421</t>
  </si>
  <si>
    <t>GB-14575</t>
  </si>
  <si>
    <t>Giulietta Baptist</t>
  </si>
  <si>
    <t>CA-2017-157903</t>
  </si>
  <si>
    <t>AM-10705</t>
  </si>
  <si>
    <t>Anne McFarland</t>
  </si>
  <si>
    <t>Des Plaines</t>
  </si>
  <si>
    <t>CA-2017-113453</t>
  </si>
  <si>
    <t>CA-2015-149909</t>
  </si>
  <si>
    <t>CA-2015-146675</t>
  </si>
  <si>
    <t>SB-20185</t>
  </si>
  <si>
    <t>Sarah Brown</t>
  </si>
  <si>
    <t>CA-2016-133669</t>
  </si>
  <si>
    <t>US-2015-129553</t>
  </si>
  <si>
    <t>CA-2016-160220</t>
  </si>
  <si>
    <t>JS-16030</t>
  </si>
  <si>
    <t>Joy Smith</t>
  </si>
  <si>
    <t>CA-2014-148782</t>
  </si>
  <si>
    <t>Irving</t>
  </si>
  <si>
    <t>CA-2016-148208</t>
  </si>
  <si>
    <t>US-2017-142188</t>
  </si>
  <si>
    <t>TEC-PH-10000127</t>
  </si>
  <si>
    <t>iOttie XL Car Mount</t>
  </si>
  <si>
    <t>CA-2015-112305</t>
  </si>
  <si>
    <t>CA-2014-165806</t>
  </si>
  <si>
    <t>CA-2015-115392</t>
  </si>
  <si>
    <t>Cambridge</t>
  </si>
  <si>
    <t>CA-2017-102379</t>
  </si>
  <si>
    <t>CA-2017-149706</t>
  </si>
  <si>
    <t>Palatine</t>
  </si>
  <si>
    <t>US-2016-139087</t>
  </si>
  <si>
    <t>TEC-AC-10004595</t>
  </si>
  <si>
    <t>First Data TMFD35 PIN Pad</t>
  </si>
  <si>
    <t>CA-2016-121020</t>
  </si>
  <si>
    <t>CG-12040</t>
  </si>
  <si>
    <t>Catherine Glotzbach</t>
  </si>
  <si>
    <t>Lebanon</t>
  </si>
  <si>
    <t>CA-2015-151253</t>
  </si>
  <si>
    <t>AZ-10750</t>
  </si>
  <si>
    <t>Annie Zypern</t>
  </si>
  <si>
    <t>CA-2017-166919</t>
  </si>
  <si>
    <t>CA-2017-120019</t>
  </si>
  <si>
    <t>CA-2017-161459</t>
  </si>
  <si>
    <t>Laguna Niguel</t>
  </si>
  <si>
    <t>CA-2014-104402</t>
  </si>
  <si>
    <t>DB-13660</t>
  </si>
  <si>
    <t>Duane Benoit</t>
  </si>
  <si>
    <t>CA-2016-165995</t>
  </si>
  <si>
    <t>BG-11740</t>
  </si>
  <si>
    <t>Bruce Geld</t>
  </si>
  <si>
    <t>CA-2017-143112</t>
  </si>
  <si>
    <t>CA-2015-146255</t>
  </si>
  <si>
    <t>CA-2017-161130</t>
  </si>
  <si>
    <t>BF-11275</t>
  </si>
  <si>
    <t>Beth Fritzler</t>
  </si>
  <si>
    <t>US-2015-109015</t>
  </si>
  <si>
    <t>CA-2017-139080</t>
  </si>
  <si>
    <t>CA-2017-110443</t>
  </si>
  <si>
    <t>Renton</t>
  </si>
  <si>
    <t>TEC-MA-10002073</t>
  </si>
  <si>
    <t>3D Systems Cube Printer, 2nd Generation, White</t>
  </si>
  <si>
    <t>CA-2017-144848</t>
  </si>
  <si>
    <t>TEC-PH-10004006</t>
  </si>
  <si>
    <t>Panasonic KX - TS880B Telephone</t>
  </si>
  <si>
    <t>CA-2017-143035</t>
  </si>
  <si>
    <t>CA-2017-150623</t>
  </si>
  <si>
    <t>DB-13360</t>
  </si>
  <si>
    <t>Dennis Bolton</t>
  </si>
  <si>
    <t>Waterbury</t>
  </si>
  <si>
    <t>CA-2016-127236</t>
  </si>
  <si>
    <t>TB-21595</t>
  </si>
  <si>
    <t>Troy Blackwell</t>
  </si>
  <si>
    <t>US-2017-104661</t>
  </si>
  <si>
    <t>CA-2017-151981</t>
  </si>
  <si>
    <t>CA-2015-156328</t>
  </si>
  <si>
    <t>CA-2017-161774</t>
  </si>
  <si>
    <t>CA-2017-151211</t>
  </si>
  <si>
    <t>CA-2016-111976</t>
  </si>
  <si>
    <t>CA-2014-159121</t>
  </si>
  <si>
    <t>CA-2016-143714</t>
  </si>
  <si>
    <t>TEC-PH-10004080</t>
  </si>
  <si>
    <t>Avaya 5410 Digital phone</t>
  </si>
  <si>
    <t>CA-2015-121405</t>
  </si>
  <si>
    <t>FC-14335</t>
  </si>
  <si>
    <t>Fred Chung</t>
  </si>
  <si>
    <t>US-2017-116897</t>
  </si>
  <si>
    <t>US-2015-110261</t>
  </si>
  <si>
    <t>Glenview</t>
  </si>
  <si>
    <t>CA-2014-110065</t>
  </si>
  <si>
    <t>SP-20650</t>
  </si>
  <si>
    <t>Stephanie Phelps</t>
  </si>
  <si>
    <t>US-2017-133361</t>
  </si>
  <si>
    <t>AJ-10780</t>
  </si>
  <si>
    <t>Anthony Jacobs</t>
  </si>
  <si>
    <t>CA-2017-153080</t>
  </si>
  <si>
    <t>CA-2016-163804</t>
  </si>
  <si>
    <t>CA-2015-108532</t>
  </si>
  <si>
    <t>CA-2017-140872</t>
  </si>
  <si>
    <t>NR-18550</t>
  </si>
  <si>
    <t>Nick Radford</t>
  </si>
  <si>
    <t>CA-2017-113908</t>
  </si>
  <si>
    <t>CA-2016-113845</t>
  </si>
  <si>
    <t>CA-2017-111262</t>
  </si>
  <si>
    <t>CA-2015-103135</t>
  </si>
  <si>
    <t>SS-20515</t>
  </si>
  <si>
    <t>Shirley Schmidt</t>
  </si>
  <si>
    <t>CA-2014-129147</t>
  </si>
  <si>
    <t>LC-17050</t>
  </si>
  <si>
    <t>Liz Carlisle</t>
  </si>
  <si>
    <t>CA-2017-167640</t>
  </si>
  <si>
    <t>FC-14245</t>
  </si>
  <si>
    <t>Frank Carlisle</t>
  </si>
  <si>
    <t>CA-2016-129308</t>
  </si>
  <si>
    <t>CA-2016-157791</t>
  </si>
  <si>
    <t>US-2017-107384</t>
  </si>
  <si>
    <t>CA-2015-109862</t>
  </si>
  <si>
    <t>US-2017-107888</t>
  </si>
  <si>
    <t>CA-2014-137092</t>
  </si>
  <si>
    <t>CA-2014-100678</t>
  </si>
  <si>
    <t>CA-2016-160535</t>
  </si>
  <si>
    <t>BP-11050</t>
  </si>
  <si>
    <t>Barry Pond</t>
  </si>
  <si>
    <t>TEC-MA-10004255</t>
  </si>
  <si>
    <t>Konica Minolta magicolor 1690MF Multifunction Printer</t>
  </si>
  <si>
    <t>CA-2017-123085</t>
  </si>
  <si>
    <t>EJ-13720</t>
  </si>
  <si>
    <t>Ed Jacobs</t>
  </si>
  <si>
    <t>CA-2015-153752</t>
  </si>
  <si>
    <t>RO-19780</t>
  </si>
  <si>
    <t>Rose O'Brian</t>
  </si>
  <si>
    <t>CA-2014-103660</t>
  </si>
  <si>
    <t>CA-2016-148516</t>
  </si>
  <si>
    <t>CA-2017-104731</t>
  </si>
  <si>
    <t>CA-2015-103716</t>
  </si>
  <si>
    <t>CA-2016-148852</t>
  </si>
  <si>
    <t>CA-2015-107678</t>
  </si>
  <si>
    <t>CA-2014-145541</t>
  </si>
  <si>
    <t>CA-2015-135489</t>
  </si>
  <si>
    <t>CA-2016-166275</t>
  </si>
  <si>
    <t>CA-2017-144498</t>
  </si>
  <si>
    <t>MB-18085</t>
  </si>
  <si>
    <t>Mick Brown</t>
  </si>
  <si>
    <t>CA-2017-128328</t>
  </si>
  <si>
    <t>US-2015-156496</t>
  </si>
  <si>
    <t>US-2017-124779</t>
  </si>
  <si>
    <t>CA-2017-135937</t>
  </si>
  <si>
    <t>CA-2017-122175</t>
  </si>
  <si>
    <t>CA-12775</t>
  </si>
  <si>
    <t>Cynthia Arntzen</t>
  </si>
  <si>
    <t>Vineland</t>
  </si>
  <si>
    <t>CA-2015-109337</t>
  </si>
  <si>
    <t>DL-13330</t>
  </si>
  <si>
    <t>Denise Leinenbach</t>
  </si>
  <si>
    <t>TEC-MA-10002930</t>
  </si>
  <si>
    <t>Ricoh - Ink Collector Unit for GX3000 Series Printers</t>
  </si>
  <si>
    <t>CA-2017-140494</t>
  </si>
  <si>
    <t>CM-11815</t>
  </si>
  <si>
    <t>Candace McMahon</t>
  </si>
  <si>
    <t>US-2016-163538</t>
  </si>
  <si>
    <t>CA-2015-139164</t>
  </si>
  <si>
    <t>CA-2016-112277</t>
  </si>
  <si>
    <t>CA-2017-107629</t>
  </si>
  <si>
    <t>Skokie</t>
  </si>
  <si>
    <t>CA-2017-102974</t>
  </si>
  <si>
    <t>DP-13105</t>
  </si>
  <si>
    <t>Dave Poirier</t>
  </si>
  <si>
    <t>CA-2017-111269</t>
  </si>
  <si>
    <t>CA-2017-159156</t>
  </si>
  <si>
    <t>KB-16600</t>
  </si>
  <si>
    <t>Ken Brennan</t>
  </si>
  <si>
    <t>CA-2017-100230</t>
  </si>
  <si>
    <t>CA-2017-124205</t>
  </si>
  <si>
    <t>TC-21145</t>
  </si>
  <si>
    <t>Theresa Coyne</t>
  </si>
  <si>
    <t>CA-2016-144764</t>
  </si>
  <si>
    <t>TEC-MA-10003230</t>
  </si>
  <si>
    <t>Okidata C610n Printer</t>
  </si>
  <si>
    <t>US-2017-166037</t>
  </si>
  <si>
    <t>CL-12700</t>
  </si>
  <si>
    <t>Craig Leslie</t>
  </si>
  <si>
    <t>CA-2015-145394</t>
  </si>
  <si>
    <t>CA-2016-109827</t>
  </si>
  <si>
    <t>CA-2014-152233</t>
  </si>
  <si>
    <t>CA-2017-156237</t>
  </si>
  <si>
    <t>PS-18760</t>
  </si>
  <si>
    <t>Pamela Stobb</t>
  </si>
  <si>
    <t>CA-2016-118689</t>
  </si>
  <si>
    <t>TC-20980</t>
  </si>
  <si>
    <t>Tamara Chand</t>
  </si>
  <si>
    <t>CA-2016-140438</t>
  </si>
  <si>
    <t>PW-19030</t>
  </si>
  <si>
    <t>Pauline Webber</t>
  </si>
  <si>
    <t>CA-2016-142615</t>
  </si>
  <si>
    <t>Montebello</t>
  </si>
  <si>
    <t>CA-2017-107517</t>
  </si>
  <si>
    <t>Torrance</t>
  </si>
  <si>
    <t>CA-2016-123946</t>
  </si>
  <si>
    <t>CA-2016-162110</t>
  </si>
  <si>
    <t>US-2017-162670</t>
  </si>
  <si>
    <t>MF-18250</t>
  </si>
  <si>
    <t>Monica Federle</t>
  </si>
  <si>
    <t>CA-2017-128965</t>
  </si>
  <si>
    <t>US-2016-126452</t>
  </si>
  <si>
    <t>CA-2014-124394</t>
  </si>
  <si>
    <t>Beaumont</t>
  </si>
  <si>
    <t>CA-2017-123036</t>
  </si>
  <si>
    <t>HA-14905</t>
  </si>
  <si>
    <t>Helen Abelman</t>
  </si>
  <si>
    <t>CA-2017-164756</t>
  </si>
  <si>
    <t>CA-2015-140557</t>
  </si>
  <si>
    <t>TN-21040</t>
  </si>
  <si>
    <t>Tanja Norvell</t>
  </si>
  <si>
    <t>US-2017-135013</t>
  </si>
  <si>
    <t>Huntington Beach</t>
  </si>
  <si>
    <t>CA-2016-140249</t>
  </si>
  <si>
    <t>US-2017-128398</t>
  </si>
  <si>
    <t>CA-2015-104115</t>
  </si>
  <si>
    <t>West Palm Beach</t>
  </si>
  <si>
    <t>CA-2016-140382</t>
  </si>
  <si>
    <t>CA-2014-164182</t>
  </si>
  <si>
    <t>TEC-PH-10002070</t>
  </si>
  <si>
    <t>Griffin GC36547 PowerJolt SE Lightning Charger</t>
  </si>
  <si>
    <t>CA-2017-137365</t>
  </si>
  <si>
    <t>CA-2016-125094</t>
  </si>
  <si>
    <t>TEC-AC-10004420</t>
  </si>
  <si>
    <t>Cherry 142-key Programmable Keyboard</t>
  </si>
  <si>
    <t>CA-2015-139248</t>
  </si>
  <si>
    <t>TEC-PH-10004094</t>
  </si>
  <si>
    <t>Motorola L703CM</t>
  </si>
  <si>
    <t>CA-2015-161767</t>
  </si>
  <si>
    <t>TEC-MA-10002790</t>
  </si>
  <si>
    <t>NeatDesk Desktop Scanner &amp; Digital Filing System</t>
  </si>
  <si>
    <t>CA-2015-129917</t>
  </si>
  <si>
    <t>HM-14980</t>
  </si>
  <si>
    <t>Henry MacAllister</t>
  </si>
  <si>
    <t>CA-2016-157161</t>
  </si>
  <si>
    <t>CA-2015-110765</t>
  </si>
  <si>
    <t>CA-2017-153822</t>
  </si>
  <si>
    <t>US-2016-119298</t>
  </si>
  <si>
    <t>CA-2016-116526</t>
  </si>
  <si>
    <t>CA-2015-109386</t>
  </si>
  <si>
    <t>Hampton</t>
  </si>
  <si>
    <t>CA-2014-114790</t>
  </si>
  <si>
    <t>FM-14215</t>
  </si>
  <si>
    <t>Filia McAdams</t>
  </si>
  <si>
    <t>CA-2014-124737</t>
  </si>
  <si>
    <t>US-2017-101840</t>
  </si>
  <si>
    <t>SP-20545</t>
  </si>
  <si>
    <t>Sibella Parks</t>
  </si>
  <si>
    <t>CA-2016-145548</t>
  </si>
  <si>
    <t>CA-2014-124618</t>
  </si>
  <si>
    <t>CS-11860</t>
  </si>
  <si>
    <t>Cari Schnelling</t>
  </si>
  <si>
    <t>US-2017-165358</t>
  </si>
  <si>
    <t>CA-2014-150581</t>
  </si>
  <si>
    <t>CA-2016-165330</t>
  </si>
  <si>
    <t>CA-2016-106950</t>
  </si>
  <si>
    <t>CA-2017-118724</t>
  </si>
  <si>
    <t>CA-2017-118864</t>
  </si>
  <si>
    <t>US-2015-153374</t>
  </si>
  <si>
    <t>CA-2017-128944</t>
  </si>
  <si>
    <t>KH-16330</t>
  </si>
  <si>
    <t>Katharine Harms</t>
  </si>
  <si>
    <t>CA-2016-109666</t>
  </si>
  <si>
    <t>CA-2016-166282</t>
  </si>
  <si>
    <t>PK-19075</t>
  </si>
  <si>
    <t>Pete Kriz</t>
  </si>
  <si>
    <t>Nashville</t>
  </si>
  <si>
    <t>CA-2017-141439</t>
  </si>
  <si>
    <t>CA-2017-128783</t>
  </si>
  <si>
    <t>Saint Charles</t>
  </si>
  <si>
    <t>US-2017-141558</t>
  </si>
  <si>
    <t>MH-17290</t>
  </si>
  <si>
    <t>Marc Harrigan</t>
  </si>
  <si>
    <t>CA-2015-166583</t>
  </si>
  <si>
    <t>CA-2015-145835</t>
  </si>
  <si>
    <t>CA-2017-125381</t>
  </si>
  <si>
    <t>US-2017-141677</t>
  </si>
  <si>
    <t>US-2016-144351</t>
  </si>
  <si>
    <t>RC-19960</t>
  </si>
  <si>
    <t>Ryan Crowe</t>
  </si>
  <si>
    <t>CA-2016-138667</t>
  </si>
  <si>
    <t>CA-2016-164399</t>
  </si>
  <si>
    <t>US-2015-156797</t>
  </si>
  <si>
    <t>CA-2016-104276</t>
  </si>
  <si>
    <t>CA-2017-137414</t>
  </si>
  <si>
    <t>CA-2015-150770</t>
  </si>
  <si>
    <t>US-2017-104437</t>
  </si>
  <si>
    <t>TG-21310</t>
  </si>
  <si>
    <t>Toby Gnade</t>
  </si>
  <si>
    <t>CA-2017-113075</t>
  </si>
  <si>
    <t>CA-2016-109953</t>
  </si>
  <si>
    <t>CA-2017-127397</t>
  </si>
  <si>
    <t>CA-2016-164924</t>
  </si>
  <si>
    <t>TEC-MA-10000904</t>
  </si>
  <si>
    <t>Brother MFC-9340CDW LED All-In-One Printer, Copier Scanner</t>
  </si>
  <si>
    <t>CA-2015-158491</t>
  </si>
  <si>
    <t>BP-11155</t>
  </si>
  <si>
    <t>Becky Pak</t>
  </si>
  <si>
    <t>CA-2016-152730</t>
  </si>
  <si>
    <t>Superior</t>
  </si>
  <si>
    <t>CA-2017-156363</t>
  </si>
  <si>
    <t>CA-2015-144519</t>
  </si>
  <si>
    <t>Helena</t>
  </si>
  <si>
    <t>CA-2014-120670</t>
  </si>
  <si>
    <t>CA-2016-157217</t>
  </si>
  <si>
    <t>CA-2016-108224</t>
  </si>
  <si>
    <t>Yuma</t>
  </si>
  <si>
    <t>CA-2017-159282</t>
  </si>
  <si>
    <t>CA-2017-151183</t>
  </si>
  <si>
    <t>CA-2016-149965</t>
  </si>
  <si>
    <t>CA-2014-158281</t>
  </si>
  <si>
    <t>CA-2017-109183</t>
  </si>
  <si>
    <t>TEC-MA-10001856</t>
  </si>
  <si>
    <t>CA-2016-144092</t>
  </si>
  <si>
    <t>San Jose</t>
  </si>
  <si>
    <t>CA-2016-121377</t>
  </si>
  <si>
    <t>Park Ridge</t>
  </si>
  <si>
    <t>CA-2017-100097</t>
  </si>
  <si>
    <t>CA-2017-167626</t>
  </si>
  <si>
    <t>US-2014-131275</t>
  </si>
  <si>
    <t>Burbank</t>
  </si>
  <si>
    <t>CA-2017-115119</t>
  </si>
  <si>
    <t>CA-2015-113152</t>
  </si>
  <si>
    <t>JK-15625</t>
  </si>
  <si>
    <t>Jim Karlsson</t>
  </si>
  <si>
    <t>CA-2017-168389</t>
  </si>
  <si>
    <t>DV-13045</t>
  </si>
  <si>
    <t>Darrin Van Huff</t>
  </si>
  <si>
    <t>CA-2017-141138</t>
  </si>
  <si>
    <t>GH-14425</t>
  </si>
  <si>
    <t>Gary Hwang</t>
  </si>
  <si>
    <t>Modesto</t>
  </si>
  <si>
    <t>CA-2017-152135</t>
  </si>
  <si>
    <t>US-2014-115189</t>
  </si>
  <si>
    <t>CA-2016-127243</t>
  </si>
  <si>
    <t>CA-2014-107769</t>
  </si>
  <si>
    <t>Garden City</t>
  </si>
  <si>
    <t>CA-2016-105732</t>
  </si>
  <si>
    <t>AG-10270</t>
  </si>
  <si>
    <t>Alejandro Grove</t>
  </si>
  <si>
    <t>CA-2014-124807</t>
  </si>
  <si>
    <t>ME-17725</t>
  </si>
  <si>
    <t>Max Engle</t>
  </si>
  <si>
    <t>CA-2014-103058</t>
  </si>
  <si>
    <t>CA-2017-121125</t>
  </si>
  <si>
    <t>US-2016-114013</t>
  </si>
  <si>
    <t>CA-2017-105669</t>
  </si>
  <si>
    <t>CA-2017-134796</t>
  </si>
  <si>
    <t>Bolingbrook</t>
  </si>
  <si>
    <t>CA-2015-137974</t>
  </si>
  <si>
    <t>US-2015-136987</t>
  </si>
  <si>
    <t>AR-10540</t>
  </si>
  <si>
    <t>Andy Reiter</t>
  </si>
  <si>
    <t>CA-2015-138485</t>
  </si>
  <si>
    <t>CA-2016-139997</t>
  </si>
  <si>
    <t>CA-2014-167199</t>
  </si>
  <si>
    <t>US-2015-134558</t>
  </si>
  <si>
    <t>PM-19135</t>
  </si>
  <si>
    <t>Peter McVee</t>
  </si>
  <si>
    <t>US-2017-118598</t>
  </si>
  <si>
    <t>CM-12190</t>
  </si>
  <si>
    <t>Charlotte Melton</t>
  </si>
  <si>
    <t>CA-2017-121048</t>
  </si>
  <si>
    <t>US-2017-120147</t>
  </si>
  <si>
    <t>CA-2014-115889</t>
  </si>
  <si>
    <t>US-2017-161935</t>
  </si>
  <si>
    <t>US-2017-167920</t>
  </si>
  <si>
    <t>US-2017-112347</t>
  </si>
  <si>
    <t>BS-11380</t>
  </si>
  <si>
    <t>Bill Stewart</t>
  </si>
  <si>
    <t>CA-2014-103492</t>
  </si>
  <si>
    <t>CM-12715</t>
  </si>
  <si>
    <t>Craig Molinari</t>
  </si>
  <si>
    <t>CA-2014-140396</t>
  </si>
  <si>
    <t>CA-2017-157672</t>
  </si>
  <si>
    <t>CA-2017-140802</t>
  </si>
  <si>
    <t>CA-2015-129532</t>
  </si>
  <si>
    <t>YS-21880</t>
  </si>
  <si>
    <t>Yana Sorensen</t>
  </si>
  <si>
    <t>CA-2014-134726</t>
  </si>
  <si>
    <t>SW-20755</t>
  </si>
  <si>
    <t>Steven Ward</t>
  </si>
  <si>
    <t>CA-2014-163223</t>
  </si>
  <si>
    <t>CA-2015-164567</t>
  </si>
  <si>
    <t>CA-2014-131947</t>
  </si>
  <si>
    <t>TEC-MA-10004086</t>
  </si>
  <si>
    <t>Plantronics Single Ear Headset</t>
  </si>
  <si>
    <t>CA-2017-151225</t>
  </si>
  <si>
    <t>US-2014-144078</t>
  </si>
  <si>
    <t>US-2015-159499</t>
  </si>
  <si>
    <t>EM-14095</t>
  </si>
  <si>
    <t>Eudokia Martin</t>
  </si>
  <si>
    <t>CA-2014-162089</t>
  </si>
  <si>
    <t>Brownsville</t>
  </si>
  <si>
    <t>US-2016-157490</t>
  </si>
  <si>
    <t>LB-16795</t>
  </si>
  <si>
    <t>Laurel Beltran</t>
  </si>
  <si>
    <t>Pueblo</t>
  </si>
  <si>
    <t>TEC-MA-10001695</t>
  </si>
  <si>
    <t>Zebra GK420t Direct Thermal/Thermal Transfer Printer</t>
  </si>
  <si>
    <t>US-2014-115196</t>
  </si>
  <si>
    <t>CA-2017-110821</t>
  </si>
  <si>
    <t>US-2016-140158</t>
  </si>
  <si>
    <t>DR-12940</t>
  </si>
  <si>
    <t>Daniel Raglin</t>
  </si>
  <si>
    <t>CA-2015-130974</t>
  </si>
  <si>
    <t>CA-2014-142951</t>
  </si>
  <si>
    <t>CA-2014-133592</t>
  </si>
  <si>
    <t>CA-2015-116876</t>
  </si>
  <si>
    <t>CA-2016-169838</t>
  </si>
  <si>
    <t>TEC-AC-10004518</t>
  </si>
  <si>
    <t>Memorex Mini Travel Drive 32 GB USB 2.0 Flash Drive</t>
  </si>
  <si>
    <t>CA-2014-102330</t>
  </si>
  <si>
    <t>CA-2017-151799</t>
  </si>
  <si>
    <t>CA-2016-114601</t>
  </si>
  <si>
    <t>AA-10480</t>
  </si>
  <si>
    <t>Andrew Allen</t>
  </si>
  <si>
    <t>CA-2014-139542</t>
  </si>
  <si>
    <t>US-2015-142811</t>
  </si>
  <si>
    <t>US-2017-101518</t>
  </si>
  <si>
    <t>US-2017-146213</t>
  </si>
  <si>
    <t>US-2016-109260</t>
  </si>
  <si>
    <t>CA-2017-141103</t>
  </si>
  <si>
    <t>CA-2014-154781</t>
  </si>
  <si>
    <t>CA-2015-147816</t>
  </si>
  <si>
    <t>CM-11935</t>
  </si>
  <si>
    <t>Carlos Meador</t>
  </si>
  <si>
    <t>CA-2016-133613</t>
  </si>
  <si>
    <t>CA-2015-109113</t>
  </si>
  <si>
    <t>EK-13795</t>
  </si>
  <si>
    <t>Eileen Kiefer</t>
  </si>
  <si>
    <t>CA-2015-133242</t>
  </si>
  <si>
    <t>CA-2017-100902</t>
  </si>
  <si>
    <t>CA-2017-112844</t>
  </si>
  <si>
    <t>Buffalo</t>
  </si>
  <si>
    <t>CA-2016-155978</t>
  </si>
  <si>
    <t>Riverside</t>
  </si>
  <si>
    <t>CA-2016-108196</t>
  </si>
  <si>
    <t>TEC-AC-10000926</t>
  </si>
  <si>
    <t>NETGEAR RangeMax WNR1000 Wireless Router</t>
  </si>
  <si>
    <t>CA-2016-139381</t>
  </si>
  <si>
    <t>RF-19840</t>
  </si>
  <si>
    <t>Roy Französisch</t>
  </si>
  <si>
    <t>CA-2017-169362</t>
  </si>
  <si>
    <t>CA-2015-112711</t>
  </si>
  <si>
    <t>CA-2017-166184</t>
  </si>
  <si>
    <t>US-2016-137295</t>
  </si>
  <si>
    <t>VS-21820</t>
  </si>
  <si>
    <t>Vivek Sundaresam</t>
  </si>
  <si>
    <t>US-2017-109316</t>
  </si>
  <si>
    <t>US-2014-115413</t>
  </si>
  <si>
    <t>CA-2017-117114</t>
  </si>
  <si>
    <t>CA-2015-137302</t>
  </si>
  <si>
    <t>CA-2016-112382</t>
  </si>
  <si>
    <t>CA-2015-106257</t>
  </si>
  <si>
    <t>CA-2015-149083</t>
  </si>
  <si>
    <t>CA-2015-125976</t>
  </si>
  <si>
    <t>CA-2017-135587</t>
  </si>
  <si>
    <t>CA-2014-103429</t>
  </si>
  <si>
    <t>CA-2015-142993</t>
  </si>
  <si>
    <t>KA-16525</t>
  </si>
  <si>
    <t>Kelly Andreada</t>
  </si>
  <si>
    <t>US-2017-166233</t>
  </si>
  <si>
    <t>CA-2017-118017</t>
  </si>
  <si>
    <t>CA-2016-148684</t>
  </si>
  <si>
    <t>TS-21655</t>
  </si>
  <si>
    <t>Trudy Schmidt</t>
  </si>
  <si>
    <t>CA-2017-128363</t>
  </si>
  <si>
    <t>DC-12850</t>
  </si>
  <si>
    <t>Dan Campbell</t>
  </si>
  <si>
    <t>Memphis</t>
  </si>
  <si>
    <t>CA-2017-165323</t>
  </si>
  <si>
    <t>SR-20740</t>
  </si>
  <si>
    <t>Steven Roelle</t>
  </si>
  <si>
    <t>TEC-MA-10003673</t>
  </si>
  <si>
    <t>Hewlett-Packard Desktjet 6988DT Refurbished Printer</t>
  </si>
  <si>
    <t>CA-2017-139822</t>
  </si>
  <si>
    <t>CA-2017-134096</t>
  </si>
  <si>
    <t>Hollywood</t>
  </si>
  <si>
    <t>CA-2017-120404</t>
  </si>
  <si>
    <t>CA-2017-166093</t>
  </si>
  <si>
    <t>CA-2015-145814</t>
  </si>
  <si>
    <t>CA-2017-131807</t>
  </si>
  <si>
    <t>Chico</t>
  </si>
  <si>
    <t>CA-2016-157707</t>
  </si>
  <si>
    <t>US-2015-126753</t>
  </si>
  <si>
    <t>CA-2014-166051</t>
  </si>
  <si>
    <t>CA-2016-137939</t>
  </si>
  <si>
    <t>US-2016-117793</t>
  </si>
  <si>
    <t>Sheboygan</t>
  </si>
  <si>
    <t>CA-2016-133872</t>
  </si>
  <si>
    <t>Boca Raton</t>
  </si>
  <si>
    <t>US-2017-105998</t>
  </si>
  <si>
    <t>CR-12580</t>
  </si>
  <si>
    <t>Clay Rozendal</t>
  </si>
  <si>
    <t>US-2015-151407</t>
  </si>
  <si>
    <t>Dubuque</t>
  </si>
  <si>
    <t>CA-2015-110870</t>
  </si>
  <si>
    <t>CA-2014-143210</t>
  </si>
  <si>
    <t>US-2015-136427</t>
  </si>
  <si>
    <t>CA-2017-120168</t>
  </si>
  <si>
    <t>CA-2017-114804</t>
  </si>
  <si>
    <t>CA-2015-132465</t>
  </si>
  <si>
    <t>DM-13525</t>
  </si>
  <si>
    <t>Don Miller</t>
  </si>
  <si>
    <t>CA-2016-166373</t>
  </si>
  <si>
    <t>CA-2017-121489</t>
  </si>
  <si>
    <t>US-2017-133081</t>
  </si>
  <si>
    <t>CA-2015-121188</t>
  </si>
  <si>
    <t>CB-12025</t>
  </si>
  <si>
    <t>Cassandra Brandow</t>
  </si>
  <si>
    <t>CA-2016-132997</t>
  </si>
  <si>
    <t>US-2015-160563</t>
  </si>
  <si>
    <t>CA-2015-106187</t>
  </si>
  <si>
    <t>East Point</t>
  </si>
  <si>
    <t>CA-2017-133046</t>
  </si>
  <si>
    <t>CA-2016-169663</t>
  </si>
  <si>
    <t>TEC-MA-10000984</t>
  </si>
  <si>
    <t>Okidata MB760 Printer</t>
  </si>
  <si>
    <t>CA-2015-149846</t>
  </si>
  <si>
    <t>CA-2017-159149</t>
  </si>
  <si>
    <t>CA-2014-138128</t>
  </si>
  <si>
    <t>CA-2015-137064</t>
  </si>
  <si>
    <t>CA-2014-127866</t>
  </si>
  <si>
    <t>CA-2016-100993</t>
  </si>
  <si>
    <t>CA-2017-140151</t>
  </si>
  <si>
    <t>US-2017-143770</t>
  </si>
  <si>
    <t>Middletown</t>
  </si>
  <si>
    <t>CA-2016-103464</t>
  </si>
  <si>
    <t>CA-2016-120803</t>
  </si>
  <si>
    <t>Milford</t>
  </si>
  <si>
    <t>CA-2015-120915</t>
  </si>
  <si>
    <t>JJ-15445</t>
  </si>
  <si>
    <t>Jennifer Jackson</t>
  </si>
  <si>
    <t>CA-2017-107174</t>
  </si>
  <si>
    <t>CA-2017-149699</t>
  </si>
  <si>
    <t>CA-2016-166429</t>
  </si>
  <si>
    <t>CA-2015-119879</t>
  </si>
  <si>
    <t>CA-2017-102736</t>
  </si>
  <si>
    <t>LP-17095</t>
  </si>
  <si>
    <t>Liz Preis</t>
  </si>
  <si>
    <t>Knoxville</t>
  </si>
  <si>
    <t>CA-2015-114811</t>
  </si>
  <si>
    <t>KD-16495</t>
  </si>
  <si>
    <t>Keith Dawkins</t>
  </si>
  <si>
    <t>CA-2016-123050</t>
  </si>
  <si>
    <t>CA-2014-109855</t>
  </si>
  <si>
    <t>CA-2014-109897</t>
  </si>
  <si>
    <t>BW-11200</t>
  </si>
  <si>
    <t>Ben Wallace</t>
  </si>
  <si>
    <t>CA-2016-133816</t>
  </si>
  <si>
    <t>CA-2017-152310</t>
  </si>
  <si>
    <t>CA-2014-118304</t>
  </si>
  <si>
    <t>KH-16360</t>
  </si>
  <si>
    <t>Katherine Hughes</t>
  </si>
  <si>
    <t>CA-2017-121790</t>
  </si>
  <si>
    <t>CA-2015-154284</t>
  </si>
  <si>
    <t>CA-2014-156244</t>
  </si>
  <si>
    <t>DH-13675</t>
  </si>
  <si>
    <t>Duane Huffman</t>
  </si>
  <si>
    <t>US-2017-146906</t>
  </si>
  <si>
    <t>MT-17815</t>
  </si>
  <si>
    <t>Meg Tillman</t>
  </si>
  <si>
    <t>CA-2016-166380</t>
  </si>
  <si>
    <t>US-2017-167318</t>
  </si>
  <si>
    <t>GZ-14545</t>
  </si>
  <si>
    <t>George Zrebassa</t>
  </si>
  <si>
    <t>US-2014-120313</t>
  </si>
  <si>
    <t>NL-18310</t>
  </si>
  <si>
    <t>Nancy Lomonaco</t>
  </si>
  <si>
    <t>US-2017-105935</t>
  </si>
  <si>
    <t>CA-2017-144456</t>
  </si>
  <si>
    <t>CA-2017-113572</t>
  </si>
  <si>
    <t>TEC-AC-10002370</t>
  </si>
  <si>
    <t>Maxell CD-R Discs</t>
  </si>
  <si>
    <t>CA-2014-153087</t>
  </si>
  <si>
    <t>US-2015-115238</t>
  </si>
  <si>
    <t>JW-15220</t>
  </si>
  <si>
    <t>Jane Waco</t>
  </si>
  <si>
    <t>CA-2014-110555</t>
  </si>
  <si>
    <t>CA-2017-137631</t>
  </si>
  <si>
    <t>JL-15235</t>
  </si>
  <si>
    <t>Janet Lee</t>
  </si>
  <si>
    <t>Kissimmee</t>
  </si>
  <si>
    <t>CA-2017-157273</t>
  </si>
  <si>
    <t>CA-2016-134544</t>
  </si>
  <si>
    <t>CA-2016-145135</t>
  </si>
  <si>
    <t>Shelton</t>
  </si>
  <si>
    <t>CA-2016-142594</t>
  </si>
  <si>
    <t>CA-2017-140480</t>
  </si>
  <si>
    <t>HE-14800</t>
  </si>
  <si>
    <t>Harold Engle</t>
  </si>
  <si>
    <t>CA-2016-147109</t>
  </si>
  <si>
    <t>AH-10075</t>
  </si>
  <si>
    <t>Adam Hart</t>
  </si>
  <si>
    <t>CA-2017-118199</t>
  </si>
  <si>
    <t>CA-2017-150091</t>
  </si>
  <si>
    <t>US-2017-132220</t>
  </si>
  <si>
    <t>CA-2015-112823</t>
  </si>
  <si>
    <t>RA-19945</t>
  </si>
  <si>
    <t>Ryan Akin</t>
  </si>
  <si>
    <t>CA-2017-114370</t>
  </si>
  <si>
    <t>US-2016-155173</t>
  </si>
  <si>
    <t>JB-16045</t>
  </si>
  <si>
    <t>Julia Barnett</t>
  </si>
  <si>
    <t>CA-2014-131387</t>
  </si>
  <si>
    <t>CA-2016-154081</t>
  </si>
  <si>
    <t>CA-2014-100881</t>
  </si>
  <si>
    <t>CA-2015-144043</t>
  </si>
  <si>
    <t>US-2017-132031</t>
  </si>
  <si>
    <t>Clarksville</t>
  </si>
  <si>
    <t>CA-2015-145758</t>
  </si>
  <si>
    <t>TEC-MA-10004552</t>
  </si>
  <si>
    <t>Star Micronics TSP100 TSP143LAN Receipt Printer</t>
  </si>
  <si>
    <t>CA-2014-109890</t>
  </si>
  <si>
    <t>CA-2016-158841</t>
  </si>
  <si>
    <t>CA-2015-109190</t>
  </si>
  <si>
    <t>Lubbock</t>
  </si>
  <si>
    <t>CA-2016-143154</t>
  </si>
  <si>
    <t>Longmont</t>
  </si>
  <si>
    <t>CA-2014-169061</t>
  </si>
  <si>
    <t>CA-2015-102316</t>
  </si>
  <si>
    <t>CA-2016-130400</t>
  </si>
  <si>
    <t>CA-2015-135853</t>
  </si>
  <si>
    <t>US-2016-160206</t>
  </si>
  <si>
    <t>CA-2017-161172</t>
  </si>
  <si>
    <t>SP-20920</t>
  </si>
  <si>
    <t>Susan Pistek</t>
  </si>
  <si>
    <t>US-2014-163146</t>
  </si>
  <si>
    <t>CA-2017-147354</t>
  </si>
  <si>
    <t>CA-2014-137575</t>
  </si>
  <si>
    <t>CA-2015-149566</t>
  </si>
  <si>
    <t>GB-14530</t>
  </si>
  <si>
    <t>George Bell</t>
  </si>
  <si>
    <t>CA-2014-140473</t>
  </si>
  <si>
    <t>US-2017-102904</t>
  </si>
  <si>
    <t>CA-2015-117884</t>
  </si>
  <si>
    <t>CA-2016-132829</t>
  </si>
  <si>
    <t>CA-2016-134110</t>
  </si>
  <si>
    <t>The Colony</t>
  </si>
  <si>
    <t>CA-2016-162390</t>
  </si>
  <si>
    <t>CA-2014-121629</t>
  </si>
  <si>
    <t>CA-2014-130673</t>
  </si>
  <si>
    <t>San Marcos</t>
  </si>
  <si>
    <t>CA-2017-162015</t>
  </si>
  <si>
    <t>CA-2017-159667</t>
  </si>
  <si>
    <t>US-2014-133949</t>
  </si>
  <si>
    <t>JL-15175</t>
  </si>
  <si>
    <t>James Lanier</t>
  </si>
  <si>
    <t>Reno</t>
  </si>
  <si>
    <t>US-2016-116365</t>
  </si>
  <si>
    <t>CA-2017-162936</t>
  </si>
  <si>
    <t>CA-2017-123624</t>
  </si>
  <si>
    <t>Oxnard</t>
  </si>
  <si>
    <t>CA-2016-138233</t>
  </si>
  <si>
    <t>CA-2015-136147</t>
  </si>
  <si>
    <t>CA-2015-164084</t>
  </si>
  <si>
    <t>CA-2017-118346</t>
  </si>
  <si>
    <t>CA-2014-142769</t>
  </si>
  <si>
    <t>RP-19390</t>
  </si>
  <si>
    <t>Resi Pölking</t>
  </si>
  <si>
    <t>CA-2015-131856</t>
  </si>
  <si>
    <t>CA-2016-149916</t>
  </si>
  <si>
    <t>ED-13885</t>
  </si>
  <si>
    <t>Emily Ducich</t>
  </si>
  <si>
    <t>CA-2016-112739</t>
  </si>
  <si>
    <t>RD-19810</t>
  </si>
  <si>
    <t>Ross DeVincentis</t>
  </si>
  <si>
    <t>CA-2014-133634</t>
  </si>
  <si>
    <t>CA-2016-155446</t>
  </si>
  <si>
    <t>CA-2016-136770</t>
  </si>
  <si>
    <t>CA-2016-118311</t>
  </si>
  <si>
    <t>CA-2017-119284</t>
  </si>
  <si>
    <t>CA-2016-111318</t>
  </si>
  <si>
    <t>CA-2014-119144</t>
  </si>
  <si>
    <t>CA-2017-136623</t>
  </si>
  <si>
    <t>TS-21430</t>
  </si>
  <si>
    <t>Tom Stivers</t>
  </si>
  <si>
    <t>CA-2015-103870</t>
  </si>
  <si>
    <t>Murfreesboro</t>
  </si>
  <si>
    <t>CA-2017-116988</t>
  </si>
  <si>
    <t>US-2017-131961</t>
  </si>
  <si>
    <t>US-2015-144771</t>
  </si>
  <si>
    <t>Hillsboro</t>
  </si>
  <si>
    <t>CA-2017-128076</t>
  </si>
  <si>
    <t>BO-11350</t>
  </si>
  <si>
    <t>Bill Overfelt</t>
  </si>
  <si>
    <t>US-2015-163825</t>
  </si>
  <si>
    <t>CA-2016-105662</t>
  </si>
  <si>
    <t>CA-2015-151722</t>
  </si>
  <si>
    <t>CA-2016-151148</t>
  </si>
  <si>
    <t>CA-2017-145765</t>
  </si>
  <si>
    <t>CA-2017-162075</t>
  </si>
  <si>
    <t>CA-2014-162992</t>
  </si>
  <si>
    <t>US-2016-150140</t>
  </si>
  <si>
    <t>CA-2014-116666</t>
  </si>
  <si>
    <t>CA-2016-140935</t>
  </si>
  <si>
    <t>AB-10015</t>
  </si>
  <si>
    <t>Aaron Bergman</t>
  </si>
  <si>
    <t>CA-2014-157644</t>
  </si>
  <si>
    <t>AH-10030</t>
  </si>
  <si>
    <t>Aaron Hawkins</t>
  </si>
  <si>
    <t>US-2017-110646</t>
  </si>
  <si>
    <t>CA-2015-144274</t>
  </si>
  <si>
    <t>PW-19240</t>
  </si>
  <si>
    <t>Pierre Wener</t>
  </si>
  <si>
    <t>CA-2017-100622</t>
  </si>
  <si>
    <t>US-2017-132675</t>
  </si>
  <si>
    <t>CA-2014-153808</t>
  </si>
  <si>
    <t>US-2016-112396</t>
  </si>
  <si>
    <t>CA-2015-140718</t>
  </si>
  <si>
    <t>US-2015-115343</t>
  </si>
  <si>
    <t>FO-14305</t>
  </si>
  <si>
    <t>Frank Olsen</t>
  </si>
  <si>
    <t>CA-2017-135909</t>
  </si>
  <si>
    <t>US-2017-114356</t>
  </si>
  <si>
    <t>CA-2014-120411</t>
  </si>
  <si>
    <t>CA-2016-158260</t>
  </si>
  <si>
    <t>US-2014-105137</t>
  </si>
  <si>
    <t>TEC-MA-10002694</t>
  </si>
  <si>
    <t>Hewlett-Packard Deskjet F4180 All-in-One Color Ink-jet - Printer / copier / scanner</t>
  </si>
  <si>
    <t>CA-2017-126928</t>
  </si>
  <si>
    <t>Morristown</t>
  </si>
  <si>
    <t>TEC-MA-10004626</t>
  </si>
  <si>
    <t>Lexmark 20R1285 X6650 Wireless All-in-One Printer</t>
  </si>
  <si>
    <t>US-2015-107944</t>
  </si>
  <si>
    <t>AM-10360</t>
  </si>
  <si>
    <t>Alice McCarthy</t>
  </si>
  <si>
    <t>CA-2016-135594</t>
  </si>
  <si>
    <t>US-2017-115252</t>
  </si>
  <si>
    <t>Durham</t>
  </si>
  <si>
    <t>CA-2016-147256</t>
  </si>
  <si>
    <t>CA-2016-167241</t>
  </si>
  <si>
    <t>CA-2015-163237</t>
  </si>
  <si>
    <t>US-2016-126431</t>
  </si>
  <si>
    <t>CA-2016-139934</t>
  </si>
  <si>
    <t>AY-10555</t>
  </si>
  <si>
    <t>Andy Yotov</t>
  </si>
  <si>
    <t>CA-2017-102610</t>
  </si>
  <si>
    <t>Chattanooga</t>
  </si>
  <si>
    <t>CA-2014-132983</t>
  </si>
  <si>
    <t>CA-2016-145709</t>
  </si>
  <si>
    <t>Coral Gables</t>
  </si>
  <si>
    <t>CA-2016-168032</t>
  </si>
  <si>
    <t>DF-13135</t>
  </si>
  <si>
    <t>David Flashing</t>
  </si>
  <si>
    <t>Rockford</t>
  </si>
  <si>
    <t>TEC-PH-10004241</t>
  </si>
  <si>
    <t>Nokia Lumia 1020</t>
  </si>
  <si>
    <t>US-2015-168704</t>
  </si>
  <si>
    <t>CA-2017-143252</t>
  </si>
  <si>
    <t>CA-2017-130036</t>
  </si>
  <si>
    <t>CA-2015-134117</t>
  </si>
  <si>
    <t>CA-2016-159023</t>
  </si>
  <si>
    <t>TEC-MA-10003337</t>
  </si>
  <si>
    <t>Okidata B401 Printer</t>
  </si>
  <si>
    <t>CA-2017-150910</t>
  </si>
  <si>
    <t>CA-2017-105620</t>
  </si>
  <si>
    <t>JH-15430</t>
  </si>
  <si>
    <t>Jennifer Halladay</t>
  </si>
  <si>
    <t>CA-2017-150266</t>
  </si>
  <si>
    <t>CA-2016-157280</t>
  </si>
  <si>
    <t>LW-17125</t>
  </si>
  <si>
    <t>Liz Willingham</t>
  </si>
  <si>
    <t>CA-2016-134180</t>
  </si>
  <si>
    <t>JP-16135</t>
  </si>
  <si>
    <t>Julie Prescott</t>
  </si>
  <si>
    <t>CA-2017-157469</t>
  </si>
  <si>
    <t>US-2014-149034</t>
  </si>
  <si>
    <t>CA-2015-123092</t>
  </si>
  <si>
    <t>US-2015-128587</t>
  </si>
  <si>
    <t>US-2017-139577</t>
  </si>
  <si>
    <t>CA-2017-159100</t>
  </si>
  <si>
    <t>VP-21760</t>
  </si>
  <si>
    <t>Victoria Pisteka</t>
  </si>
  <si>
    <t>US-2017-116491</t>
  </si>
  <si>
    <t>CA-2014-103807</t>
  </si>
  <si>
    <t>CA-2015-102855</t>
  </si>
  <si>
    <t>CA-2015-137071</t>
  </si>
  <si>
    <t>CA-2014-100706</t>
  </si>
  <si>
    <t>CA-2016-102127</t>
  </si>
  <si>
    <t>CA-2015-148873</t>
  </si>
  <si>
    <t>CA-2017-157420</t>
  </si>
  <si>
    <t>HZ-14950</t>
  </si>
  <si>
    <t>Henia Zydlo</t>
  </si>
  <si>
    <t>CA-2016-168830</t>
  </si>
  <si>
    <t>CA-2017-137463</t>
  </si>
  <si>
    <t>Sunnyvale</t>
  </si>
  <si>
    <t>CA-2014-141838</t>
  </si>
  <si>
    <t>CA-2015-128993</t>
  </si>
  <si>
    <t>CA-2017-152968</t>
  </si>
  <si>
    <t>Harrisonburg</t>
  </si>
  <si>
    <t>CA-2016-150077</t>
  </si>
  <si>
    <t>CA-2016-142524</t>
  </si>
  <si>
    <t>US-2014-124625</t>
  </si>
  <si>
    <t>CA-2017-166898</t>
  </si>
  <si>
    <t>CA-2015-150308</t>
  </si>
  <si>
    <t>RR-19525</t>
  </si>
  <si>
    <t>Rick Reed</t>
  </si>
  <si>
    <t>US-2015-132836</t>
  </si>
  <si>
    <t>AJ-10945</t>
  </si>
  <si>
    <t>Ashley Jarboe</t>
  </si>
  <si>
    <t>CA-2017-152933</t>
  </si>
  <si>
    <t>CA-2015-163181</t>
  </si>
  <si>
    <t>CA-2015-132941</t>
  </si>
  <si>
    <t>MM-18280</t>
  </si>
  <si>
    <t>Muhammed MacIntyre</t>
  </si>
  <si>
    <t>Haltom City</t>
  </si>
  <si>
    <t>CA-2014-132010</t>
  </si>
  <si>
    <t>MA-17995</t>
  </si>
  <si>
    <t>Michelle Arnett</t>
  </si>
  <si>
    <t>CA-2016-135461</t>
  </si>
  <si>
    <t>CA-2017-153045</t>
  </si>
  <si>
    <t>CA-2015-157805</t>
  </si>
  <si>
    <t>CA-2014-123400</t>
  </si>
  <si>
    <t>EB-13930</t>
  </si>
  <si>
    <t>Eric Barreto</t>
  </si>
  <si>
    <t>CA-2014-106971</t>
  </si>
  <si>
    <t>Buffalo Grove</t>
  </si>
  <si>
    <t>CA-2017-123029</t>
  </si>
  <si>
    <t>CA-2016-139409</t>
  </si>
  <si>
    <t>FW-14395</t>
  </si>
  <si>
    <t>Fred Wasserman</t>
  </si>
  <si>
    <t>US-2017-166688</t>
  </si>
  <si>
    <t>Las Vegas</t>
  </si>
  <si>
    <t>US-2016-165505</t>
  </si>
  <si>
    <t>US-2015-106873</t>
  </si>
  <si>
    <t>CA-2014-134215</t>
  </si>
  <si>
    <t>CA-2015-164007</t>
  </si>
  <si>
    <t>MG-17695</t>
  </si>
  <si>
    <t>Maureen Gnade</t>
  </si>
  <si>
    <t>CA-2016-100300</t>
  </si>
  <si>
    <t>CA-2017-119424</t>
  </si>
  <si>
    <t>CA-2016-166618</t>
  </si>
  <si>
    <t>DP-13000</t>
  </si>
  <si>
    <t>Darren Powers</t>
  </si>
  <si>
    <t>CA-2017-156776</t>
  </si>
  <si>
    <t>JL-15505</t>
  </si>
  <si>
    <t>Jeremy Lonsdale</t>
  </si>
  <si>
    <t>US-2015-130512</t>
  </si>
  <si>
    <t>Allentown</t>
  </si>
  <si>
    <t>CA-2015-141810</t>
  </si>
  <si>
    <t>BB-10990</t>
  </si>
  <si>
    <t>Barry Blumstein</t>
  </si>
  <si>
    <t>CA-2014-146843</t>
  </si>
  <si>
    <t>PB-19150</t>
  </si>
  <si>
    <t>Philip Brown</t>
  </si>
  <si>
    <t>CA-2014-103310</t>
  </si>
  <si>
    <t>CA-2017-140781</t>
  </si>
  <si>
    <t>CA-2016-126732</t>
  </si>
  <si>
    <t>CA-2016-127761</t>
  </si>
  <si>
    <t>SW-20275</t>
  </si>
  <si>
    <t>Scott Williamson</t>
  </si>
  <si>
    <t>CA-2017-102309</t>
  </si>
  <si>
    <t>Pine Bluff</t>
  </si>
  <si>
    <t>CA-2016-100510</t>
  </si>
  <si>
    <t>CA-2016-113236</t>
  </si>
  <si>
    <t>Delray Beach</t>
  </si>
  <si>
    <t>US-2015-163433</t>
  </si>
  <si>
    <t>CA-2014-128237</t>
  </si>
  <si>
    <t>CA-2016-161907</t>
  </si>
  <si>
    <t>JH-16180</t>
  </si>
  <si>
    <t>Justin Hirsh</t>
  </si>
  <si>
    <t>CA-2017-124940</t>
  </si>
  <si>
    <t>US-2017-130687</t>
  </si>
  <si>
    <t>CA-2016-108056</t>
  </si>
  <si>
    <t>CA-2014-155264</t>
  </si>
  <si>
    <t>RP-19270</t>
  </si>
  <si>
    <t>Rachel Payne</t>
  </si>
  <si>
    <t>CA-2017-109085</t>
  </si>
  <si>
    <t>CK-12325</t>
  </si>
  <si>
    <t>Christine Kargatis</t>
  </si>
  <si>
    <t>CA-2017-102820</t>
  </si>
  <si>
    <t>CA-2015-126347</t>
  </si>
  <si>
    <t>CA-2017-108756</t>
  </si>
  <si>
    <t>East Orange</t>
  </si>
  <si>
    <t>CA-2017-162474</t>
  </si>
  <si>
    <t>CA-2014-125997</t>
  </si>
  <si>
    <t>CA-2014-152618</t>
  </si>
  <si>
    <t>CA-2017-162789</t>
  </si>
  <si>
    <t>CA-2015-127824</t>
  </si>
  <si>
    <t>CA-2014-145254</t>
  </si>
  <si>
    <t>CA-2015-166219</t>
  </si>
  <si>
    <t>CA-2015-119627</t>
  </si>
  <si>
    <t>CA-2017-126144</t>
  </si>
  <si>
    <t>CA-2017-165904</t>
  </si>
  <si>
    <t>CA-2015-104052</t>
  </si>
  <si>
    <t>Coppell</t>
  </si>
  <si>
    <t>CA-2015-129546</t>
  </si>
  <si>
    <t>CA-2016-140977</t>
  </si>
  <si>
    <t>TEC-MA-10003493</t>
  </si>
  <si>
    <t>Penpower WorldCard Pro Card Scanner</t>
  </si>
  <si>
    <t>CA-2017-151855</t>
  </si>
  <si>
    <t>TEC-AC-10002380</t>
  </si>
  <si>
    <t>Sony 8GB Class 10 Micro SDHC R40 Memory Card</t>
  </si>
  <si>
    <t>CA-2014-138240</t>
  </si>
  <si>
    <t>CA-2014-100867</t>
  </si>
  <si>
    <t>CA-2017-102925</t>
  </si>
  <si>
    <t>CA-2015-158351</t>
  </si>
  <si>
    <t>CA-2015-156566</t>
  </si>
  <si>
    <t>US-2016-123610</t>
  </si>
  <si>
    <t>Mission Viejo</t>
  </si>
  <si>
    <t>CA-2016-113607</t>
  </si>
  <si>
    <t>CA-2016-125220</t>
  </si>
  <si>
    <t>BE-11410</t>
  </si>
  <si>
    <t>Bobby Elias</t>
  </si>
  <si>
    <t>Appleton</t>
  </si>
  <si>
    <t>CA-2015-123939</t>
  </si>
  <si>
    <t>CA-2014-169446</t>
  </si>
  <si>
    <t>TEC-PH-10002817</t>
  </si>
  <si>
    <t>RCA ViSYS 25425RE1 Corded phone</t>
  </si>
  <si>
    <t>CA-2017-156958</t>
  </si>
  <si>
    <t>PB-18805</t>
  </si>
  <si>
    <t>Patrick Bzostek</t>
  </si>
  <si>
    <t>CA-2014-166590</t>
  </si>
  <si>
    <t>CA-2015-163923</t>
  </si>
  <si>
    <t>BD-11560</t>
  </si>
  <si>
    <t>Brendan Dodson</t>
  </si>
  <si>
    <t>CA-2016-129280</t>
  </si>
  <si>
    <t>SM-20905</t>
  </si>
  <si>
    <t>Susan MacKendrick</t>
  </si>
  <si>
    <t>TEC-MA-10003589</t>
  </si>
  <si>
    <t>Cisco 8961 IP Phone Charcoal</t>
  </si>
  <si>
    <t>CA-2017-104388</t>
  </si>
  <si>
    <t>Fremont</t>
  </si>
  <si>
    <t>CA-2015-143147</t>
  </si>
  <si>
    <t>CA-2017-152975</t>
  </si>
  <si>
    <t>RB-19705</t>
  </si>
  <si>
    <t>Roger Barcio</t>
  </si>
  <si>
    <t>CA-2017-104619</t>
  </si>
  <si>
    <t>US-2017-122672</t>
  </si>
  <si>
    <t>HG-14965</t>
  </si>
  <si>
    <t>Henry Goldwyn</t>
  </si>
  <si>
    <t>CA-2016-110086</t>
  </si>
  <si>
    <t>Woodland</t>
  </si>
  <si>
    <t>CA-2014-128524</t>
  </si>
  <si>
    <t>MZ-17515</t>
  </si>
  <si>
    <t>Mary Zewe</t>
  </si>
  <si>
    <t>CA-2017-160633</t>
  </si>
  <si>
    <t>CA-2014-115133</t>
  </si>
  <si>
    <t>DA-13450</t>
  </si>
  <si>
    <t>Dianna Arnett</t>
  </si>
  <si>
    <t>CA-2016-168844</t>
  </si>
  <si>
    <t>CA-2014-151330</t>
  </si>
  <si>
    <t>US-2017-107979</t>
  </si>
  <si>
    <t>CA-2014-150518</t>
  </si>
  <si>
    <t>Coon Rapids</t>
  </si>
  <si>
    <t>CA-2017-161893</t>
  </si>
  <si>
    <t>HP-14815</t>
  </si>
  <si>
    <t>Harold Pawlan</t>
  </si>
  <si>
    <t>CA-2016-160717</t>
  </si>
  <si>
    <t>Santa Barbara</t>
  </si>
  <si>
    <t>US-2017-140312</t>
  </si>
  <si>
    <t>CA-2016-114867</t>
  </si>
  <si>
    <t>TEC-PH-10002645</t>
  </si>
  <si>
    <t>LG G2</t>
  </si>
  <si>
    <t>CA-2015-130113</t>
  </si>
  <si>
    <t>CA-2017-118668</t>
  </si>
  <si>
    <t>US-2017-135986</t>
  </si>
  <si>
    <t>CA-2017-154116</t>
  </si>
  <si>
    <t>CA-2014-114251</t>
  </si>
  <si>
    <t>MD-17350</t>
  </si>
  <si>
    <t>Maribeth Dona</t>
  </si>
  <si>
    <t>CA-2016-108210</t>
  </si>
  <si>
    <t>CA-2016-105781</t>
  </si>
  <si>
    <t>CA-2017-142293</t>
  </si>
  <si>
    <t>CA-2017-167395</t>
  </si>
  <si>
    <t>US-2015-100069</t>
  </si>
  <si>
    <t>NF-18475</t>
  </si>
  <si>
    <t>Neil Französisch</t>
  </si>
  <si>
    <t>CA-2016-158358</t>
  </si>
  <si>
    <t>CA-2017-113705</t>
  </si>
  <si>
    <t>CA-2014-121762</t>
  </si>
  <si>
    <t>CA-2014-123855</t>
  </si>
  <si>
    <t>CA-2016-160234</t>
  </si>
  <si>
    <t>CA-2014-169019</t>
  </si>
  <si>
    <t>LF-17185</t>
  </si>
  <si>
    <t>Luke Foster</t>
  </si>
  <si>
    <t>CA-2016-153178</t>
  </si>
  <si>
    <t>CA-2017-144491</t>
  </si>
  <si>
    <t>CA-2015-128608</t>
  </si>
  <si>
    <t>CS-12490</t>
  </si>
  <si>
    <t>Cindy Schnelling</t>
  </si>
  <si>
    <t>CA-2015-122973</t>
  </si>
  <si>
    <t>CA-2014-113257</t>
  </si>
  <si>
    <t>CA-2017-130302</t>
  </si>
  <si>
    <t>US-2016-125402</t>
  </si>
  <si>
    <t>DL-12865</t>
  </si>
  <si>
    <t>Dan Lawera</t>
  </si>
  <si>
    <t>CA-2017-113278</t>
  </si>
  <si>
    <t>US-2017-166324</t>
  </si>
  <si>
    <t>CA-2014-153927</t>
  </si>
  <si>
    <t>Woodstock</t>
  </si>
  <si>
    <t>CA-2014-112291</t>
  </si>
  <si>
    <t>CA-2015-127544</t>
  </si>
  <si>
    <t>US-2016-115441</t>
  </si>
  <si>
    <t>CA-2014-115049</t>
  </si>
  <si>
    <t>CA-2014-122609</t>
  </si>
  <si>
    <t>US-2017-162124</t>
  </si>
  <si>
    <t>JF-15490</t>
  </si>
  <si>
    <t>Jeremy Farry</t>
  </si>
  <si>
    <t>CA-2015-159534</t>
  </si>
  <si>
    <t>CA-2016-129630</t>
  </si>
  <si>
    <t>IM-15055</t>
  </si>
  <si>
    <t>Ionia McGrath</t>
  </si>
  <si>
    <t>CA-2014-166555</t>
  </si>
  <si>
    <t>Niagara Falls</t>
  </si>
  <si>
    <t>CA-2017-164028</t>
  </si>
  <si>
    <t>CA-2014-111157</t>
  </si>
  <si>
    <t>CA-2017-121559</t>
  </si>
  <si>
    <t>CA-2017-141446</t>
  </si>
  <si>
    <t>US-2016-103674</t>
  </si>
  <si>
    <t>US-2016-157728</t>
  </si>
  <si>
    <t>Grand Rapids</t>
  </si>
  <si>
    <t>CA-2016-125794</t>
  </si>
  <si>
    <t>CA-2017-163629</t>
  </si>
  <si>
    <t>CA-2017-121258</t>
  </si>
  <si>
    <t>Sum of Sales</t>
  </si>
  <si>
    <t>Sum of Quantity</t>
  </si>
  <si>
    <t>Sum of Profit</t>
  </si>
  <si>
    <t>Count of Order ID</t>
  </si>
  <si>
    <t>Key Performance Indicators</t>
  </si>
  <si>
    <t>TOTAL VALUES</t>
  </si>
  <si>
    <t>SALES</t>
  </si>
  <si>
    <t>QUANTITY</t>
  </si>
  <si>
    <t>PROFIT</t>
  </si>
  <si>
    <t>Totals</t>
  </si>
  <si>
    <t>Current year</t>
  </si>
  <si>
    <t>Previous year</t>
  </si>
  <si>
    <t>YOY%</t>
  </si>
  <si>
    <t>Average of Profit Margin</t>
  </si>
  <si>
    <t>PROFIT MARGIN</t>
  </si>
  <si>
    <t>Row Labels</t>
  </si>
  <si>
    <t>Grand Total</t>
  </si>
  <si>
    <t>ORDERS</t>
  </si>
  <si>
    <t>MONTHLY SALES TREND</t>
  </si>
  <si>
    <t>SALES BY CITY</t>
  </si>
  <si>
    <t>P</t>
  </si>
  <si>
    <t>ORDERS BY SHIPPING DURATION</t>
  </si>
  <si>
    <t>ORDERS BY SHIPPING MODE</t>
  </si>
  <si>
    <t>STATE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</si>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</sst>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quot;$&quot;0.0,,&quot;M&quot;;[&gt;=1000]&quot;$&quot;0.0,&quot;K&quot;;0"/>
    <numFmt numFmtId="165" formatCode="0.0%"/>
    <numFmt numFmtId="166" formatCode="&quot;$&quot;#,##0.00"/>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0"/>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10"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3" fillId="0" borderId="0" xfId="0" applyFont="1"/>
    <xf numFmtId="165" fontId="0" fillId="0" borderId="0" xfId="1" applyNumberFormat="1" applyFont="1"/>
    <xf numFmtId="0" fontId="2" fillId="3" borderId="1" xfId="0" applyFont="1" applyFill="1" applyBorder="1"/>
    <xf numFmtId="166" fontId="0" fillId="0" borderId="0" xfId="0" applyNumberFormat="1"/>
    <xf numFmtId="0" fontId="2" fillId="2" borderId="0" xfId="0" applyFont="1" applyFill="1" applyAlignment="1">
      <alignment horizontal="center"/>
    </xf>
  </cellXfs>
  <cellStyles count="2">
    <cellStyle name="Normal" xfId="0" builtinId="0"/>
    <cellStyle name="Percent" xfId="1" builtinId="5"/>
  </cellStyles>
  <dxfs count="39">
    <dxf>
      <numFmt numFmtId="14" formatCode="0.00%"/>
    </dxf>
    <dxf>
      <numFmt numFmtId="1" formatCode="0"/>
    </dxf>
    <dxf>
      <numFmt numFmtId="164" formatCode="[&gt;=1000000]&quot;$&quot;0.0,,&quot;M&quot;;[&gt;=1000]&quot;$&quot;0.0,&quot;K&quot;;0"/>
    </dxf>
    <dxf>
      <numFmt numFmtId="14" formatCode="0.00%"/>
    </dxf>
    <dxf>
      <numFmt numFmtId="2" formatCode="0.00"/>
    </dxf>
    <dxf>
      <numFmt numFmtId="14" formatCode="0.00%"/>
    </dxf>
    <dxf>
      <numFmt numFmtId="1" formatCode="0"/>
    </dxf>
    <dxf>
      <numFmt numFmtId="1" formatCode="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4" formatCode="0.00%"/>
    </dxf>
    <dxf>
      <numFmt numFmtId="2" formatCode="0.00"/>
    </dxf>
    <dxf>
      <numFmt numFmtId="164" formatCode="[&gt;=1000000]&quot;$&quot;0.0,,&quot;M&quot;;[&gt;=1000]&quot;$&quot;0.0,&quot;K&quot;;0"/>
    </dxf>
    <dxf>
      <numFmt numFmtId="164" formatCode="[&gt;=1000000]&quot;$&quot;0.0,,&quot;M&quot;;[&gt;=1000]&quot;$&quot;0.0,&quot;K&quot;;0"/>
    </dxf>
    <dxf>
      <numFmt numFmtId="14" formatCode="0.0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color theme="0"/>
      </font>
      <fill>
        <patternFill>
          <bgColor rgb="FF1A6BB5"/>
        </patternFill>
      </fill>
    </dxf>
    <dxf>
      <fill>
        <patternFill patternType="solid">
          <bgColor theme="3" tint="0.89996032593768116"/>
        </patternFill>
      </fill>
    </dxf>
    <dxf>
      <fill>
        <patternFill>
          <bgColor rgb="FF0070C0"/>
        </patternFill>
      </fill>
    </dxf>
    <dxf>
      <font>
        <color rgb="FF385F7C"/>
      </font>
    </dxf>
  </dxfs>
  <tableStyles count="3" defaultTableStyle="TableStyleMedium2" defaultPivotStyle="PivotStyleLight16">
    <tableStyle name="Slicer Style 1" pivot="0" table="0" count="4" xr9:uid="{7CBA1A00-C3B7-422E-9DEC-4F53AA6A2535}">
      <tableStyleElement type="wholeTable" dxfId="38"/>
      <tableStyleElement type="headerRow" dxfId="37"/>
    </tableStyle>
    <tableStyle name="Slicer Style 2" pivot="0" table="0" count="4" xr9:uid="{832A9FBC-9591-40D7-BC56-F252CDDD5803}">
      <tableStyleElement type="wholeTable" dxfId="36"/>
      <tableStyleElement type="headerRow" dxfId="35"/>
    </tableStyle>
    <tableStyle name="SlicerStyleDark1 2" pivot="0" table="0" count="10" xr9:uid="{6755BB40-2723-4148-B660-E475D9DA90C9}">
      <tableStyleElement type="wholeTable" dxfId="34"/>
      <tableStyleElement type="headerRow" dxfId="33"/>
    </tableStyle>
  </tableStyles>
  <colors>
    <mruColors>
      <color rgb="FF385F7C"/>
      <color rgb="FF1A6BB5"/>
      <color rgb="FFD6E8F9"/>
      <color rgb="FF103F6E"/>
      <color rgb="FFEAEAEA"/>
      <color rgb="FFE1EAF1"/>
      <color rgb="FFF8FAFA"/>
      <color rgb="FFCCDCEB"/>
      <color rgb="FFF0F4F6"/>
      <color rgb="FF7F7F7F"/>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none">
              <fgColor indexed="64"/>
              <bgColor auto="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color theme="0"/>
          </font>
          <fill>
            <patternFill>
              <bgColor rgb="FF103F6E"/>
            </patternFill>
          </fill>
        </dxf>
        <dxf>
          <font>
            <color theme="1" tint="0.34998626667073579"/>
          </font>
          <fill>
            <patternFill>
              <bgColor rgb="FFD6E8F9"/>
            </patternFill>
          </fill>
        </dxf>
        <dxf>
          <font>
            <sz val="18"/>
            <color rgb="FF002060"/>
          </font>
        </dxf>
        <dxf>
          <font>
            <sz val="16"/>
            <color theme="0"/>
          </font>
          <fill>
            <patternFill>
              <bgColor theme="7"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1"/>
            <x14:slicerStyleElement type="selectedItemWithNoData" dxfId="10"/>
          </x14:slicerStyleElements>
        </x14:slicerStyle>
        <x14:slicerStyle name="Slicer Style 2">
          <x14:slicerStyleElements>
            <x14:slicerStyleElement type="unselectedItemWithData" dxfId="9"/>
            <x14:slicerStyleElement type="selectedItemWith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[ANUOLUWAPO PROJECT 1.xlsx]CALCULATIONS AND PIVOT!PivotTable8</c:name>
    <c:fmtId val="2"/>
  </c:pivotSource>
  <c:chart>
    <c:autoTitleDeleted val="1"/>
    <c:pivotFmts>
      <c:pivotFmt>
        <c:idx val="0"/>
        <c:spPr>
          <a:ln w="28575" cap="rnd">
            <a:no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AND PIVOT'!$H$32</c:f>
              <c:strCache>
                <c:ptCount val="1"/>
                <c:pt idx="0">
                  <c:v>Total</c:v>
                </c:pt>
              </c:strCache>
            </c:strRef>
          </c:tx>
          <c:spPr>
            <a:ln w="28575" cap="rnd">
              <a:noFill/>
              <a:round/>
            </a:ln>
            <a:effectLst/>
          </c:spPr>
          <c:marker>
            <c:symbol val="circle"/>
            <c:size val="10"/>
            <c:spPr>
              <a:solidFill>
                <a:schemeClr val="accent1"/>
              </a:solidFill>
              <a:ln w="9525">
                <a:solidFill>
                  <a:schemeClr val="accent1"/>
                </a:solidFill>
              </a:ln>
              <a:effectLst/>
            </c:spPr>
          </c:marker>
          <c:cat>
            <c:strRef>
              <c:f>'CALCULATIONS AND PIVOT'!$G$33:$G$41</c:f>
              <c:strCache>
                <c:ptCount val="8"/>
                <c:pt idx="0">
                  <c:v>4 days</c:v>
                </c:pt>
                <c:pt idx="1">
                  <c:v>5 days</c:v>
                </c:pt>
                <c:pt idx="2">
                  <c:v>2 days</c:v>
                </c:pt>
                <c:pt idx="3">
                  <c:v>6 days</c:v>
                </c:pt>
                <c:pt idx="4">
                  <c:v>3 days</c:v>
                </c:pt>
                <c:pt idx="5">
                  <c:v>7 days</c:v>
                </c:pt>
                <c:pt idx="6">
                  <c:v>0 days</c:v>
                </c:pt>
                <c:pt idx="7">
                  <c:v>1 days</c:v>
                </c:pt>
              </c:strCache>
            </c:strRef>
          </c:cat>
          <c:val>
            <c:numRef>
              <c:f>'CALCULATIONS AND PIVOT'!$H$33:$H$41</c:f>
              <c:numCache>
                <c:formatCode>0.00%</c:formatCode>
                <c:ptCount val="8"/>
                <c:pt idx="0">
                  <c:v>0.2777476989713048</c:v>
                </c:pt>
                <c:pt idx="1">
                  <c:v>0.21277747698971305</c:v>
                </c:pt>
                <c:pt idx="2">
                  <c:v>0.14022739577693558</c:v>
                </c:pt>
                <c:pt idx="3">
                  <c:v>0.11802923659989172</c:v>
                </c:pt>
                <c:pt idx="4">
                  <c:v>0.10395235517054684</c:v>
                </c:pt>
                <c:pt idx="5">
                  <c:v>5.8473199783432593E-2</c:v>
                </c:pt>
                <c:pt idx="6">
                  <c:v>5.0351922035733625E-2</c:v>
                </c:pt>
                <c:pt idx="7">
                  <c:v>3.8440714672441798E-2</c:v>
                </c:pt>
              </c:numCache>
            </c:numRef>
          </c:val>
          <c:smooth val="1"/>
          <c:extLst>
            <c:ext xmlns:c16="http://schemas.microsoft.com/office/drawing/2014/chart" uri="{C3380CC4-5D6E-409C-BE32-E72D297353CC}">
              <c16:uniqueId val="{00000000-DC5F-42ED-A1F5-2FBFC1611CE6}"/>
            </c:ext>
          </c:extLst>
        </c:ser>
        <c:dLbls>
          <c:showLegendKey val="0"/>
          <c:showVal val="0"/>
          <c:showCatName val="0"/>
          <c:showSerName val="0"/>
          <c:showPercent val="0"/>
          <c:showBubbleSize val="0"/>
        </c:dLbls>
        <c:dropLines>
          <c:spPr>
            <a:ln w="38100" cap="flat" cmpd="sng" algn="ctr">
              <a:solidFill>
                <a:srgbClr val="385F7C"/>
              </a:solidFill>
              <a:prstDash val="sysDash"/>
              <a:round/>
            </a:ln>
            <a:effectLst/>
          </c:spPr>
        </c:dropLines>
        <c:marker val="1"/>
        <c:smooth val="0"/>
        <c:axId val="2143586832"/>
        <c:axId val="2143587792"/>
      </c:lineChart>
      <c:catAx>
        <c:axId val="2143586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87792"/>
        <c:crosses val="autoZero"/>
        <c:auto val="1"/>
        <c:lblAlgn val="ctr"/>
        <c:lblOffset val="100"/>
        <c:noMultiLvlLbl val="0"/>
      </c:catAx>
      <c:valAx>
        <c:axId val="2143587792"/>
        <c:scaling>
          <c:orientation val="minMax"/>
        </c:scaling>
        <c:delete val="1"/>
        <c:axPos val="l"/>
        <c:numFmt formatCode="0.00%" sourceLinked="1"/>
        <c:majorTickMark val="out"/>
        <c:minorTickMark val="none"/>
        <c:tickLblPos val="nextTo"/>
        <c:crossAx val="214358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[ANUOLUWAPO PROJECT 1.xlsx]CALCULATIONS AND PIVOT!PivotTable7</c:name>
    <c:fmtId val="6"/>
  </c:pivotSource>
  <c:chart>
    <c:autoTitleDeleted val="0"/>
    <c:pivotFmts>
      <c:pivotFmt>
        <c:idx val="0"/>
        <c:spPr>
          <a:solidFill>
            <a:schemeClr val="accent1"/>
          </a:solidFill>
          <a:ln>
            <a:solidFill>
              <a:srgbClr val="D6E8F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DC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AND PIVOT'!$N$20</c:f>
              <c:strCache>
                <c:ptCount val="1"/>
                <c:pt idx="0">
                  <c:v>Sum of Sales</c:v>
                </c:pt>
              </c:strCache>
            </c:strRef>
          </c:tx>
          <c:spPr>
            <a:solidFill>
              <a:schemeClr val="accent1"/>
            </a:solidFill>
            <a:ln>
              <a:solidFill>
                <a:srgbClr val="D6E8F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AND PIVOT'!$M$21:$M$25</c:f>
              <c:strCache>
                <c:ptCount val="4"/>
                <c:pt idx="0">
                  <c:v>Copiers</c:v>
                </c:pt>
                <c:pt idx="1">
                  <c:v>Accessories</c:v>
                </c:pt>
                <c:pt idx="2">
                  <c:v>Machines</c:v>
                </c:pt>
                <c:pt idx="3">
                  <c:v>Phones</c:v>
                </c:pt>
              </c:strCache>
            </c:strRef>
          </c:cat>
          <c:val>
            <c:numRef>
              <c:f>'CALCULATIONS AND PIVOT'!$N$21:$N$25</c:f>
              <c:numCache>
                <c:formatCode>[&gt;=1000000]"$"0.0,,"M";[&gt;=1000]"$"0.0,"K";0</c:formatCode>
                <c:ptCount val="4"/>
                <c:pt idx="0">
                  <c:v>149528.02999999994</c:v>
                </c:pt>
                <c:pt idx="1">
                  <c:v>167380.31800000009</c:v>
                </c:pt>
                <c:pt idx="2">
                  <c:v>189238.63099999996</c:v>
                </c:pt>
                <c:pt idx="3">
                  <c:v>330007.05400000012</c:v>
                </c:pt>
              </c:numCache>
            </c:numRef>
          </c:val>
          <c:extLst>
            <c:ext xmlns:c16="http://schemas.microsoft.com/office/drawing/2014/chart" uri="{C3380CC4-5D6E-409C-BE32-E72D297353CC}">
              <c16:uniqueId val="{00000000-0D76-4163-9F6A-936F472A7316}"/>
            </c:ext>
          </c:extLst>
        </c:ser>
        <c:ser>
          <c:idx val="1"/>
          <c:order val="1"/>
          <c:tx>
            <c:strRef>
              <c:f>'CALCULATIONS AND PIVOT'!$O$20</c:f>
              <c:strCache>
                <c:ptCount val="1"/>
                <c:pt idx="0">
                  <c:v>Sum of Profit</c:v>
                </c:pt>
              </c:strCache>
            </c:strRef>
          </c:tx>
          <c:spPr>
            <a:solidFill>
              <a:srgbClr val="CCDC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AND PIVOT'!$M$21:$M$25</c:f>
              <c:strCache>
                <c:ptCount val="4"/>
                <c:pt idx="0">
                  <c:v>Copiers</c:v>
                </c:pt>
                <c:pt idx="1">
                  <c:v>Accessories</c:v>
                </c:pt>
                <c:pt idx="2">
                  <c:v>Machines</c:v>
                </c:pt>
                <c:pt idx="3">
                  <c:v>Phones</c:v>
                </c:pt>
              </c:strCache>
            </c:strRef>
          </c:cat>
          <c:val>
            <c:numRef>
              <c:f>'CALCULATIONS AND PIVOT'!$O$21:$O$25</c:f>
              <c:numCache>
                <c:formatCode>[&gt;=1000000]"$"0.0,,"M";[&gt;=1000]"$"0.0,"K";0</c:formatCode>
                <c:ptCount val="4"/>
                <c:pt idx="0">
                  <c:v>55617.824900000007</c:v>
                </c:pt>
                <c:pt idx="1">
                  <c:v>41936.635699999933</c:v>
                </c:pt>
                <c:pt idx="2">
                  <c:v>3384.7568999999999</c:v>
                </c:pt>
                <c:pt idx="3">
                  <c:v>44515.730600000003</c:v>
                </c:pt>
              </c:numCache>
            </c:numRef>
          </c:val>
          <c:extLst>
            <c:ext xmlns:c16="http://schemas.microsoft.com/office/drawing/2014/chart" uri="{C3380CC4-5D6E-409C-BE32-E72D297353CC}">
              <c16:uniqueId val="{00000001-0D76-4163-9F6A-936F472A7316}"/>
            </c:ext>
          </c:extLst>
        </c:ser>
        <c:dLbls>
          <c:dLblPos val="outEnd"/>
          <c:showLegendKey val="0"/>
          <c:showVal val="1"/>
          <c:showCatName val="0"/>
          <c:showSerName val="0"/>
          <c:showPercent val="0"/>
          <c:showBubbleSize val="0"/>
        </c:dLbls>
        <c:gapWidth val="219"/>
        <c:overlap val="-27"/>
        <c:axId val="1923121696"/>
        <c:axId val="1923118336"/>
      </c:barChart>
      <c:catAx>
        <c:axId val="1923121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118336"/>
        <c:crosses val="autoZero"/>
        <c:auto val="1"/>
        <c:lblAlgn val="ctr"/>
        <c:lblOffset val="100"/>
        <c:noMultiLvlLbl val="0"/>
      </c:catAx>
      <c:valAx>
        <c:axId val="1923118336"/>
        <c:scaling>
          <c:orientation val="minMax"/>
        </c:scaling>
        <c:delete val="1"/>
        <c:axPos val="l"/>
        <c:numFmt formatCode="[&gt;=1000000]&quot;$&quot;0.0,,&quot;M&quot;;[&gt;=1000]&quot;$&quot;0.0,&quot;K&quot;;0" sourceLinked="1"/>
        <c:majorTickMark val="none"/>
        <c:minorTickMark val="none"/>
        <c:tickLblPos val="nextTo"/>
        <c:crossAx val="192312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D6E8F9"/>
            </a:solidFill>
            <a:ln>
              <a:noFill/>
            </a:ln>
            <a:effectLst/>
          </c:spPr>
          <c:invertIfNegative val="0"/>
          <c:dLbls>
            <c:delete val="1"/>
          </c:dLbls>
          <c:cat>
            <c:strRef>
              <c:f>'CALCULATIONS AND PIVOT'!$I$21:$I$25</c:f>
              <c:strCache>
                <c:ptCount val="5"/>
                <c:pt idx="0">
                  <c:v>Los Angeles</c:v>
                </c:pt>
                <c:pt idx="1">
                  <c:v>New York City</c:v>
                </c:pt>
                <c:pt idx="2">
                  <c:v>Philadelphia</c:v>
                </c:pt>
                <c:pt idx="3">
                  <c:v>San Francisco</c:v>
                </c:pt>
                <c:pt idx="4">
                  <c:v>Seattle</c:v>
                </c:pt>
              </c:strCache>
            </c:strRef>
          </c:cat>
          <c:val>
            <c:numRef>
              <c:f>'CALCULATIONS AND PIVOT'!$J$21:$J$25</c:f>
              <c:numCache>
                <c:formatCode>[&gt;=1000000]"$"0.0,,"M";[&gt;=1000]"$"0.0,"K";0</c:formatCode>
                <c:ptCount val="5"/>
                <c:pt idx="0">
                  <c:v>73029.785999999993</c:v>
                </c:pt>
                <c:pt idx="1">
                  <c:v>109316.10600000004</c:v>
                </c:pt>
                <c:pt idx="2">
                  <c:v>41923.318999999996</c:v>
                </c:pt>
                <c:pt idx="3">
                  <c:v>34058.632000000005</c:v>
                </c:pt>
                <c:pt idx="4">
                  <c:v>42506.372000000003</c:v>
                </c:pt>
              </c:numCache>
            </c:numRef>
          </c:val>
          <c:extLst>
            <c:ext xmlns:c16="http://schemas.microsoft.com/office/drawing/2014/chart" uri="{C3380CC4-5D6E-409C-BE32-E72D297353CC}">
              <c16:uniqueId val="{00000000-7BA4-41A9-A89B-8F2D6E99BDD7}"/>
            </c:ext>
          </c:extLst>
        </c:ser>
        <c:ser>
          <c:idx val="1"/>
          <c:order val="1"/>
          <c:spPr>
            <a:solidFill>
              <a:srgbClr val="E1EAF1">
                <a:alpha val="18000"/>
              </a:srgbClr>
            </a:solidFill>
            <a:ln>
              <a:noFill/>
            </a:ln>
            <a:effectLst/>
          </c:spPr>
          <c:invertIfNegative val="0"/>
          <c:dLbls>
            <c:dLbl>
              <c:idx val="0"/>
              <c:tx>
                <c:rich>
                  <a:bodyPr/>
                  <a:lstStyle/>
                  <a:p>
                    <a:fld id="{4595D4D2-4BE8-40DD-8E63-328752A1B0F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BA4-41A9-A89B-8F2D6E99BDD7}"/>
                </c:ext>
              </c:extLst>
            </c:dLbl>
            <c:dLbl>
              <c:idx val="1"/>
              <c:tx>
                <c:rich>
                  <a:bodyPr/>
                  <a:lstStyle/>
                  <a:p>
                    <a:fld id="{6D280469-B0EB-4491-B3EE-C3C31E470D8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A4-41A9-A89B-8F2D6E99BDD7}"/>
                </c:ext>
              </c:extLst>
            </c:dLbl>
            <c:dLbl>
              <c:idx val="2"/>
              <c:tx>
                <c:rich>
                  <a:bodyPr/>
                  <a:lstStyle/>
                  <a:p>
                    <a:fld id="{8167A85D-5DA1-48DF-B737-4064A6AD0A5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BA4-41A9-A89B-8F2D6E99BDD7}"/>
                </c:ext>
              </c:extLst>
            </c:dLbl>
            <c:dLbl>
              <c:idx val="3"/>
              <c:tx>
                <c:rich>
                  <a:bodyPr/>
                  <a:lstStyle/>
                  <a:p>
                    <a:fld id="{910161E9-FFC9-4620-8BDF-319C53D19F5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BA4-41A9-A89B-8F2D6E99BDD7}"/>
                </c:ext>
              </c:extLst>
            </c:dLbl>
            <c:dLbl>
              <c:idx val="4"/>
              <c:tx>
                <c:rich>
                  <a:bodyPr/>
                  <a:lstStyle/>
                  <a:p>
                    <a:fld id="{B34EDE11-8AB9-4B86-B8D3-D6B04D97125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BA4-41A9-A89B-8F2D6E99BD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'CALCULATIONS AND PIVOT'!$I$21:$I$25</c:f>
              <c:strCache>
                <c:ptCount val="5"/>
                <c:pt idx="0">
                  <c:v>Los Angeles</c:v>
                </c:pt>
                <c:pt idx="1">
                  <c:v>New York City</c:v>
                </c:pt>
                <c:pt idx="2">
                  <c:v>Philadelphia</c:v>
                </c:pt>
                <c:pt idx="3">
                  <c:v>San Francisco</c:v>
                </c:pt>
                <c:pt idx="4">
                  <c:v>Seattle</c:v>
                </c:pt>
              </c:strCache>
            </c:strRef>
          </c:cat>
          <c:val>
            <c:numRef>
              <c:f>'CALCULATIONS AND PIVOT'!$K$21:$K$25</c:f>
              <c:numCache>
                <c:formatCode>"$"#,##0.00</c:formatCode>
                <c:ptCount val="5"/>
                <c:pt idx="0">
                  <c:v>58149.541200000065</c:v>
                </c:pt>
                <c:pt idx="1">
                  <c:v>21863.221200000015</c:v>
                </c:pt>
                <c:pt idx="2">
                  <c:v>89256.008200000069</c:v>
                </c:pt>
                <c:pt idx="3">
                  <c:v>97120.695200000046</c:v>
                </c:pt>
                <c:pt idx="4">
                  <c:v>88672.955200000055</c:v>
                </c:pt>
              </c:numCache>
            </c:numRef>
          </c:val>
          <c:extLst>
            <c:ext xmlns:c15="http://schemas.microsoft.com/office/drawing/2012/chart" uri="{02D57815-91ED-43cb-92C2-25804820EDAC}">
              <c15:datalabelsRange>
                <c15:f>'CALCULATIONS AND PIVOT'!$J$21:$J$25</c15:f>
                <c15:dlblRangeCache>
                  <c:ptCount val="5"/>
                  <c:pt idx="0">
                    <c:v>$73.0K</c:v>
                  </c:pt>
                  <c:pt idx="1">
                    <c:v>$109.3K</c:v>
                  </c:pt>
                  <c:pt idx="2">
                    <c:v>$41.9K</c:v>
                  </c:pt>
                  <c:pt idx="3">
                    <c:v>$34.1K</c:v>
                  </c:pt>
                  <c:pt idx="4">
                    <c:v>$42.5K</c:v>
                  </c:pt>
                </c15:dlblRangeCache>
              </c15:datalabelsRange>
            </c:ext>
            <c:ext xmlns:c16="http://schemas.microsoft.com/office/drawing/2014/chart" uri="{C3380CC4-5D6E-409C-BE32-E72D297353CC}">
              <c16:uniqueId val="{00000001-7BA4-41A9-A89B-8F2D6E99BDD7}"/>
            </c:ext>
          </c:extLst>
        </c:ser>
        <c:dLbls>
          <c:dLblPos val="ctr"/>
          <c:showLegendKey val="0"/>
          <c:showVal val="1"/>
          <c:showCatName val="0"/>
          <c:showSerName val="0"/>
          <c:showPercent val="0"/>
          <c:showBubbleSize val="0"/>
        </c:dLbls>
        <c:gapWidth val="150"/>
        <c:overlap val="100"/>
        <c:axId val="1354894848"/>
        <c:axId val="1354889088"/>
      </c:barChart>
      <c:catAx>
        <c:axId val="135489484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889088"/>
        <c:crosses val="autoZero"/>
        <c:auto val="1"/>
        <c:lblAlgn val="ctr"/>
        <c:lblOffset val="100"/>
        <c:noMultiLvlLbl val="0"/>
      </c:catAx>
      <c:valAx>
        <c:axId val="1354889088"/>
        <c:scaling>
          <c:orientation val="minMax"/>
        </c:scaling>
        <c:delete val="1"/>
        <c:axPos val="b"/>
        <c:numFmt formatCode="[&gt;=1000000]&quot;$&quot;0.0,,&quot;M&quot;;[&gt;=1000]&quot;$&quot;0.0,&quot;K&quot;;0" sourceLinked="1"/>
        <c:majorTickMark val="out"/>
        <c:minorTickMark val="none"/>
        <c:tickLblPos val="nextTo"/>
        <c:crossAx val="1354894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[ANUOLUWAPO PROJECT 1.xlsx]CALCULATIONS AND PIVOT!PivotTable9</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DCEB"/>
          </a:solidFill>
          <a:ln w="19050">
            <a:solidFill>
              <a:schemeClr val="lt1"/>
            </a:solidFill>
          </a:ln>
          <a:effectLst/>
        </c:spPr>
        <c:dLbl>
          <c:idx val="0"/>
          <c:layout>
            <c:manualLayout>
              <c:x val="0.14196644830400096"/>
              <c:y val="-0.113054199251349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8FAFA"/>
          </a:solidFill>
          <a:ln w="19050">
            <a:solidFill>
              <a:schemeClr val="lt1"/>
            </a:solidFill>
          </a:ln>
          <a:effectLst/>
        </c:spPr>
        <c:dLbl>
          <c:idx val="0"/>
          <c:layout>
            <c:manualLayout>
              <c:x val="9.2086344845838455E-2"/>
              <c:y val="0.24306652839040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347724140973068"/>
              <c:y val="-0.14131774906418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7553965528649033E-2"/>
              <c:y val="0.21480297857756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 AND PIVOT'!$H$50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8F6-41C7-BAEC-78110492766F}"/>
              </c:ext>
            </c:extLst>
          </c:dPt>
          <c:dPt>
            <c:idx val="1"/>
            <c:bubble3D val="0"/>
            <c:spPr>
              <a:solidFill>
                <a:srgbClr val="CCDCEB"/>
              </a:solidFill>
              <a:ln w="19050">
                <a:solidFill>
                  <a:schemeClr val="lt1"/>
                </a:solidFill>
              </a:ln>
              <a:effectLst/>
            </c:spPr>
            <c:extLst>
              <c:ext xmlns:c16="http://schemas.microsoft.com/office/drawing/2014/chart" uri="{C3380CC4-5D6E-409C-BE32-E72D297353CC}">
                <c16:uniqueId val="{00000002-68F6-41C7-BAEC-78110492766F}"/>
              </c:ext>
            </c:extLst>
          </c:dPt>
          <c:dPt>
            <c:idx val="2"/>
            <c:bubble3D val="0"/>
            <c:spPr>
              <a:solidFill>
                <a:srgbClr val="F8FAFA"/>
              </a:solidFill>
              <a:ln w="19050">
                <a:solidFill>
                  <a:schemeClr val="lt1"/>
                </a:solidFill>
              </a:ln>
              <a:effectLst/>
            </c:spPr>
            <c:extLst>
              <c:ext xmlns:c16="http://schemas.microsoft.com/office/drawing/2014/chart" uri="{C3380CC4-5D6E-409C-BE32-E72D297353CC}">
                <c16:uniqueId val="{00000003-68F6-41C7-BAEC-7811049276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8F6-41C7-BAEC-78110492766F}"/>
              </c:ext>
            </c:extLst>
          </c:dPt>
          <c:dLbls>
            <c:dLbl>
              <c:idx val="0"/>
              <c:layout>
                <c:manualLayout>
                  <c:x val="0.15347724140973068"/>
                  <c:y val="-0.14131774906418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F6-41C7-BAEC-78110492766F}"/>
                </c:ext>
              </c:extLst>
            </c:dLbl>
            <c:dLbl>
              <c:idx val="1"/>
              <c:layout>
                <c:manualLayout>
                  <c:x val="0.14196644830400096"/>
                  <c:y val="-0.113054199251349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F6-41C7-BAEC-78110492766F}"/>
                </c:ext>
              </c:extLst>
            </c:dLbl>
            <c:dLbl>
              <c:idx val="2"/>
              <c:layout>
                <c:manualLayout>
                  <c:x val="9.2086344845838455E-2"/>
                  <c:y val="0.24306652839040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F6-41C7-BAEC-78110492766F}"/>
                </c:ext>
              </c:extLst>
            </c:dLbl>
            <c:dLbl>
              <c:idx val="3"/>
              <c:layout>
                <c:manualLayout>
                  <c:x val="-5.7553965528649033E-2"/>
                  <c:y val="0.21480297857756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F6-41C7-BAEC-7811049276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 AND PIVOT'!$G$51:$G$55</c:f>
              <c:strCache>
                <c:ptCount val="4"/>
                <c:pt idx="0">
                  <c:v>First Class</c:v>
                </c:pt>
                <c:pt idx="1">
                  <c:v>Same Day</c:v>
                </c:pt>
                <c:pt idx="2">
                  <c:v>Second Class</c:v>
                </c:pt>
                <c:pt idx="3">
                  <c:v>Standard Class</c:v>
                </c:pt>
              </c:strCache>
            </c:strRef>
          </c:cat>
          <c:val>
            <c:numRef>
              <c:f>'CALCULATIONS AND PIVOT'!$H$51:$H$55</c:f>
              <c:numCache>
                <c:formatCode>0.00%</c:formatCode>
                <c:ptCount val="4"/>
                <c:pt idx="0">
                  <c:v>0.16296697347049269</c:v>
                </c:pt>
                <c:pt idx="1">
                  <c:v>5.3059014618299948E-2</c:v>
                </c:pt>
                <c:pt idx="2">
                  <c:v>0.19815917704385491</c:v>
                </c:pt>
                <c:pt idx="3">
                  <c:v>0.58581483486735242</c:v>
                </c:pt>
              </c:numCache>
            </c:numRef>
          </c:val>
          <c:extLst>
            <c:ext xmlns:c16="http://schemas.microsoft.com/office/drawing/2014/chart" uri="{C3380CC4-5D6E-409C-BE32-E72D297353CC}">
              <c16:uniqueId val="{00000000-68F6-41C7-BAEC-78110492766F}"/>
            </c:ext>
          </c:extLst>
        </c:ser>
        <c:dLbls>
          <c:showLegendKey val="0"/>
          <c:showVal val="1"/>
          <c:showCatName val="0"/>
          <c:showSerName val="0"/>
          <c:showPercent val="0"/>
          <c:showBubbleSize val="0"/>
          <c:showLeaderLines val="1"/>
        </c:dLbls>
        <c:firstSliceAng val="0"/>
        <c:holeSize val="8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[ANUOLUWAPO PROJECT 1.xlsx]CALCULATIONS AND PIVOT!PivotTable4</c:name>
    <c:fmtId val="7"/>
  </c:pivotSource>
  <c:chart>
    <c:autoTitleDeleted val="1"/>
    <c:pivotFmts>
      <c:pivotFmt>
        <c:idx val="0"/>
        <c:spPr>
          <a:solidFill>
            <a:schemeClr val="accent1"/>
          </a:solidFill>
          <a:ln w="28575" cap="rnd">
            <a:solidFill>
              <a:schemeClr val="accent1"/>
            </a:solidFill>
            <a:round/>
          </a:ln>
          <a:effectLst/>
        </c:spPr>
        <c:marker>
          <c:symbol val="circle"/>
          <c:size val="12"/>
          <c:spPr>
            <a:solidFill>
              <a:schemeClr val="accent1"/>
            </a:solidFill>
            <a:ln w="508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12"/>
          <c:spPr>
            <a:solidFill>
              <a:schemeClr val="accent1"/>
            </a:solidFill>
            <a:ln w="508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prstDash val="sysDot"/>
            <a:round/>
          </a:ln>
          <a:effectLst/>
        </c:spPr>
        <c:marker>
          <c:symbol val="circle"/>
          <c:size val="12"/>
          <c:spPr>
            <a:solidFill>
              <a:schemeClr val="accent1"/>
            </a:solidFill>
            <a:ln w="508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86634844868735E-2"/>
          <c:y val="5.5555555555555552E-2"/>
          <c:w val="0.9649960222752586"/>
          <c:h val="0.81098944663167105"/>
        </c:manualLayout>
      </c:layout>
      <c:lineChart>
        <c:grouping val="standard"/>
        <c:varyColors val="0"/>
        <c:ser>
          <c:idx val="0"/>
          <c:order val="0"/>
          <c:tx>
            <c:strRef>
              <c:f>'CALCULATIONS AND PIVOT'!$C$21</c:f>
              <c:strCache>
                <c:ptCount val="1"/>
                <c:pt idx="0">
                  <c:v>Total</c:v>
                </c:pt>
              </c:strCache>
            </c:strRef>
          </c:tx>
          <c:spPr>
            <a:ln w="28575" cap="rnd">
              <a:solidFill>
                <a:schemeClr val="accent1"/>
              </a:solidFill>
              <a:prstDash val="sysDot"/>
              <a:round/>
            </a:ln>
            <a:effectLst/>
          </c:spPr>
          <c:marker>
            <c:symbol val="circle"/>
            <c:size val="12"/>
            <c:spPr>
              <a:solidFill>
                <a:schemeClr val="accent1"/>
              </a:solidFill>
              <a:ln w="50800">
                <a:solidFill>
                  <a:schemeClr val="accent1"/>
                </a:solidFill>
              </a:ln>
              <a:effectLst/>
            </c:spPr>
          </c:marker>
          <c:cat>
            <c:strRef>
              <c:f>'CALCULATIONS AND PIVOT'!$B$22:$B$34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 AND PIVOT'!$C$22:$C$34</c:f>
              <c:numCache>
                <c:formatCode>[&gt;=1000000]"$"0.0,,"M";[&gt;=1000]"$"0.0,"K";0</c:formatCode>
                <c:ptCount val="12"/>
                <c:pt idx="0">
                  <c:v>30121.762999999992</c:v>
                </c:pt>
                <c:pt idx="1">
                  <c:v>23343.417999999998</c:v>
                </c:pt>
                <c:pt idx="2">
                  <c:v>97851.569999999978</c:v>
                </c:pt>
                <c:pt idx="3">
                  <c:v>47630.275000000023</c:v>
                </c:pt>
                <c:pt idx="4">
                  <c:v>63642.154999999999</c:v>
                </c:pt>
                <c:pt idx="5">
                  <c:v>48304.583000000006</c:v>
                </c:pt>
                <c:pt idx="6">
                  <c:v>54854.025999999983</c:v>
                </c:pt>
                <c:pt idx="7">
                  <c:v>52025.856000000029</c:v>
                </c:pt>
                <c:pt idx="8">
                  <c:v>99380.708999999959</c:v>
                </c:pt>
                <c:pt idx="9">
                  <c:v>87031.944999999992</c:v>
                </c:pt>
                <c:pt idx="10">
                  <c:v>131134.84100000004</c:v>
                </c:pt>
                <c:pt idx="11">
                  <c:v>100832.89200000001</c:v>
                </c:pt>
              </c:numCache>
            </c:numRef>
          </c:val>
          <c:smooth val="1"/>
          <c:extLst>
            <c:ext xmlns:c16="http://schemas.microsoft.com/office/drawing/2014/chart" uri="{C3380CC4-5D6E-409C-BE32-E72D297353CC}">
              <c16:uniqueId val="{00000000-44A4-4E85-8360-713B3FAE4DAD}"/>
            </c:ext>
          </c:extLst>
        </c:ser>
        <c:dLbls>
          <c:showLegendKey val="0"/>
          <c:showVal val="0"/>
          <c:showCatName val="0"/>
          <c:showSerName val="0"/>
          <c:showPercent val="0"/>
          <c:showBubbleSize val="0"/>
        </c:dLbls>
        <c:marker val="1"/>
        <c:smooth val="0"/>
        <c:axId val="195543231"/>
        <c:axId val="195526911"/>
      </c:lineChart>
      <c:catAx>
        <c:axId val="19554323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rgbClr val="7F7F7F"/>
                </a:solidFill>
                <a:latin typeface="+mn-lt"/>
                <a:ea typeface="+mn-ea"/>
                <a:cs typeface="+mn-cs"/>
              </a:defRPr>
            </a:pPr>
            <a:endParaRPr lang="en-US"/>
          </a:p>
        </c:txPr>
        <c:crossAx val="195526911"/>
        <c:crosses val="autoZero"/>
        <c:auto val="1"/>
        <c:lblAlgn val="ctr"/>
        <c:lblOffset val="100"/>
        <c:noMultiLvlLbl val="0"/>
      </c:catAx>
      <c:valAx>
        <c:axId val="195526911"/>
        <c:scaling>
          <c:orientation val="minMax"/>
        </c:scaling>
        <c:delete val="1"/>
        <c:axPos val="l"/>
        <c:numFmt formatCode="[&gt;=1000000]&quot;$&quot;0.0,,&quot;M&quot;;[&gt;=1000]&quot;$&quot;0.0,&quot;K&quot;;0" sourceLinked="1"/>
        <c:majorTickMark val="none"/>
        <c:minorTickMark val="none"/>
        <c:tickLblPos val="nextTo"/>
        <c:crossAx val="1955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[ANUOLUWAPO PROJECT 1.xlsx]CALCULATIONS AND PIVOT!PivotTable7</c:name>
    <c:fmtId val="11"/>
  </c:pivotSource>
  <c:chart>
    <c:autoTitleDeleted val="0"/>
    <c:pivotFmts>
      <c:pivotFmt>
        <c:idx val="0"/>
        <c:spPr>
          <a:solidFill>
            <a:schemeClr val="accent1"/>
          </a:solidFill>
          <a:ln>
            <a:solidFill>
              <a:srgbClr val="D6E8F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DC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D6E8F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DC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85F7C"/>
          </a:solidFill>
          <a:ln>
            <a:solidFill>
              <a:srgbClr val="D6E8F9"/>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rgbClr val="385F7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DCEB"/>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rgbClr val="385F7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CDCEB"/>
          </a:solidFill>
          <a:ln>
            <a:noFill/>
          </a:ln>
          <a:effectLst/>
        </c:spPr>
        <c:dLbl>
          <c:idx val="0"/>
          <c:layout>
            <c:manualLayout>
              <c:x val="1.0128008457126306E-2"/>
              <c:y val="-4.0421182354595823E-3"/>
            </c:manualLayout>
          </c:layout>
          <c:spPr>
            <a:noFill/>
            <a:ln>
              <a:noFill/>
            </a:ln>
            <a:effectLst/>
          </c:spPr>
          <c:txPr>
            <a:bodyPr rot="0" spcFirstLastPara="1" vertOverflow="ellipsis" vert="horz" wrap="square" anchor="ctr" anchorCtr="1"/>
            <a:lstStyle/>
            <a:p>
              <a:pPr>
                <a:defRPr sz="1600" b="1" i="0" u="none" strike="noStrike" kern="1200" baseline="0">
                  <a:solidFill>
                    <a:srgbClr val="385F7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DCEB"/>
          </a:solidFill>
          <a:ln>
            <a:noFill/>
          </a:ln>
          <a:effectLst/>
        </c:spPr>
        <c:dLbl>
          <c:idx val="0"/>
          <c:layout>
            <c:manualLayout>
              <c:x val="2.2281618605677855E-2"/>
              <c:y val="0"/>
            </c:manualLayout>
          </c:layout>
          <c:spPr>
            <a:noFill/>
            <a:ln>
              <a:noFill/>
            </a:ln>
            <a:effectLst/>
          </c:spPr>
          <c:txPr>
            <a:bodyPr rot="0" spcFirstLastPara="1" vertOverflow="ellipsis" vert="horz" wrap="square" anchor="ctr" anchorCtr="1"/>
            <a:lstStyle/>
            <a:p>
              <a:pPr>
                <a:defRPr sz="1600" b="1" i="0" u="none" strike="noStrike" kern="1200" baseline="0">
                  <a:solidFill>
                    <a:srgbClr val="385F7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DCEB"/>
          </a:solidFill>
          <a:ln>
            <a:noFill/>
          </a:ln>
          <a:effectLst/>
        </c:spPr>
        <c:dLbl>
          <c:idx val="0"/>
          <c:layout>
            <c:manualLayout>
              <c:x val="2.2281618605677872E-2"/>
              <c:y val="4.0421182354594349E-3"/>
            </c:manualLayout>
          </c:layout>
          <c:spPr>
            <a:noFill/>
            <a:ln>
              <a:noFill/>
            </a:ln>
            <a:effectLst/>
          </c:spPr>
          <c:txPr>
            <a:bodyPr rot="0" spcFirstLastPara="1" vertOverflow="ellipsis" vert="horz" wrap="square" anchor="ctr" anchorCtr="1"/>
            <a:lstStyle/>
            <a:p>
              <a:pPr>
                <a:defRPr sz="1600" b="1" i="0" u="none" strike="noStrike" kern="1200" baseline="0">
                  <a:solidFill>
                    <a:srgbClr val="385F7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AND PIVOT'!$N$20</c:f>
              <c:strCache>
                <c:ptCount val="1"/>
                <c:pt idx="0">
                  <c:v>Sum of Sales</c:v>
                </c:pt>
              </c:strCache>
            </c:strRef>
          </c:tx>
          <c:spPr>
            <a:solidFill>
              <a:srgbClr val="385F7C"/>
            </a:solidFill>
            <a:ln>
              <a:solidFill>
                <a:srgbClr val="D6E8F9"/>
              </a:solid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rgbClr val="385F7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AND PIVOT'!$M$21:$M$25</c:f>
              <c:strCache>
                <c:ptCount val="4"/>
                <c:pt idx="0">
                  <c:v>Copiers</c:v>
                </c:pt>
                <c:pt idx="1">
                  <c:v>Accessories</c:v>
                </c:pt>
                <c:pt idx="2">
                  <c:v>Machines</c:v>
                </c:pt>
                <c:pt idx="3">
                  <c:v>Phones</c:v>
                </c:pt>
              </c:strCache>
            </c:strRef>
          </c:cat>
          <c:val>
            <c:numRef>
              <c:f>'CALCULATIONS AND PIVOT'!$N$21:$N$25</c:f>
              <c:numCache>
                <c:formatCode>[&gt;=1000000]"$"0.0,,"M";[&gt;=1000]"$"0.0,"K";0</c:formatCode>
                <c:ptCount val="4"/>
                <c:pt idx="0">
                  <c:v>149528.02999999994</c:v>
                </c:pt>
                <c:pt idx="1">
                  <c:v>167380.31800000009</c:v>
                </c:pt>
                <c:pt idx="2">
                  <c:v>189238.63099999996</c:v>
                </c:pt>
                <c:pt idx="3">
                  <c:v>330007.05400000012</c:v>
                </c:pt>
              </c:numCache>
            </c:numRef>
          </c:val>
          <c:extLst>
            <c:ext xmlns:c16="http://schemas.microsoft.com/office/drawing/2014/chart" uri="{C3380CC4-5D6E-409C-BE32-E72D297353CC}">
              <c16:uniqueId val="{00000000-F0E5-4488-BCFD-4531D3AE0043}"/>
            </c:ext>
          </c:extLst>
        </c:ser>
        <c:ser>
          <c:idx val="1"/>
          <c:order val="1"/>
          <c:tx>
            <c:strRef>
              <c:f>'CALCULATIONS AND PIVOT'!$O$20</c:f>
              <c:strCache>
                <c:ptCount val="1"/>
                <c:pt idx="0">
                  <c:v>Sum of Profit</c:v>
                </c:pt>
              </c:strCache>
            </c:strRef>
          </c:tx>
          <c:spPr>
            <a:solidFill>
              <a:srgbClr val="CCDCEB"/>
            </a:solidFill>
            <a:ln>
              <a:noFill/>
            </a:ln>
            <a:effectLst/>
          </c:spPr>
          <c:invertIfNegative val="0"/>
          <c:dPt>
            <c:idx val="0"/>
            <c:invertIfNegative val="0"/>
            <c:bubble3D val="0"/>
            <c:extLst>
              <c:ext xmlns:c16="http://schemas.microsoft.com/office/drawing/2014/chart" uri="{C3380CC4-5D6E-409C-BE32-E72D297353CC}">
                <c16:uniqueId val="{00000001-D7F0-4660-A406-19D537C2BB0A}"/>
              </c:ext>
            </c:extLst>
          </c:dPt>
          <c:dPt>
            <c:idx val="2"/>
            <c:invertIfNegative val="0"/>
            <c:bubble3D val="0"/>
            <c:extLst>
              <c:ext xmlns:c16="http://schemas.microsoft.com/office/drawing/2014/chart" uri="{C3380CC4-5D6E-409C-BE32-E72D297353CC}">
                <c16:uniqueId val="{00000000-D7F0-4660-A406-19D537C2BB0A}"/>
              </c:ext>
            </c:extLst>
          </c:dPt>
          <c:dPt>
            <c:idx val="3"/>
            <c:invertIfNegative val="0"/>
            <c:bubble3D val="0"/>
            <c:extLst>
              <c:ext xmlns:c16="http://schemas.microsoft.com/office/drawing/2014/chart" uri="{C3380CC4-5D6E-409C-BE32-E72D297353CC}">
                <c16:uniqueId val="{00000002-D7F0-4660-A406-19D537C2BB0A}"/>
              </c:ext>
            </c:extLst>
          </c:dPt>
          <c:dLbls>
            <c:dLbl>
              <c:idx val="0"/>
              <c:layout>
                <c:manualLayout>
                  <c:x val="2.228161860567785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F0-4660-A406-19D537C2BB0A}"/>
                </c:ext>
              </c:extLst>
            </c:dLbl>
            <c:dLbl>
              <c:idx val="2"/>
              <c:layout>
                <c:manualLayout>
                  <c:x val="1.0128008457126306E-2"/>
                  <c:y val="-4.042118235459582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F0-4660-A406-19D537C2BB0A}"/>
                </c:ext>
              </c:extLst>
            </c:dLbl>
            <c:dLbl>
              <c:idx val="3"/>
              <c:layout>
                <c:manualLayout>
                  <c:x val="2.2281618605677872E-2"/>
                  <c:y val="4.042118235459434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F0-4660-A406-19D537C2BB0A}"/>
                </c:ext>
              </c:extLst>
            </c:dLbl>
            <c:spPr>
              <a:noFill/>
              <a:ln>
                <a:noFill/>
              </a:ln>
              <a:effectLst/>
            </c:spPr>
            <c:txPr>
              <a:bodyPr rot="0" spcFirstLastPara="1" vertOverflow="ellipsis" vert="horz" wrap="square" anchor="ctr" anchorCtr="1"/>
              <a:lstStyle/>
              <a:p>
                <a:pPr>
                  <a:defRPr sz="1600" b="1" i="0" u="none" strike="noStrike" kern="1200" baseline="0">
                    <a:solidFill>
                      <a:srgbClr val="385F7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AND PIVOT'!$M$21:$M$25</c:f>
              <c:strCache>
                <c:ptCount val="4"/>
                <c:pt idx="0">
                  <c:v>Copiers</c:v>
                </c:pt>
                <c:pt idx="1">
                  <c:v>Accessories</c:v>
                </c:pt>
                <c:pt idx="2">
                  <c:v>Machines</c:v>
                </c:pt>
                <c:pt idx="3">
                  <c:v>Phones</c:v>
                </c:pt>
              </c:strCache>
            </c:strRef>
          </c:cat>
          <c:val>
            <c:numRef>
              <c:f>'CALCULATIONS AND PIVOT'!$O$21:$O$25</c:f>
              <c:numCache>
                <c:formatCode>[&gt;=1000000]"$"0.0,,"M";[&gt;=1000]"$"0.0,"K";0</c:formatCode>
                <c:ptCount val="4"/>
                <c:pt idx="0">
                  <c:v>55617.824900000007</c:v>
                </c:pt>
                <c:pt idx="1">
                  <c:v>41936.635699999933</c:v>
                </c:pt>
                <c:pt idx="2">
                  <c:v>3384.7568999999999</c:v>
                </c:pt>
                <c:pt idx="3">
                  <c:v>44515.730600000003</c:v>
                </c:pt>
              </c:numCache>
            </c:numRef>
          </c:val>
          <c:extLst>
            <c:ext xmlns:c16="http://schemas.microsoft.com/office/drawing/2014/chart" uri="{C3380CC4-5D6E-409C-BE32-E72D297353CC}">
              <c16:uniqueId val="{00000001-F0E5-4488-BCFD-4531D3AE0043}"/>
            </c:ext>
          </c:extLst>
        </c:ser>
        <c:dLbls>
          <c:dLblPos val="outEnd"/>
          <c:showLegendKey val="0"/>
          <c:showVal val="1"/>
          <c:showCatName val="0"/>
          <c:showSerName val="0"/>
          <c:showPercent val="0"/>
          <c:showBubbleSize val="0"/>
        </c:dLbls>
        <c:gapWidth val="219"/>
        <c:overlap val="-27"/>
        <c:axId val="1923121696"/>
        <c:axId val="1923118336"/>
      </c:barChart>
      <c:catAx>
        <c:axId val="1923121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rgbClr val="7F7F7F"/>
                </a:solidFill>
                <a:latin typeface="+mn-lt"/>
                <a:ea typeface="+mn-ea"/>
                <a:cs typeface="+mn-cs"/>
              </a:defRPr>
            </a:pPr>
            <a:endParaRPr lang="en-US"/>
          </a:p>
        </c:txPr>
        <c:crossAx val="1923118336"/>
        <c:crosses val="autoZero"/>
        <c:auto val="1"/>
        <c:lblAlgn val="ctr"/>
        <c:lblOffset val="100"/>
        <c:noMultiLvlLbl val="0"/>
      </c:catAx>
      <c:valAx>
        <c:axId val="1923118336"/>
        <c:scaling>
          <c:orientation val="minMax"/>
        </c:scaling>
        <c:delete val="1"/>
        <c:axPos val="l"/>
        <c:numFmt formatCode="[&gt;=1000000]&quot;$&quot;0.0,,&quot;M&quot;;[&gt;=1000]&quot;$&quot;0.0,&quot;K&quot;;0" sourceLinked="1"/>
        <c:majorTickMark val="none"/>
        <c:minorTickMark val="none"/>
        <c:tickLblPos val="nextTo"/>
        <c:crossAx val="192312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[ANUOLUWAPO PROJECT 1.xlsx]CALCULATIONS AND PIVOT!PivotTable8</c:name>
    <c:fmtId val="5"/>
  </c:pivotSource>
  <c:chart>
    <c:autoTitleDeleted val="1"/>
    <c:pivotFmts>
      <c:pivotFmt>
        <c:idx val="0"/>
        <c:spPr>
          <a:solidFill>
            <a:schemeClr val="accent1"/>
          </a:solidFill>
          <a:ln w="28575" cap="rnd">
            <a:noFill/>
            <a:round/>
          </a:ln>
          <a:effectLst/>
        </c:spPr>
        <c:marker>
          <c:symbol val="circle"/>
          <c:size val="10"/>
          <c:spPr>
            <a:solidFill>
              <a:schemeClr val="accent1"/>
            </a:solidFill>
            <a:ln w="9525">
              <a:solidFill>
                <a:schemeClr val="accent1"/>
              </a:solidFill>
            </a:ln>
            <a:effectLst/>
          </c:spPr>
        </c:marker>
      </c:pivotFmt>
      <c:pivotFmt>
        <c:idx val="1"/>
        <c:spPr>
          <a:solidFill>
            <a:schemeClr val="accent1"/>
          </a:solidFill>
          <a:ln w="28575" cap="rnd">
            <a:noFill/>
            <a:round/>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800" b="1" i="0" u="none" strike="noStrike" kern="1200" baseline="0">
                  <a:solidFill>
                    <a:srgbClr val="385F7C"/>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AND PIVOT'!$H$32</c:f>
              <c:strCache>
                <c:ptCount val="1"/>
                <c:pt idx="0">
                  <c:v>Total</c:v>
                </c:pt>
              </c:strCache>
            </c:strRef>
          </c:tx>
          <c:spPr>
            <a:ln w="28575" cap="rnd">
              <a:noFill/>
              <a:round/>
            </a:ln>
            <a:effectLst/>
          </c:spPr>
          <c:marker>
            <c:symbol val="circle"/>
            <c:size val="1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800" b="1" i="0" u="none" strike="noStrike" kern="1200" baseline="0">
                    <a:solidFill>
                      <a:srgbClr val="385F7C"/>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AND PIVOT'!$G$33:$G$41</c:f>
              <c:strCache>
                <c:ptCount val="8"/>
                <c:pt idx="0">
                  <c:v>4 days</c:v>
                </c:pt>
                <c:pt idx="1">
                  <c:v>5 days</c:v>
                </c:pt>
                <c:pt idx="2">
                  <c:v>2 days</c:v>
                </c:pt>
                <c:pt idx="3">
                  <c:v>6 days</c:v>
                </c:pt>
                <c:pt idx="4">
                  <c:v>3 days</c:v>
                </c:pt>
                <c:pt idx="5">
                  <c:v>7 days</c:v>
                </c:pt>
                <c:pt idx="6">
                  <c:v>0 days</c:v>
                </c:pt>
                <c:pt idx="7">
                  <c:v>1 days</c:v>
                </c:pt>
              </c:strCache>
            </c:strRef>
          </c:cat>
          <c:val>
            <c:numRef>
              <c:f>'CALCULATIONS AND PIVOT'!$H$33:$H$41</c:f>
              <c:numCache>
                <c:formatCode>0.00%</c:formatCode>
                <c:ptCount val="8"/>
                <c:pt idx="0">
                  <c:v>0.2777476989713048</c:v>
                </c:pt>
                <c:pt idx="1">
                  <c:v>0.21277747698971305</c:v>
                </c:pt>
                <c:pt idx="2">
                  <c:v>0.14022739577693558</c:v>
                </c:pt>
                <c:pt idx="3">
                  <c:v>0.11802923659989172</c:v>
                </c:pt>
                <c:pt idx="4">
                  <c:v>0.10395235517054684</c:v>
                </c:pt>
                <c:pt idx="5">
                  <c:v>5.8473199783432593E-2</c:v>
                </c:pt>
                <c:pt idx="6">
                  <c:v>5.0351922035733625E-2</c:v>
                </c:pt>
                <c:pt idx="7">
                  <c:v>3.8440714672441798E-2</c:v>
                </c:pt>
              </c:numCache>
            </c:numRef>
          </c:val>
          <c:smooth val="1"/>
          <c:extLst>
            <c:ext xmlns:c16="http://schemas.microsoft.com/office/drawing/2014/chart" uri="{C3380CC4-5D6E-409C-BE32-E72D297353CC}">
              <c16:uniqueId val="{00000000-F098-4E4B-9A3B-B2EB3527EF18}"/>
            </c:ext>
          </c:extLst>
        </c:ser>
        <c:dLbls>
          <c:dLblPos val="t"/>
          <c:showLegendKey val="0"/>
          <c:showVal val="1"/>
          <c:showCatName val="0"/>
          <c:showSerName val="0"/>
          <c:showPercent val="0"/>
          <c:showBubbleSize val="0"/>
        </c:dLbls>
        <c:dropLines>
          <c:spPr>
            <a:ln w="38100" cap="flat" cmpd="sng" algn="ctr">
              <a:solidFill>
                <a:srgbClr val="385F7C"/>
              </a:solidFill>
              <a:prstDash val="sysDash"/>
              <a:round/>
            </a:ln>
            <a:effectLst/>
          </c:spPr>
        </c:dropLines>
        <c:marker val="1"/>
        <c:smooth val="0"/>
        <c:axId val="2143586832"/>
        <c:axId val="2143587792"/>
      </c:lineChart>
      <c:catAx>
        <c:axId val="2143586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rgbClr val="7F7F7F"/>
                </a:solidFill>
                <a:latin typeface="+mn-lt"/>
                <a:ea typeface="+mn-ea"/>
                <a:cs typeface="+mn-cs"/>
              </a:defRPr>
            </a:pPr>
            <a:endParaRPr lang="en-US"/>
          </a:p>
        </c:txPr>
        <c:crossAx val="2143587792"/>
        <c:crosses val="autoZero"/>
        <c:auto val="1"/>
        <c:lblAlgn val="ctr"/>
        <c:lblOffset val="100"/>
        <c:noMultiLvlLbl val="0"/>
      </c:catAx>
      <c:valAx>
        <c:axId val="2143587792"/>
        <c:scaling>
          <c:orientation val="minMax"/>
        </c:scaling>
        <c:delete val="1"/>
        <c:axPos val="l"/>
        <c:numFmt formatCode="0.00%" sourceLinked="1"/>
        <c:majorTickMark val="out"/>
        <c:minorTickMark val="none"/>
        <c:tickLblPos val="nextTo"/>
        <c:crossAx val="214358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solidFill>
            <a:srgbClr val="B2B2B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D6E8F9"/>
            </a:solidFill>
            <a:ln>
              <a:noFill/>
            </a:ln>
            <a:effectLst/>
          </c:spPr>
          <c:invertIfNegative val="0"/>
          <c:dLbls>
            <c:delete val="1"/>
          </c:dLbls>
          <c:cat>
            <c:strRef>
              <c:f>'CALCULATIONS AND PIVOT'!$I$21:$I$25</c:f>
              <c:strCache>
                <c:ptCount val="5"/>
                <c:pt idx="0">
                  <c:v>Los Angeles</c:v>
                </c:pt>
                <c:pt idx="1">
                  <c:v>New York City</c:v>
                </c:pt>
                <c:pt idx="2">
                  <c:v>Philadelphia</c:v>
                </c:pt>
                <c:pt idx="3">
                  <c:v>San Francisco</c:v>
                </c:pt>
                <c:pt idx="4">
                  <c:v>Seattle</c:v>
                </c:pt>
              </c:strCache>
            </c:strRef>
          </c:cat>
          <c:val>
            <c:numRef>
              <c:f>'CALCULATIONS AND PIVOT'!$J$21:$J$25</c:f>
              <c:numCache>
                <c:formatCode>[&gt;=1000000]"$"0.0,,"M";[&gt;=1000]"$"0.0,"K";0</c:formatCode>
                <c:ptCount val="5"/>
                <c:pt idx="0">
                  <c:v>73029.785999999993</c:v>
                </c:pt>
                <c:pt idx="1">
                  <c:v>109316.10600000004</c:v>
                </c:pt>
                <c:pt idx="2">
                  <c:v>41923.318999999996</c:v>
                </c:pt>
                <c:pt idx="3">
                  <c:v>34058.632000000005</c:v>
                </c:pt>
                <c:pt idx="4">
                  <c:v>42506.372000000003</c:v>
                </c:pt>
              </c:numCache>
            </c:numRef>
          </c:val>
          <c:extLst>
            <c:ext xmlns:c16="http://schemas.microsoft.com/office/drawing/2014/chart" uri="{C3380CC4-5D6E-409C-BE32-E72D297353CC}">
              <c16:uniqueId val="{00000000-4E53-4533-B518-E93E2A4BE9D2}"/>
            </c:ext>
          </c:extLst>
        </c:ser>
        <c:ser>
          <c:idx val="1"/>
          <c:order val="1"/>
          <c:spPr>
            <a:solidFill>
              <a:srgbClr val="E1EAF1">
                <a:alpha val="18000"/>
              </a:srgbClr>
            </a:solidFill>
            <a:ln>
              <a:noFill/>
            </a:ln>
            <a:effectLst/>
          </c:spPr>
          <c:invertIfNegative val="0"/>
          <c:dLbls>
            <c:dLbl>
              <c:idx val="0"/>
              <c:tx>
                <c:rich>
                  <a:bodyPr/>
                  <a:lstStyle/>
                  <a:p>
                    <a:fld id="{1CEC5B71-6A0E-4042-88BC-3A4F894ADE4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E53-4533-B518-E93E2A4BE9D2}"/>
                </c:ext>
              </c:extLst>
            </c:dLbl>
            <c:dLbl>
              <c:idx val="1"/>
              <c:tx>
                <c:rich>
                  <a:bodyPr/>
                  <a:lstStyle/>
                  <a:p>
                    <a:fld id="{D7014B28-AA5C-4EFD-B3CE-71B8D2CD1F7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E53-4533-B518-E93E2A4BE9D2}"/>
                </c:ext>
              </c:extLst>
            </c:dLbl>
            <c:dLbl>
              <c:idx val="2"/>
              <c:tx>
                <c:rich>
                  <a:bodyPr/>
                  <a:lstStyle/>
                  <a:p>
                    <a:fld id="{EC1F8C2D-349F-48DB-8C14-5417420BEBB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E53-4533-B518-E93E2A4BE9D2}"/>
                </c:ext>
              </c:extLst>
            </c:dLbl>
            <c:dLbl>
              <c:idx val="3"/>
              <c:tx>
                <c:rich>
                  <a:bodyPr/>
                  <a:lstStyle/>
                  <a:p>
                    <a:fld id="{23A4BD30-83E4-4522-94A4-F3E680ED4E9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E53-4533-B518-E93E2A4BE9D2}"/>
                </c:ext>
              </c:extLst>
            </c:dLbl>
            <c:dLbl>
              <c:idx val="4"/>
              <c:tx>
                <c:rich>
                  <a:bodyPr/>
                  <a:lstStyle/>
                  <a:p>
                    <a:fld id="{5CA19777-76C4-40F7-8DC9-F2D7B48D1CC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E53-4533-B518-E93E2A4BE9D2}"/>
                </c:ext>
              </c:extLst>
            </c:dLbl>
            <c:spPr>
              <a:noFill/>
              <a:ln>
                <a:noFill/>
              </a:ln>
              <a:effectLst/>
            </c:spPr>
            <c:txPr>
              <a:bodyPr rot="0" spcFirstLastPara="1" vertOverflow="ellipsis" vert="horz" wrap="square" anchor="ctr" anchorCtr="1"/>
              <a:lstStyle/>
              <a:p>
                <a:pPr>
                  <a:defRPr sz="2400" b="1" i="0" u="none" strike="noStrike" kern="1200" baseline="0">
                    <a:solidFill>
                      <a:srgbClr val="385F7C"/>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'CALCULATIONS AND PIVOT'!$I$21:$I$25</c:f>
              <c:strCache>
                <c:ptCount val="5"/>
                <c:pt idx="0">
                  <c:v>Los Angeles</c:v>
                </c:pt>
                <c:pt idx="1">
                  <c:v>New York City</c:v>
                </c:pt>
                <c:pt idx="2">
                  <c:v>Philadelphia</c:v>
                </c:pt>
                <c:pt idx="3">
                  <c:v>San Francisco</c:v>
                </c:pt>
                <c:pt idx="4">
                  <c:v>Seattle</c:v>
                </c:pt>
              </c:strCache>
            </c:strRef>
          </c:cat>
          <c:val>
            <c:numRef>
              <c:f>'CALCULATIONS AND PIVOT'!$K$21:$K$25</c:f>
              <c:numCache>
                <c:formatCode>"$"#,##0.00</c:formatCode>
                <c:ptCount val="5"/>
                <c:pt idx="0">
                  <c:v>58149.541200000065</c:v>
                </c:pt>
                <c:pt idx="1">
                  <c:v>21863.221200000015</c:v>
                </c:pt>
                <c:pt idx="2">
                  <c:v>89256.008200000069</c:v>
                </c:pt>
                <c:pt idx="3">
                  <c:v>97120.695200000046</c:v>
                </c:pt>
                <c:pt idx="4">
                  <c:v>88672.955200000055</c:v>
                </c:pt>
              </c:numCache>
            </c:numRef>
          </c:val>
          <c:extLst>
            <c:ext xmlns:c15="http://schemas.microsoft.com/office/drawing/2012/chart" uri="{02D57815-91ED-43cb-92C2-25804820EDAC}">
              <c15:datalabelsRange>
                <c15:f>'CALCULATIONS AND PIVOT'!$J$21:$J$25</c15:f>
                <c15:dlblRangeCache>
                  <c:ptCount val="5"/>
                  <c:pt idx="0">
                    <c:v>$73.0K</c:v>
                  </c:pt>
                  <c:pt idx="1">
                    <c:v>$109.3K</c:v>
                  </c:pt>
                  <c:pt idx="2">
                    <c:v>$41.9K</c:v>
                  </c:pt>
                  <c:pt idx="3">
                    <c:v>$34.1K</c:v>
                  </c:pt>
                  <c:pt idx="4">
                    <c:v>$42.5K</c:v>
                  </c:pt>
                </c15:dlblRangeCache>
              </c15:datalabelsRange>
            </c:ext>
            <c:ext xmlns:c16="http://schemas.microsoft.com/office/drawing/2014/chart" uri="{C3380CC4-5D6E-409C-BE32-E72D297353CC}">
              <c16:uniqueId val="{00000006-4E53-4533-B518-E93E2A4BE9D2}"/>
            </c:ext>
          </c:extLst>
        </c:ser>
        <c:dLbls>
          <c:dLblPos val="ctr"/>
          <c:showLegendKey val="0"/>
          <c:showVal val="1"/>
          <c:showCatName val="0"/>
          <c:showSerName val="0"/>
          <c:showPercent val="0"/>
          <c:showBubbleSize val="0"/>
        </c:dLbls>
        <c:gapWidth val="150"/>
        <c:overlap val="100"/>
        <c:axId val="1354894848"/>
        <c:axId val="1354889088"/>
      </c:barChart>
      <c:catAx>
        <c:axId val="135489484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400" b="0" i="0" u="none" strike="noStrike" kern="1200" baseline="0">
                <a:solidFill>
                  <a:srgbClr val="7F7F7F"/>
                </a:solidFill>
                <a:latin typeface="+mn-lt"/>
                <a:ea typeface="+mn-ea"/>
                <a:cs typeface="+mn-cs"/>
              </a:defRPr>
            </a:pPr>
            <a:endParaRPr lang="en-US"/>
          </a:p>
        </c:txPr>
        <c:crossAx val="1354889088"/>
        <c:crosses val="autoZero"/>
        <c:auto val="1"/>
        <c:lblAlgn val="ctr"/>
        <c:lblOffset val="100"/>
        <c:noMultiLvlLbl val="0"/>
      </c:catAx>
      <c:valAx>
        <c:axId val="1354889088"/>
        <c:scaling>
          <c:orientation val="minMax"/>
        </c:scaling>
        <c:delete val="1"/>
        <c:axPos val="b"/>
        <c:numFmt formatCode="[&gt;=1000000]&quot;$&quot;0.0,,&quot;M&quot;;[&gt;=1000]&quot;$&quot;0.0,&quot;K&quot;;0" sourceLinked="1"/>
        <c:majorTickMark val="out"/>
        <c:minorTickMark val="none"/>
        <c:tickLblPos val="nextTo"/>
        <c:crossAx val="1354894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24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[ANUOLUWAPO PROJECT 1.xlsx]CALCULATIONS AND PIVOT!PivotTable9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DCEB"/>
          </a:solidFill>
          <a:ln w="19050">
            <a:solidFill>
              <a:schemeClr val="lt1"/>
            </a:solidFill>
          </a:ln>
          <a:effectLst/>
        </c:spPr>
        <c:dLbl>
          <c:idx val="0"/>
          <c:layout>
            <c:manualLayout>
              <c:x val="0.14196644830400096"/>
              <c:y val="-0.113054199251349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8FAFA"/>
          </a:solidFill>
          <a:ln w="19050">
            <a:solidFill>
              <a:schemeClr val="lt1"/>
            </a:solidFill>
          </a:ln>
          <a:effectLst/>
        </c:spPr>
        <c:dLbl>
          <c:idx val="0"/>
          <c:layout>
            <c:manualLayout>
              <c:x val="9.2086344845838455E-2"/>
              <c:y val="0.24306652839040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347724140973068"/>
              <c:y val="-0.14131774906418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5.7553965528649033E-2"/>
              <c:y val="0.21480297857756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347724140973068"/>
              <c:y val="-0.14131774906418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DCEB"/>
          </a:solidFill>
          <a:ln w="19050">
            <a:solidFill>
              <a:schemeClr val="lt1"/>
            </a:solidFill>
          </a:ln>
          <a:effectLst/>
        </c:spPr>
        <c:dLbl>
          <c:idx val="0"/>
          <c:layout>
            <c:manualLayout>
              <c:x val="0.14196644830400096"/>
              <c:y val="-0.113054199251349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8FAFA"/>
          </a:solidFill>
          <a:ln w="19050">
            <a:solidFill>
              <a:schemeClr val="lt1"/>
            </a:solidFill>
          </a:ln>
          <a:effectLst/>
        </c:spPr>
        <c:dLbl>
          <c:idx val="0"/>
          <c:layout>
            <c:manualLayout>
              <c:x val="9.2086344845838455E-2"/>
              <c:y val="0.24306652839040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7553965528649033E-2"/>
              <c:y val="0.21480297857756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rgbClr val="385F7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347724140973068"/>
              <c:y val="-0.14131774906418718"/>
            </c:manualLayout>
          </c:layout>
          <c:spPr>
            <a:noFill/>
            <a:ln>
              <a:noFill/>
            </a:ln>
            <a:effectLst/>
          </c:spPr>
          <c:txPr>
            <a:bodyPr rot="0" spcFirstLastPara="1" vertOverflow="ellipsis" vert="horz" wrap="square" anchor="ctr" anchorCtr="1"/>
            <a:lstStyle/>
            <a:p>
              <a:pPr>
                <a:defRPr sz="2000" b="1" i="0" u="none" strike="noStrike" kern="1200" baseline="0">
                  <a:solidFill>
                    <a:srgbClr val="385F7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CDCEB"/>
          </a:solidFill>
          <a:ln w="19050">
            <a:solidFill>
              <a:schemeClr val="lt1"/>
            </a:solidFill>
          </a:ln>
          <a:effectLst/>
        </c:spPr>
        <c:dLbl>
          <c:idx val="0"/>
          <c:layout>
            <c:manualLayout>
              <c:x val="0.14196644830400096"/>
              <c:y val="-0.11305419925134978"/>
            </c:manualLayout>
          </c:layout>
          <c:spPr>
            <a:noFill/>
            <a:ln>
              <a:noFill/>
            </a:ln>
            <a:effectLst/>
          </c:spPr>
          <c:txPr>
            <a:bodyPr rot="0" spcFirstLastPara="1" vertOverflow="ellipsis" vert="horz" wrap="square" anchor="ctr" anchorCtr="1"/>
            <a:lstStyle/>
            <a:p>
              <a:pPr>
                <a:defRPr sz="2000" b="1" i="0" u="none" strike="noStrike" kern="1200" baseline="0">
                  <a:solidFill>
                    <a:srgbClr val="385F7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AEAEA"/>
          </a:solidFill>
          <a:ln w="19050">
            <a:solidFill>
              <a:schemeClr val="lt1"/>
            </a:solidFill>
          </a:ln>
          <a:effectLst/>
        </c:spPr>
        <c:dLbl>
          <c:idx val="0"/>
          <c:layout>
            <c:manualLayout>
              <c:x val="9.2086344845838455E-2"/>
              <c:y val="0.24306652839040196"/>
            </c:manualLayout>
          </c:layout>
          <c:spPr>
            <a:noFill/>
            <a:ln>
              <a:noFill/>
            </a:ln>
            <a:effectLst/>
          </c:spPr>
          <c:txPr>
            <a:bodyPr rot="0" spcFirstLastPara="1" vertOverflow="ellipsis" vert="horz" wrap="square" anchor="ctr" anchorCtr="1"/>
            <a:lstStyle/>
            <a:p>
              <a:pPr>
                <a:defRPr sz="2000" b="1" i="0" u="none" strike="noStrike" kern="1200" baseline="0">
                  <a:solidFill>
                    <a:srgbClr val="385F7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25000"/>
              <a:lumOff val="75000"/>
            </a:schemeClr>
          </a:solidFill>
          <a:ln w="19050">
            <a:solidFill>
              <a:schemeClr val="lt1"/>
            </a:solidFill>
          </a:ln>
          <a:effectLst/>
        </c:spPr>
        <c:dLbl>
          <c:idx val="0"/>
          <c:layout>
            <c:manualLayout>
              <c:x val="-0.16866503353747447"/>
              <c:y val="-0.31515457253607826"/>
            </c:manualLayout>
          </c:layout>
          <c:spPr>
            <a:noFill/>
            <a:ln>
              <a:noFill/>
            </a:ln>
            <a:effectLst/>
          </c:spPr>
          <c:txPr>
            <a:bodyPr rot="0" spcFirstLastPara="1" vertOverflow="ellipsis" vert="horz" wrap="square" anchor="ctr" anchorCtr="1"/>
            <a:lstStyle/>
            <a:p>
              <a:pPr>
                <a:defRPr sz="2000" b="1" i="0" u="none" strike="noStrike" kern="1200" baseline="0">
                  <a:solidFill>
                    <a:srgbClr val="385F7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 AND PIVOT'!$H$50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9C-4ED4-8137-693366F1207C}"/>
              </c:ext>
            </c:extLst>
          </c:dPt>
          <c:dPt>
            <c:idx val="1"/>
            <c:bubble3D val="0"/>
            <c:spPr>
              <a:solidFill>
                <a:srgbClr val="CCDCEB"/>
              </a:solidFill>
              <a:ln w="19050">
                <a:solidFill>
                  <a:schemeClr val="lt1"/>
                </a:solidFill>
              </a:ln>
              <a:effectLst/>
            </c:spPr>
            <c:extLst>
              <c:ext xmlns:c16="http://schemas.microsoft.com/office/drawing/2014/chart" uri="{C3380CC4-5D6E-409C-BE32-E72D297353CC}">
                <c16:uniqueId val="{00000003-519C-4ED4-8137-693366F1207C}"/>
              </c:ext>
            </c:extLst>
          </c:dPt>
          <c:dPt>
            <c:idx val="2"/>
            <c:bubble3D val="0"/>
            <c:spPr>
              <a:solidFill>
                <a:srgbClr val="EAEAEA"/>
              </a:solidFill>
              <a:ln w="19050">
                <a:solidFill>
                  <a:schemeClr val="lt1"/>
                </a:solidFill>
              </a:ln>
              <a:effectLst/>
            </c:spPr>
            <c:extLst>
              <c:ext xmlns:c16="http://schemas.microsoft.com/office/drawing/2014/chart" uri="{C3380CC4-5D6E-409C-BE32-E72D297353CC}">
                <c16:uniqueId val="{00000005-519C-4ED4-8137-693366F1207C}"/>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519C-4ED4-8137-693366F1207C}"/>
              </c:ext>
            </c:extLst>
          </c:dPt>
          <c:dLbls>
            <c:dLbl>
              <c:idx val="0"/>
              <c:layout>
                <c:manualLayout>
                  <c:x val="0.15347724140973068"/>
                  <c:y val="-0.14131774906418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9C-4ED4-8137-693366F1207C}"/>
                </c:ext>
              </c:extLst>
            </c:dLbl>
            <c:dLbl>
              <c:idx val="1"/>
              <c:layout>
                <c:manualLayout>
                  <c:x val="0.14196644830400096"/>
                  <c:y val="-0.113054199251349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9C-4ED4-8137-693366F1207C}"/>
                </c:ext>
              </c:extLst>
            </c:dLbl>
            <c:dLbl>
              <c:idx val="2"/>
              <c:layout>
                <c:manualLayout>
                  <c:x val="9.2086344845838455E-2"/>
                  <c:y val="0.24306652839040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9C-4ED4-8137-693366F1207C}"/>
                </c:ext>
              </c:extLst>
            </c:dLbl>
            <c:dLbl>
              <c:idx val="3"/>
              <c:layout>
                <c:manualLayout>
                  <c:x val="-0.16866503353747447"/>
                  <c:y val="-0.31515457253607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9C-4ED4-8137-693366F1207C}"/>
                </c:ext>
              </c:extLst>
            </c:dLbl>
            <c:spPr>
              <a:noFill/>
              <a:ln>
                <a:noFill/>
              </a:ln>
              <a:effectLst/>
            </c:spPr>
            <c:txPr>
              <a:bodyPr rot="0" spcFirstLastPara="1" vertOverflow="ellipsis" vert="horz" wrap="square" anchor="ctr" anchorCtr="1"/>
              <a:lstStyle/>
              <a:p>
                <a:pPr>
                  <a:defRPr sz="2000" b="1" i="0" u="none" strike="noStrike" kern="1200" baseline="0">
                    <a:solidFill>
                      <a:srgbClr val="385F7C"/>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 AND PIVOT'!$G$51:$G$55</c:f>
              <c:strCache>
                <c:ptCount val="4"/>
                <c:pt idx="0">
                  <c:v>First Class</c:v>
                </c:pt>
                <c:pt idx="1">
                  <c:v>Same Day</c:v>
                </c:pt>
                <c:pt idx="2">
                  <c:v>Second Class</c:v>
                </c:pt>
                <c:pt idx="3">
                  <c:v>Standard Class</c:v>
                </c:pt>
              </c:strCache>
            </c:strRef>
          </c:cat>
          <c:val>
            <c:numRef>
              <c:f>'CALCULATIONS AND PIVOT'!$H$51:$H$55</c:f>
              <c:numCache>
                <c:formatCode>0.00%</c:formatCode>
                <c:ptCount val="4"/>
                <c:pt idx="0">
                  <c:v>0.16296697347049269</c:v>
                </c:pt>
                <c:pt idx="1">
                  <c:v>5.3059014618299948E-2</c:v>
                </c:pt>
                <c:pt idx="2">
                  <c:v>0.19815917704385491</c:v>
                </c:pt>
                <c:pt idx="3">
                  <c:v>0.58581483486735242</c:v>
                </c:pt>
              </c:numCache>
            </c:numRef>
          </c:val>
          <c:extLst>
            <c:ext xmlns:c16="http://schemas.microsoft.com/office/drawing/2014/chart" uri="{C3380CC4-5D6E-409C-BE32-E72D297353CC}">
              <c16:uniqueId val="{00000008-519C-4ED4-8137-693366F1207C}"/>
            </c:ext>
          </c:extLst>
        </c:ser>
        <c:dLbls>
          <c:showLegendKey val="0"/>
          <c:showVal val="1"/>
          <c:showCatName val="0"/>
          <c:showSerName val="0"/>
          <c:showPercent val="0"/>
          <c:showBubbleSize val="0"/>
          <c:showLeaderLines val="1"/>
        </c:dLbls>
        <c:firstSliceAng val="0"/>
        <c:holeSize val="8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FAB6531-AA9F-4322-A889-F51288F71F0E}">
          <cx:tx>
            <cx:txData>
              <cx:f>_xlchart.v5.2</cx:f>
              <cx:v>SALES</cx:v>
            </cx:txData>
          </cx:tx>
          <cx:dataId val="0"/>
          <cx:layoutPr>
            <cx:geography cultureLanguage="en-US" cultureRegion="NG" attribution="Powered by Bing">
              <cx:geoCache provider="{E9337A44-BEBE-4D9F-B70C-5C5E7DAFC167}">
                <cx:binary>1H1pU9xItvZfcfjzFa3clRPTN6JVC5vBNtiebn9RlIHWrtS+/fr3EVXYIJeBiea9ETATXWGqsnQy
nzzbc04m/77q/3WV3GzKN32aZNW/rvrf3wZ1nf/rt9+qq+Am3VQHaXhVmsr8XR9cmfQ38/ff4dXN
b9flpgsz/zdqE/7bVbAp65v+7f/+G9/m35h35mpThyb72NyUw8VN1SR19ch7e996s7lOw2wZVnUZ
XtXk97d/JJtvm3Tz9s1NVof18GnIb35/++BDb9/8Nv+qnx77JoFkdXONsYweKCk5pVS9fZOYzN/9
3nLkgcNtxqhN9fbn7qHnmxQDnyHJrRyb6+vypqowk9vXewMfiI3fv3v75so0WT2tlo+F+/3t5yys
b67fXNab+qZ6+yaszGL7gYWZZP98eTvZ3x6u9//+e/YLTH/2m3uQzNfqqbd+QmR5k2y6TXlztzov
AIk+sG1HScrE95W/j4wSB1w6kjPibN8Xd8/eIvMcifZD82PkDJvl6lVicxZWlWnK8G59XgAb54BJ
JRybE/v2hz7UGk0PuFJMEUr2YvMcifZj82PkDJuz968Smz/KcDTZS1oyfkA1o9QhfLv0M4NGCDmA
pRNaCnkLHbnbFjuD9rRA+5H5PpMZMH98fZXAHF9vAnO3NP9cYzg/YI62FeU7jXAeagwh/EAKzZRj
z+zYk4Lsh2M3bAbG8fJVgvFHGW+yagPn92IOnx/AbTg2IzvvMsNjsmBMEyFg5G5/Zqg8R6L9wPwY
OcPmj4tXic1ik4R/mzILX9KIqQMquJSa6O3qw0jd9/2E6ANJFFXkTp3udsbWiD1Ppv343B87Q2jx
x+tEyCSm3Fy/oDVjzgGURwib0/342OJAcOUwyWbAPEOUX8DyfeQclNfp+E9f2qA5B9zhimql9kKi
EbI5NoHF2xk8xAVbY7pVmafl2Y/L3bgZKqdISl5hGrMwWXZzVYdXTX23PC/g+8mBUIIIxsReaBSS
T+YgYqMzJ/NMafYD82DwDJ3Fp1eJzn82VQCioTbZC4KjDjghTChH7Y+XqX0ghOTfc51ZvPw8mfZD
dH/sDKH/vE5Xc8fRvDF/v1mYpEm/vWhYALdjw60Qxh/GA0od2ERSLRFj3/7g/fvG7b8Vaz9c+79l
Btxy8SpV63O9Ce7W7J9bPKYPGGUK5M3O4s34gdskVDmg26S8e+rWDT0lx35ktqNmSHx+nUZujWAt
vN7cLcs/B4M6B0ILQeQu89T6ofI4SHUcxTh12NY9zWK2Zwi0H5XvA2fArF8nxfmfsLoyWRW+pPNB
0s+0FkzaW7s1h0YjMqAAT++H5lki7Qfn3tAZPP85fpUW7EtY+uFLZ6GCUEeD6tyiM+MIlHMgQSEI
0Drb92eK8xyJ9oPzY+QMmy+vMyw4v/lWbqr4BY0aR0yN9H/yMVujNfMwWh84BHQbqgfb92d+5jkS
7cfmx8gZNuevszpweGOgOC8IDWppCJepw/WuOEBm/oYdcM6Z4vaOWpupzTME2o/M94EzYA5fp9J8
uSlTk9UvFwiAg7aVoPgfVvw+nYYEVEoqtXTgjKafWR76DEn2I/J94AyRL68zNLs0TR28WWxKk4Qv
WrNhyGuY5pTsNGaGj2ODrIa6IGze4jMzZs+Xaz9M8/EztC4XrzIgeB+EL0h5chs8AaJorXah2iwY
QBSNdxji6B3/NrNqT0mzH5ntqBke749eJR7HCbTGhNULGjT7gKCgBpp5V+v8OXwm3JFMOD9aCO7T
As+RaD8uP0bOsDl+nbnN+/LGf1FWDRaNOWjPYHJrsWbIkFtWDREaqgR3+2FLADwtyX5E7sbN8Hj/
Ootqx9l1uHlRF6MPUEzT3LmrZ85djDwAAY08Bp1Otz+zEOAZAu3H5fvAGTDH56/TiJnuBUNlThGR
cSkU59tVn6Gi2cGUvkhi796fOf7jJ6T5BSS3o+Z4vM4g+RT2vLmKhzsj8s/pMqamzJI6Uuw6/uaO
XkBTFLqbyI6TmWnKcyTaj8uPkTNsTv96lbryzjRh9cJmzD7Q8Bq2/E5mPsxkNEGkTEAsO7sobVYI
eJZI+9G5N3QGz7vXqTqfbvoX7agh6MdkDkeWsrVlZAYNagLoo0V9+ode3Q/GnhRnPyy7YTNIPv35
KjXmbFNVm6ugqW7q+iXjZHqAZhmG/GR/7qLQEmgLdDk7s2Ds2fLsx2Y2fIbR2etUm7NNmN28nLvh
4oCh04mLe30Z97kZqQ8oSjccccI2kp5ZtCfF+RU0t7OYQ7J6lWpzftO9Obvpw6sXzPcZPwAfgxZm
viOYZ6EZseUBsUGYgZa52w3bDOZ50uyH5f7YGTbnZ68Sm7NNOSSb7PpujV4gQEMXACI06MtDB6Mk
GBiC5me90xQgdt/BPEeS/aj8GDnD5Gz5OjEJr4LQ37xsIdNRXGn0Zmyt1M9Bs2K2Rn65n8E8e4ZE
v8Dm+8g5NsevEptzU/7/4ZjRkcnATwrAcPszOxeg9AFxBDgbubN3s1Tz+XLtx2k+fobW+eJVonUW
ol+wMvXmztT8c/PGJQICTdB9viuPzeNofkA0WjVwxuPuoVu/8yxZ9oNzb+gMl7PXSdNMx4Sm/+d5
eLdI/xyZ6ZAgxZG072zyzAE5aEoXkqIpesehzVTomUL9CqJ7M5qDdPk6lQfVzRclOTnaANFkixrN
fjqN2ECIo6dDTg2ED2KDp0X5BSx3A+eQfHqVkJzftJuX7D2bGgHRPIvsZn/mSYiEzsDtKGdr7X6K
pZ+SZz8sd/OYoXL+5ZWi0r052qQ5up9f8oQtZwfSEWDS7npkZikOaAEx9XCCNdgyOjOHMyUrzxLr
Vxg9GD6H6nUWOac1Obkpq5vhzsD8c7+D0jNBnok2wR2zNut1UugihFPC8fttZKdnxu15Mv0apLv5
zBE6ebXK9Jcp4xfEh6LYqSmfbgm4/ZnrkThAVGBD03aJ6SwumPB5SqJfo7MdOcfmr1eJzfs4wanb
F73YAWmPwzhqbFto7Hk0jWoPWBzbVrseTsR09wOD50i0H5sfI2fYvD99ldh8uMmyakjazYv22MK2
ORoHPXe5jj3HByc7HOY406m278TCfXyeK9V+jB6OnuH04Y9XidNFgFtB3hxXL0u6od9WUget6LsD
NnpG8EyxAkEMN90scPsDG3gfp+dKtR+nh6NnOF0cv0qctk13y038suwBaGsGR4PAbYvDjOZBBHFA
mQ2CQc6ihOfKsx+hh6NnCF0uXyVCn2DxcGfPzQtWe5jAdUKof9q7dMeehXK4bohxRqez7Vt/NcuH
niXSfoTuDZ3B8+l1cDxXj96KtDU222D7wSf/25ugNAICHAdFg/reYA4HC3CKGgfb76oMMzWaXdb0
a7H2ozQb/mAm/0c3Qf36lqjvN2gtN/VmdXv11r2Loh5/93a6uA9sNnTnJPbitl274+vf31KOVf5+
odf0FQ+cy2zRZuNuNlX9+1tLygOtGEOzFdADv2ojCu9upregbHBeSHNx1Efg2gkHvi2baPjf38Kt
MbQoAu7d8exqagHHENSgGAXTpAlOoWjcRPH9wrMPJhnQS/l9NXb/fpM16QcTZnWF28bgHPPtx6bZ
TU9EQ6SWhFEl0TdJIUB+tbnAWWd8mvxPQqIyI10sbhzi1Y1e0ZznVrKw8zYcvwjR5PGGW6Wo1lkx
VANf1rQXQb+wjGd/87OSZ9bC0D5WJzoQQ7OMtZUVR51Ok+osEWluDa6Je5F/E3Ed9WaJtUoitvCV
4uRG9WZoLpKgV8nGcUTuXbGUFfLcl2GRMzclYQVReC7K9H1A7LrLln4iyjh3TSfS9B1RQwGR/TQl
wylNWRb9bVWtwZh7kO5ZJDiuB2uEBJhyDTJpChexXNgR99dIkTRsAhk4N15nsqg4qlOe8KOEt1Wp
jsbKr8NuMYY5LitJbC+k3vrxxxNY5ofPny60YsjyUPNFQ56e3r+H0Rgxp5K2DK8jErM4XNSGCRa4
WlOriNZl3/llvSyD2ueBa3FrzLMPHWdDRReEj7JjJ7UMsip2jSlYSc4RaRV473EhsYXvy6jAfjI0
POPEGlLNaVs+lLEPQosGJbOupVW2Nl36o/JVsU4cXjPbzcpayq+xsL0aIdV3dXsam+m5XOPyCRz3
pahNzJ+bN4NRxmLOtT9gz0m3tfOk+jPgHs18t4vCJnyfebhqsHaDwOBQsPv445Gjzaat0HaEM0ea
C/R+qWlZ7kHjiza07D5g15ZKVMEWorOl2ECRrPrYjKFKzkOLGHLG4mJoLuPKtsfABdmWYFEelwS9
fw8lERRnn3Bp0FQIwDmbGQC1DO1oiDPvytNjJspDU+SpN6wsL630cDg4ZQ9UHn/kz5MHeSqR4KLl
bTpEYj+cfKACL4kGu7zmsoOWrwciRxKvRdk1FV+Fjsfl17LBqhduJUH3fTX20JZ61YbGzrsnNgKZ
WTI1nYZEADMpKs7i48aRh9L4eoyEzmvrG6hMlVpHfR1MCpH2JsC1hk0X8ZEvwrQaaO72mjJIJUI7
aC7TXEbDIrNImV3qNEjLbFkIU9KLtA2z6tvjazbZ03v2VuHCBxsttygF4F4OaMvMljSd55R2Mfbf
+rIusQnsJraxWHbfMWG5fcla6zKncTEpTd2Z6SXM/ea/XSyw3+j+ZTbSX844TNvDxXIKWtVDJc23
LBEWbHgE6zV2bjvY9SBOmSdg9yu/weVYaSQyWNQyT0sijhwrstrYLQJY28nyDwFGZeGYtKe8j3OT
PmFWyHyP4dwRDsFSsIwUCEs5808967JcZyP7VnlUWukqqqs8aT4UYx3m2aIrhgLCWSpt8Z4ZitQM
SyceB+uyy3PvuNJlEvmLdBzt4TQNiqz23Ezb0qsXjbCt5EKm2h/TBWW6h0mkVjSQ7MQedYJvjUOv
K4on1JQgjH6wARBhg3bQ0sbNH7h2TcwsBnZmVrRZm39VwohILHIb/Grhel6jdbkgo7Jg2r1haz2T
huO95tac5MRz8Fbf1UwW66ZjTys0n1txlKcQjAhNCEU9/qdtEfdxlXqByb/mJbSoWLEqdvgZJQEb
TlnVDFgO7bXJ+CUN+mFQbhOUXREsYPA7eeEXo2cdlSmPxi+l1VTy3AnlFCD0vE0TfRg3YoLHVExj
Cw2tEu1FXkbx+GVMZNzFrp0kk9MKsfoAyGQ6wC/ZgGsDvzhp3wM7JqIBL9Vo+7WzzEXFqrVUzYRd
3PshAozi9vHa8a2hcx3TR/gKg+ABkodWNsUGdS7SeNNXMivytW5L0l5yZsb6XVnGXukmSVrSdGH5
Xtof+RzO9a/MyTz+pbVbgk2mHB9xRltkBiHK47ZhbsKx+gpsIGJ8riQo99nWYN6Q+UTnydeRpFXp
uz21VV65nYlMcsyaooOhePyJc2tEp/Z/SuC30Wymf3piVdpV0KWs+4uNzbQZu4ZP5o9WKobzlm0h
5FcvYiM2YUebuvLPFAwL9unjYky3DT1QCoYrcKmC40IpgXJEyQ/N0cjaprC0TL+kPEtr5tamEdaN
KYIC1iiIq4ysSk+Z8ENbOT4sTh4I4698p6atcdEy3yWtW1O/OE08R172rEycwa06ItuL2rHscFGI
sTen2ER24EY298Lc5Z4kk7IHNvahaQNEF8deFNeT5rcoK76fruzNB5fFJevbw8dnPLdrDjpe7ekO
Enp7VRlygoczjqUXZF1Rqc9tk9kIYkVZUgSx7TjtW44gix8FpOuxbftYM7z49W1ka8l82tKsiTrq
XXq9nLY0LcIxLY/CnLLJRBZjZZN1kbR5FR6OYoihdV6XTjE1GZwU2qlIATV6fEp0ZtkcREAO3Cas
GhBEK/bMVBcsS0cTZfSzUwcMulXn/iRAbbFmUt1bPQb3MEA2L+gnFYetnExKmRdwNFZAEMaTXky/
MkWMQ/2JjhQ/CrtkWodi6Iw894oenwoDNk1x8FNZrWNLlWydO2XLqsUAf4HpPjG1WQaAqWnc/ENx
qSwuXeCI9x6iVfcxUUljhs/MbydLVZcFttaYjKG5qm0nppk71KYYvyiaTf4xtQwBIL1ME39Yjakk
tb/WzGq6z4hSSyxHpyKG3cfaEdYkCy2NLca7JJ+sWwOzeRTSvINZqxGR4IFh7dn4F3IsgqVIfY6l
qGsVWPVCJE0ElQg0jfCv7fpMpnC6E+GxSHumow7CBURXigoHaaf9U6hLupHLQRbWpzZVBtZhG97S
wOnbeIHMMvCzp8zCzB1Nj+SoEFMbbgn87jzxsiODEDLv1aeqIdgh9YDe9fAQvh/rw6OcG7HyOsv0
lSsTNmDBk9bLELLA6GGVurJP6g9KVo4Xrb2aOzAGUMj2okQXNDxAakHx6z6Do9rB5hddhqXsEyeD
rkCLJjj8uJ+AsKKQ4EUPkW4vbJMaSCLiGL4plvWUpz6+2lyzhzYRk5+cAIwELmhFFDTPbBAOVpZv
98OnIBhk4rl1E7N84XW2F51LOvJyWBVBKXPH1ZTqKHDLsgiLEztpWC/cHNGOdVr6qcXPvDRQbFF0
pvev7DCxjzqv4XIZq8wk1zxKxvIiNTLFXesjSbr3vCV2Py6dKNMiXxSIH6tm3XXCac/LIvB648rU
Tsk7ZpdEL7Os1GQR9XVTeq7pnWKM3CBrS94v/D5uoQztWHZD4vaWiHi01pQ0/FIm9cD9hd2TpmsO
c90FxEP85vn1cR0oRGYLNSbdOCKtxVbMj/t48Bq3qPJIrlutfLYUqdWPnzppaPil4YnvLRmvKVkM
yE/N4Eq/rvRSh7SLF75I/COcUqiXhbG78dTTmW0fko4EdO1blRPYqzw2Kf88iNaPrc/a2H3/qa97
Vp9ZVZ1ZF/AYqrkWpZTl51G1fmbc3BgSVB91PybxoReC3ViPhjupcXVsGA0WqhyrwvlG0sjJrgOa
m7ZfYqsMxY1u6q6zF3HSVSQ6qr2sEM4SeYBI5KGXWrE810RZcXzYypxWSXATOBmrsco9YU7Jz0Zm
WmzpkZRVHnzEDT+1tFdZxvNcHTfaC4PkXSb6uPBXUevXXfuuE54fhmuPp10jLryMsuJYRjzwnTX2
imSxm7ejDbeeVE7Yade3uCzqZeCVYzQcd35lBeFhF6bwNotYdxwGts3DRvxprEaK6hibo7O8RccQ
tpDzJkfUpd16YE4v3ydUKbzU219aYZjgPRxn53jcaCpefBubQtP2JJJl7tMj0luWUoshEnGjDvss
ImniCt5OftEWVojp+EzAqWx6b8DlRotIBFr474cu73L1IfKsqEvWKmYWzY/jZtBO+15GTITaLbSe
OAlV1iKIvyjf86zxlPOkwkpZQwGTfQarXQTi1GJeqZJ3JCxCknyIoi5yvFUXwRD4KxOiZaJcwGRN
Ig2tldh0ZfvBEBZLO4+j0llmtW2J7E/q0wzPS6NE68+N7xTFokQejJWlThPCgyyIDKYvgfwIWdyi
0FNMz4MKs1/kAcmYXEdBN60YS+oYL6YKausyS9Vk8nlb+45a6K422ABjhnjjsNZlis/l26kGtRix
fEWEU4UKvqTy8LQkIEgyMxJO8JCcB1T8hyT9tM4Z1xG4JKuxSkBhZbET8JuiQEJTrMswRKS16Bwy
qGIROoFoLCDIm6L5UkdZE2ZYLysYzWHQjJz0Z06kJpFDIJ2PlxI7C09geKv45ln9tMFkaU3Ii8HC
7xKdTkvTtgQfhYt1ig4ytLgWC3PczacsGSu+gXAL8DvR50ZexoJ7mi14p0EAubkKCNZit3u8sdL4
ShVZ0+S8erhdjAa7plzsYlwtRjH9i1UiPmN2WFqXu6W2th+/W+Tt58AU0PhM0TyFACSzgvZbHMo8
LA/DjA2YdEFH/IkL16fMD+1LJOC+0a7YAmXGtsZWQ+bdlP5xRvTgCZfEQTvI9zptDFappWmCj9Ac
HFu5AM3htdqN7WEKev0U50aho8q3i296u4ImhwbBrm3nFNAQOdoiN5nsyNHQOFN2bm+h3W4P6cUJ
1kfyECNWQiXT5Hs5BNinPimnxwQ8kPjlYApbBZ9HK+RNfYKZsml5txtpbIYGUmKS07eQsKwwDpUN
ht1V1cEk+nZBrbEb8Q+TMMPVyrJFFkfHIxWqzw99G4yWverCxkCndeRPzEfVAd+wVbT4RqSfYftU
AhErJl+2CHbfV+Cypy+k7fTCW9/BS5LZkzqko5jkzxrpB93nJvETP1xnvoPvDQpGfHYUV4Mi9Snb
7pUwqnStDndLrqO2hDh9yGJ8CTyAwcOjPIzh51tSjNL+jMgtctplXlh1Fi7syvfwcBEFuKJ6WSc5
uM0EhAEoG8AUNMfK+JM6N/Cv+F08NDJy1jGCxX44YbpKenNUc2On6SLRPElb16t80IZEkwafD+qi
wguCRpGcp0WD/w5pBxJN2B0BVVSAy0/O27j2QAp0ZYSnk8A37ReZeT2yAG8Yp73faZjyaN2zgsLC
OGWQNM4qSeFi01VvZZ6ujoWGq+r/smUfwd74iTFxfLSjk6M6Ccpo3QQJ8t2rgVdoRTrKowDLcchu
daYwToIFq7wu9sYvLHBMV38uWBd08qjeTr3XfoUlYnk/xphR7HeVWMnRJrBydcmn5SN9Pu0a8FXT
Ft/yp04Vd1gB0tBpvnUYUryU2OD4fBGCCrXcMBnBK+N6mzjTLiiLQaZnLCclPiEHMuWwrWgq7Kst
yTISkZTeusmK0qPHvleM+I5xS715SMvBGhaCx+BLPRIj9U1T5E7Zok5ATIjTNJaTPtW8C0HC+7FT
w1Qy6Q3wedUASxOtkdlOi9eEbKIKaOPE4OKjJPMxHIeVMMu/OoRnnnXSeVVZhueaRRNJaRq4uzMV
e0zWHzlorMFb9V5kDcFadrlIqiWoC9TVXQUSSH7lPiNIyeEMNcAfLT5iVjJLJ7eRCm/abiUtCTbf
diWj2oCJZqEdsvakG0XqqY/x2HTWZYlgGqzCmBdafoW9xf6yunzECkTcnubg5ZkF44/0cmKpkhDx
KiJrnZou/yr1EBTkG+8TmZxLWeSDt+bUVLX1dxeSqPdW8GgsEW6VgP+2Fk5CVPkFjGQX159sv4h8
f+GJgQX9RacQ2xTXug3bgv5VeQ6oicMybtpULyw6VvGXkTeUG7eBd+iR7BNiEFMqJXRDGuzyNNJ0
0eKXlmpd1aEy1S93M9liWeQRCOIFOoKHaVq35iZJ2sn+6cGfrAmi/0l5wyqdPpHdsvdeRKffCWJb
+MTgD9MHPQZ2Il0hc59qG2Hi5VBlH9Gidz7WA8lXERR10kqdTu/stixiSlgijfYJvLXlwydzavmL
sh9KplxCS9v50ATK74zb2RnYcz6MnqbHXZFNWu5b40QHVqgT4YUjLKuPi9HG/uY26g/n4C0nyeMQ
lcavuweJUsOlFdgq1uU2Y8vCaFSxG2V5wz/GW4MVb4nGAgfgsRuspJhIyKqUJefL1E8L47lBIRvr
sglFjjnXHap47UlI/SmMC3iPZ6g2mcRqbhXOMjH8iOuJZlLynE5lxmXW9dOeVN5I49AVQZWl6SqI
Emjjersg4IEnoxfjdhd8L6+IFZ0GlCXKeYL4miX04HJgH7CDKYybJD/RykGNGgL4anoZGCMhtfL9
HtrQGZjZwuKTBiUtiJfAbcNikv2J7O5hbjc9Hgdv0Rm4vR11Tr+XTW+srlKgqramMQIHDCmQB0CT
Hn/UjECHNtloJ8CzQFnhv3JK6+9VqDonLhwPoeTdHrHj3phFkXucv8epuml3axlMoDZhBIQNLzkg
2xnHx2V5SCGgDxL7x8Ft5I5EORz7nD6UxWsZBX0b+Zc4RgEzFgoyxeNVhTtiV6NB6PzUOv/8QHS8
gDiQjqYgF/WMV4yD0iZJansXRZ/BUfgxPP6xGmKYuZ1mPz5BMtF2P8o70wynW7gE/vyQQ3F1ypzI
7JOI+1mdyIudxeiCcSLtB8kGIdY9r5x2HeXeWH5sOjZEy7TJJnvOSpgGqxo5/NETEj3c6ZAIqdR0
MQVTWuA0xLwsNmjb6tTAiotkq1Qd4jroeN/EHux66LQhIAh4M0AzNYNzQGhhBZMgUc6KZly0BTL7
tUiZEbbbw7QMC5j6Ah+HfnjkPBwY8slFt61n5Vsz+/gk5jACOPwlNBsH1UHJEvxlrof7Bn63qGlv
tedBFU+WabwNhPJKZM3HwXIajquxnk91CRRA0EyI675v23CmY4kPn6d6RCO456M537m93g+KyLUN
LKtxywoHXP+754HynzoYoRhoB+a3/XH3dZR1HpjoNozOt24JQfKEhooT6EVWFZPDePyBU3nv3jbF
hkD5afo7WehH4WA0Z3xmN4x9WI4iPlKZVcZiodJUsa+yhMI8pYI/PwrQOajgofsMSebc1KUeTYfG
l/7RNhRpBdgR7CNapHh5fFaz2hq+HR0auGiKTtfj4K9MzQsomV0HXtTn+sqOQFPv1IrKeAoVS5ZO
6WTntFm6sFNeUuWqMkGlw00QilaLmmW9+hx1NozgE3JtW0TuLTg4TCzB7RVXuH3UwfVkD3eUbaNe
pMKgOixHagfViop+6pJocKKvMX9XY4ZC+8JUPjhf7abeiCzWrYVfk/QUUQRag/yFiXMwUu8oBydi
f0g94fvmaEDMIsy514cx6YeFR1EK+6sqihTpWRlRnhWrNGlGWi9sY8sqXTqlAAX4jvXEMPlBb+uM
sUSSxN57WUqK/iz2g1ajladpZUjA1URoITlCAqTCdJlYUY4tsguclIVhgRtvwx1kDg6cmLw1r9sU
KL5dzS5IKVwKUtYpPOlaaiHQNtRB/pLRBsuN0E826pxVyRRkWtuYK0fRFrjZuUPG0I2rOiWjm1Wl
zsKlzFUSNe4dFVPAnQfuLsC6jexQ8euwvmPhTMGFKlowXsh5YklXuWPwyDRGttOe2KiihP4i6VOc
gTxEnSGJks8M4bhm53KoNc+PI2lbE0lRtSX432GbH+puqFixDOImBR0MZkih+uFGQe0Yb2E1xu/s
1C3QXi7oB13oXHUrv4DRKT6JQbej+YQ6yFRpQ2xqU3lu6grFjU9hDhbcX2Kfo81hHZQFIdEiJQiG
/x6QElfOiZB9R78S0Q+1cw46z8s/ZlpHMV1FWWXZyNBxg1FfL9Bihhr/KjMDsF12PR3LwbUtMCbt
AiEjEc5i4IPXvYt1VVejizJ5FyLL106Jem0Y2NUht5O6+ybtNB6CpceRCGRuqrK0/DMDI2Q1rrMt
Be5sZIE6vS/fOSn8SbTOgkTSBtH9bfwHQn6KX4esnpzhdmskt1FqppIYqWSp0amTu21py5TAwvpG
QQwax9TtYqvVn+BcjHOZZ9pK1mkofOEGvt9diiEU0XIIO+8w5C07Cm02Hqdl3x6BYTEXqpR00WsR
nKuwTmxw2W35ycOmPuK+MJUL7Qu+RWWe/OnboVn2mnjIkRNWHyIJB9VFM3Hq5PZXE0Mdsy6X72QX
5kvFgwDo2la5jlTPV5EJm/djlNT2CtlCvXIGmyXYsTK9CvLmkhKen5bc8k/TtqpXogI1jgYZ/6g1
jV4GunM+qjwo0G+Qh9dhVXjLJMh9d+BZthSeLk6ckabrwctQnc5ywfHVzpAteJSpdYevPHaQJ34r
e9Mcoh/Duy50nBzGPUlGd9CRWAeRbS5zjpqBm4A6qlyLGf9z14/OJrEyAYqhST91Dg1XNq3tE27r
IHSNZbF3HPThuqwr9CpHyvsIUjNEH1XN9DVBCQp5FsnJRUujIFznQ2atSJXWF1XLQYTAFCyroW9O
WFUOsSvSzll4SnuB82fYUj0cozOiuaooj8jKNHmN9CtMg8FtcaXmjVMLlS4tzypPUo02iSUndfSx
b1mM/C01p6KqSbHwnMBs7KjK3/U4lXtaSTLtUE9MtV2/7U56hNlntorbY7Dy1kkYs4AuHVi/a9J1
LHPH0SEB0vnc+qvLi+6msKx+QUMybqoqMhSdDjnaGsexws4Nkjxx0clVNst87OL+RDZ+4bs2ycPz
gSgYYqR6i7ZjCTvBH3RJ8pOyL8o1zRt6KpK0d8FAfxHdcGU3nnfOCdSnrZp6CcrTDl2/T1u1FINh
K67q7Dz/f5yd6Y6lOJutr4gWM1g6Oj+APUbsmCMqM/9YETlgA8bGYGNz9Wftqq+7K7NOV+lrqVRS
KjMCNtvD67We9cJS/dkrh1oxhO3ezpXpwWb0dcHbTFWBSdJ3OOaySuJhPEgIGFUciuXRRWP/ODO/
9HW/LO3rxPz0STsl4mpyxtU00qqrOtwfnOASWiAmnmNbnbpyfSDxzIZ63Gz33gm1VTCfxBu6qk6V
UjZ6JDA3TirWZW10SM8pH9P3uczdbQcfwsIOSQ0uSpeKmmDCSdm0t3kZSF4NUU/edYBiqylRN3ZV
1s3TQ77m/R4LfZ7XhG/FcYkkewA/BOZkZfo1lqM6WOOiQ6ds/q4T+rri/P66TWIrD5NKfdVNov3u
8UAObCmM2aE89c+LJhmtdDrBSe7bpQqZtaec9OowoT6OqraYySsZF/KROJW8dJrKD7vZ7bvBAG9s
IeNLCuDhEGKnaCY3Lc+oe4MqW0d7G+i5/7KFcjwkQ0RBjEHmvmM+TLGXOaxIYcdL6FRZnx8LGEa1
msfu0GdGv4I5S3D/Nj5H4ZjsuzyZP0MvnB7IyPQx8gN5FkJvN+3cTTtXYMnF8VzwuzENl7M26fow
zlS/6LJMvya9xeIQT97epV5g8kBru4+Sxdw4XawnvrpEQk8qxwPNRdrg2A7yE3IMOW2BpreUMv24
xSV7LSHpfJ62cnnBht8eMdmKyxYFC9iqnO8HQrNbOO9RUi+CDE25+THBeNfjfmsD+dDDGnhonVRT
DWIl3Ou1mz6rxaQtDv3bdqtJam4AUPVQLYR8aZONCKzZwu2Soi+PEbzI2qotvS9tm8Ax0MG3gMZg
4259lm6c1F441OBNYSC1l7d9lthi2YVIVw5LNRBFb9dAtQ9Qf4a7IPXj27Dod/xMCwGaR2+zQAXT
maK7c6QDFpqpiJ+JVPEXE1Cz1gNbwwsQJPPKY2unA4uHJK0Ji4qblEpd7kkoRnIWrFQN/OV0qyx8
+KYkmyiqbluIrURCxzsZgEO48cFU4Fnn4bro24lYGFCR09F6GtNJ3CcuDR6LkXBV504zuWNE6aeu
5VbsYEV7diN4L3kT6DEDqUlpFBwKO8/bky9HbdjhWnqEDZkcXlTX46nJte3PPbQCPdRRgcqlzoSh
9gIVp5vrxETty1ps0tcyHPJbYIQ0atYIJeLNAoFgecs4TqUa64hWS5ajcGpH4E5Hu+TFOYtdOHYv
W+JpbCvvppCYc4zFLjyVKZyKwzT4UTfMzpl5JkHbdyCD2oHoSge0Hfo6SIl75glonipm6fAofRRs
hxUH4K4OiykOb1fSubGONfyFSzFgOW0A7m2NhOJ27uKF18io9Ocl8G7u7gcf5GRL8PjH0IkG+pHo
r/SYijNxvyxpVy6Nz7t8iCH8zxLzoYTtWpvIx2KXRmZgtz2Da1yJEfJzvS1uGqtEeBhShen648jT
TO7aNVsvPYd823SOu2PSovdzk5chKyDVdTo69a1WsElNVvgqXuHK50u83AUZcUUtOprOVZH2CSRC
aIlvkQr0N0tQmiRa+fggJY2SXWtZbOIaJRwLZA1mAIjcWhUsf/JBKgsUZqb0fKixki74BzIMOBqP
YRGaynzH1KCqrJ0iR3a9KKKC7VTsZJZdosDm5hUms6DHbirT99baL9vG2teWqS8tUVlX4Zggnlcw
JztaUn0IsXmEWCRyDVuu2G4GHw93OuFmb5kmtZrUpqoC+KiqhMjEsx6HvNE695UpeYr11S7i69LS
bV/IAfZi6+gFzmcZ1pGb16nZsNmkD2RmyXMBsEk33EKDwnjAgKnA6a3fIqn6RzWNc7mbi6K9neUo
n800L+3OuNbSE9TstqgC4chJyG5q4nEa9v1Es+exD6MdWZi86WkWXOLepTexgpkq2xmmOsGxqIlj
ijSpKcxhc3E8VHg5wSCakNhp3qkol3fgGtflpPRKKzKvoaunvu3qNJ+tqkgkKNhWgJrmNOf4cDsP
8f15o3h5EoUfPx06+H6NxqRcq833+g67PDZ/nvdDwzvUF7gF+oRdh+9NQfLajIq9dbyNvkARdHvA
ROQgQyL2hSq6h6ALdW1Fzj6Fo3gdOhBqLQ5u+yKm3We5xousskTKz0lI9dnECXUV1a4raw7R9kxV
jA/dhlDeubM1DuHJfYdjydmuEf/as6T40tM2+tRHyXpr4Sg3mZrkKYGU/QZTIO6va5pTVdKF0yWn
NEHdisXxOgjTr2l/PaT7UVx3bRfPH9KWAd8NOYdBC5Fb5qcxG7msZ83dAg9skxAxi7WL6mTAOlLl
Ae+yy6Dm+IMxtvRVPOAeqm4oWFn3+L01ZDmMCeZVdhK5iYsGR3g7aNRafXsWSi6/KZzaWN2rJAm/
YONddUWCcrXHYOnzZlFdcORTFr9eeYZ9tNneVNwH6j7LXPdhbKmwPeDkuZeGgtKSNEtuYSnqG+UB
u1S6RUlz62ajPvp4cbyeIX/aitvBfV0Wj7mCSYlzmlFQV79ZuGm2glNod2NnkzPE8xYoF3cbinng
rN/RWsnSvSjYcpN6nN+qAOXI0gx0CrJdMAmwyOFms7dlHobPhbKu7udkboYwmMI7sxbRM1y/koBW
Qg1X5cvKhsOKouqM1W9cd25irEMpR1B6gi4J5F3C1iioDb0Sgl6EmdppZZF8ACmDQVSnTLAu7e2+
tTksHtHXXY8iTe+ux1hbUz/xGDV1MtLt0zibsb+PZbTODU4VtMeSRnK5qVpHph38IQjjbkzvc5PQ
suqjiSfvA3DWYKxtULqO7mHk9S689EzmktQ4bbtUVWZjYjZ1gQ038w2Dr1YOlQFlnvpmtJ6K/saX
FJJOPRscwNTDYKFaJZUDfk7MXhs18U9t26eybVZMFdg7SAklo66sm2S+7FvUauPJMBOIH/M0O5vt
GLgsMe6yCR7gMw1jeEIHBYBrGRvt0yDsHjqjenwPaQCMy3QgrOFNWOD3+PjfRUCKEM9x7kbfEMVc
9inTWcye/xCRA3U1QpaBXCXbOKJO3SAPe0UKwDFc/RnMw6341qY0dPkBvPeG+TZFM+GfjVpZwKqx
hAAX4GRLuzXHFoHleHkzDIJCebugoHR3YUdCn9amnc3UHza4bvi2sOV1svtISjNa0WTDYvx4kxh8
vK3iEvTHXAPGSQR9TpZM8XyXA6DlyTk0ZvISfBRfUOPg7NBOe6XKDutxsMimBx11iQGZoXRXBCum
JxxFVJke+FII7xXUYQuFl9dAvcywprt2dCkfdmoFCUSgHYyyvN1Q+pU7Ggw5hTtnKVGmitKJpLvC
b0l6gB8p3lRphtcA1M9SxRKhuCo1mDs7UDDiWzj2qLJA5TPd72Q+E9ZYDX7GVVs8wRTdcuN/p//P
hLf2ASKuPUKf5rcypEndx7m5dJH3YqcSAYjMEhjUKhieO+LW4jShhCuqZFQ+rdy49uNBLyHoSleq
dURoyPbf1BbSHktrKmiVYx81zZJs/mnmwepQIATDDhUoToi0U1l20Hm6iIaK0n0EG3VeVVG7TtFT
2fM+a1Y0b/uq0ZVQV3NncTQYt8DiNKK7iO1QTuj5aFjW229t4K6KCyrqeKy3nrV75McsDfbCRCWg
oXgiY03DVMpd6sP5GM2y+DzYIYVgWdC4lTUERZ7hhFr4+U6UeWiaOMzM8glIBnCOSivQfzVYk8mi
QIpi8E4Qt+5anLxFlU6owy8ORqCr1qQvdkWfD+egnSUQe5Mh9AHmTwkgJbE3c1OOGYFVFizsgDwF
vpjCtUGVgPk7TmqYutpAMPvYAFJgbFDyaIJQ4nNuap9Hyj14fNlNSmhJdh2Yj+8BoCqIh51qbwMs
w/MXHC5X9lh0Ql+rriTmR1Qw+VmnRcY/sEQm/pDYtHuSa0IvwDfbb62O8OTLdXPA6KiBMrJt3FWK
h+tr6TLzsOqB4SMgXgfXuhASq2khEKLoM/IUQT4sGtLJ9RRBtODNCmbntzVJkW/M+jk9jmnXAZvU
2fNEW7lf4jH8lOs5qkgBPpLpYUNyYN58hVyWv0PWM+ZNbGaLsNkwAtwn3BJ7anMNam4eN2CqLV0d
bpcMV2QDp+FajYWP93Cu4P/ijfF8blqbWCy9AXIYvFpUAewxaecJRcHo50tilLlt48iWTZi1qtgD
0FAvqysW0NDLiE8JSqH4kmpWtpVAAX4/BdeKd0b37LFCTe15lfeUAJPpJ84abOgdiDDIJQ+bgAJQ
bblS+a63AP+aJBR8t00OP9NmwPyAswjV2ET9WGc27mI6u3pdMv+5wGphb9wyatUMky2f5kwvBpfL
sgkHAg4VSMTykgw0vinZ0BfAl6gXlY4ouQkCFn/4gfdnF6j5AQxhV4NNi9+R1jEj/I+C+Jpnc6fr
Yk25b8zqu7kadLnQnWG8HLD+6mS46aLYZ/slX7O3gDLl7qBc9QnEACl8NSgRfeYEJEYlAIjcSZAv
4a5YM49DAYmRtphomImdiDr20mdOrzX2TVR1qM8bluipvD63/H5NVsjQSSzpXTmI5NME+qOtrBk+
J7OQn/QiZYU3CUN7BOkJgKu1GPKD/twGa9iitnJBHaDyuGiD2NEM3eXL2JrgpDtM6kbzvrhfzCLP
SzYhg6KL/ha6QHEMaFi+QTHmBYZBm3+oeEt2Lg3nJ6t9fOrRJzKuO1uu12otFEB6Rkg8xTyXxzlh
Y95sJEDhJDhxhzGL7fCEFC9vNMStRmOop/WUZGaH8iW6Gb1kYBbX6BOj3n0idIkqNZsQkc6s34ly
oD+AO4dNmqXLa4ly/xClNPqQIOM/hfiRrAocHhyiCJ+QBSovDvDBQdkFs6407wCnlwdlQk+rcpFh
hHmwPZA26FHRRKk4YD/QI44Zc9KUBaAZ/PTtOsX6tw5iR1M6HFQmZJ23yrFIvgXlkD53LElFnULV
Pyk1RrDoQID2SfLVG6j/etcr6EH6AxtUL2wDbx7pqk840UqhnnQ6yzS7Xzo2YZWf0Q4GzJSekMsG
vOB8JyZ4DTBC5X3qgfj4wxojQxI3iQzdwk6hYaLbTgDM/fJKuVuzr9mYyv7YyVIsaU1THS5BU9os
XTUWrx6UDbw2cBsdiXgeNgACow1lYxl6Xus+16E7Ge+gYlZ57LJ9mo5r+SUfxwWLyqT6wQ1YxzIW
Zg3qPPATTeDztgVok4L9AiaNMh60l0dGG5MGeH2aAVFlSn4Pp8AXcwOjFQDhblar7xmcVN72oJhU
S69wO8bgBBuk7dotnB5tUi44wvDE5Vq/yXKltmtgEJc49yHKxF1313VyNrKZV7yPJ9qFKjHz9GH6
zUa+wm9R3NerTFGSVZtiWBmOFPHNjtRQrK+fJM3bkAwH1jpbTL+ZoN3irOK07PF3YPSL3N0Ey4wD
803nZzrktQtJWdj939tzPzvkcA1BgFx7nF+TvDBgr4H/P7uvkMrKJUR64buQ6pptsn8wLkk2ahjl
c8FSAyTNhi5AAIN3sOj+4QZ+trevNwBQAOFdtFmDSwhT6Ocb4JlHNqrlxbf+jxsQf5AnoicDRlwg
4Yv94ZT+q3/Cwx/O4x99AL5KhWRNy5Zf/vh/X6TAf//n+jP/9W9+b5Xw339Cb2QtZ/lj+dt/hZcf
XtvAzr/+o59+M67+r7u79lD46Q9/aefwPzRsePo+m2H5H/7yp24OP3UZ+c9uQNd+BxHBq4b/NDr+
0s/hT6/a+O9eDv/6qX91cyhLvN8TrQkJZuU1p5fH/9nNISB4zSFeEg7+A8P9974N/9XOIUn+Ax5w
DFu6ROYLFCNGIWzba0cHvCUZ79hDhhoFAtodYo39tzo6/GK4A5BAUinBG+OKLEJlFP8ynLlH/BqV
jT5lIy3KpgP8/BSyabsA9VB7OUExgxxahB9zUNCXghF98mKk50Bzep51bGtE2SOU1fl4QElu69iC
oanKsg9eSiXmpmAq4zsZLqSOWOfugUGb752Oo1vH2uENR6BlB9EWiCQT9CJD1FPNGBdQTCYIZFEb
6vWw4Fh0lJPIn81o3D8gT1cc5E9mO54Auq7F2H8Q28V8+jVi2yHsbqVVSI3oyD3kdCaH1htSx8ty
/Vy47z8NkX9Npj830fh5/ma/X48kIRZTgEbFX4JvcRCFru17dVoDjYNrO3yAQ7Y1FjL+D1f6ean6
/UqgpqICCxUSafGveNFm8gh2VD6cVjrNTdx1viI+Cw7Y0/izjYf04FlHn/7tj3ddHcMI7yXCMA2v
H/9PBBksqHkV4zycTM5g5QVGd9WMVE7WGJfBVv73r4aIHXCR6BqB+nUxbEmJwxMiEyc4+GBiRy22
PTagaL03A3n5+2v9imtdvzlSYLYCMAvJX3N9rm8HJvqQnybmhqROGJ2HBvSEBCeBMo955u6NNtHt
Ovf2uA3FonZ8zud/+zNfyTFsAyGIOzSz/4VvGqK58MIk3WkyvWCNA03c5IinvJBcyX+iZP46hrIw
isAT4oVsZZrGv8BNeiIwuHXenVS0bY+y1HOzBJjBiqmenfx8ddThVvTl/+JDYqeFc57ngC5/DfNB
X115i2LqhNwrVFaLb3NNzHptHwAF5u+/2F9m5LUHBBqNXd8CjK8XHN4va2CKM3uERC8/8Whq4eN5
UD4q1P6m9Wvy+vfX+mW9/f1aGayoFK+yD9HX4ZcvrxMLWp4gY3za/LZGjaSFOA8AraPm76/zM8iZ
/XGdBCQjaNXrcI1/noYmR/wgl46fcE5BIeZWxGsqOF9xBa4ye2aciwUK1gLLdYPNS3ehaBne7PF3
YNwvY+d6D9cO8CnmJ4guBDN/vgcLPQ1i64J7sHPbqAiwdtVuQXuhiF+eZVtmDQ7u/h/W898f4Z8W
9OtlkVTHBwcghz20/OXrtG1u5UYLfmIlTX7TXS7OKG39nepGdtCJGmecNaUbq9W7tkBG0nh7WvPR
fYty0MVflSXi3AOgOLbIPZwpp/jf1gWPf/90/n/3CaQXpQE64KUk/JUbhElJVzRwCI4hAu8f3psU
1eQ0EHxFAwzv4wh6qqh8h4DbLpBrfwltDIod8is9mV6mN2Qh9OTgQ92RIJ8LJPCZ7BrJCATMv7/X
v47aElhecsVxUZH8BXEM4YHLeVj5SUBpBC7QAoeuxxl8yt9f568zsQRFc13cAExigvxa2wYxHkow
c7xPUG6PsPoDDulBZjfDnGb/xNn9Qt9inJQQnEHeAu4mJTp7/jw8fTlf4ZoOyzl84qYtqW2AYph6
wFTZ01i1tXKrv4mMKz4HYmwPMNCWf3iweJHodSb+PFwR7wd1jXoeX/Rfe2ppBWBsiumxMKv2p6vL
UlYLcYk6tUZtjwEimx8Zo7zm3AgNM5PBGICnoiEyQMS/meGAnYkx/gE6ZmyqeQJ1V09QfHkd92K7
DGymZ8anGBn0hP6wzgxvpR+2yzagHVRFJp0/F5Prz7EosxsLhVlVs1jjp8z0+TNw7xDARRndsjFF
065Q8eAlKNbt0bfINkC8YvZe4OT6PlAffmzQoi5zAMOkIm6kP0QZZOoM80aAx7OKogVWlM5AoZhh
VVJccR/g/yk610xx+s4Ijb6iQ1nyuiaJQjsDakUA5YOmPwa7pGsjQDUyHL07dmkTzOw0w9ICpIR/
GIbFG1Bk9qOVQRnXaA2BHx2hhbT1yklr9iHL08OKtDcCMoWbv5WFAfTWTcVnpAd1+SSjDuMNs7/t
970kuLxSOngs4yv2Gc6m+LylNGvQYqG9FNefnTOJ2/Awe3YTX2fYs3wIXohM/AX7zPA2oQvB/e+P
l+brsotHFj4Ck2b9WW7FwE40avPkDBiHAaNEpm83baxTu+L31Qqm9I1eNqxQJVKuX0YQncA6kYEO
62GINsSGFJ6dz0o+1zoM2UvqePobcJshqOM2HB+SPi7Gpkvxe1bG2SVHi4UGfDD/gNYMHZtq7dsD
QfuarUIcIHvu2iR5LZHGjqsgxrMVEFU/hlbE+0jL9L3L0D0HCbsZhhvlYntEjBfw4NJr9xDayd1z
n1oG3i3iX4Z8wdIEz+wtAvIy7JLrOIQFSM8lelG0tWflwuH8RihgIiG3/Yg8iKkKsWyXFvlvCjCI
z75aZrs9iiwIw3oTqHPgeyhfd/gAcwXVaaP1jAG2Q2MS9c7WNjwiU47Rm/Wpe9DoG3FVlHFiyDMZ
vOSsxwML29Rf2mDozn057MgW9I1D/OcenTGm/dIV0bFdN7mbZprVPpD6sV0YP4Ww9W7Wdr32hBpA
lMZzeImScTvDGs+PeJsNfWmXYgcftH+f8rG/eFytpjQr7sVWHBD8RzYeUbtDyLvkc1li2inoV6GE
jxL0JmlAW241XveJLmz5qPfEoTlSCie9r/FU4zeIw/ccmu65i4B6IqC4Xw2TZ4JJUrEAMCSoWkSW
BT7W0JcI2fRwl72FrBrPsOCXLP2sEZa5tILfa7eUlbWJa6wvU8QJ42SfTfw1BwK087OKb4YMPf0M
SG+1jOuhJwKm8Qb6jW1hDo8Lzgsn7Ano2AdR8bsywbzrApEArUjHKt5sfArC8hNYIgq3JFFD7V2J
Xc0AqBFJet6SMqpszO9YztemT/MXa+kNFJz20wKtcsdS785sEFiA02uNJGJ/l/MkuSyANR4jPszn
AGR4s235LVJ7vgTCJzqwWv11EWnn71PYq6OPJKDfEf4IzM426c6RTGVU0aAtbpGPxA3JIYVhbX28
vWZbmuzdOlCzWwAc3iAxNt2jUEpZs+ZYL/oiHF5BZ7QwWcL12csM9YOcFXRzhOH9pS8gsVKRF/u0
X8pvneD6hKCbOzH4qLgoquiLbsOnMlvXp2L1fpdsoNCu+09WgYuyrOZqEg/zUmx1gZk2nFI40XEV
90CEtUct0pcOe+GYw7cLC46laETONaXYEYqWFIhZ4uhjMP4agTJvT7YwPZjVpjBkVSwQhV3eimGb
mmjlYMFAcnX1FcHumiXv0Wgh62JxA0W9349dnz2E6JJ07ZXU/rZ07Qrf0DUL+Kxzt5oQdhxMiS9J
52ZaZWM8c1BGOjiNyLGekwl1O5iXcj5uVmBgdqgdcEQYgsfB62InPIhgWWZ7EIj2s0nH8seCXmBo
wTBG8UsssuI3t25kO4QZD2pv4IBQaVCPjW46AvImdy6Y8keg+L4G56DqYJmKI07Q5EiAgC2Vioz+
roCLw1Xq/Hlakgtoq/BCqF7RHpJEt2jfMqKEGYuDKQbyCLsdxhJNaILDf8dSyBQ6egl4APUBvu0Z
Xyp5hju0NdiEgZOhZUv61SFI9wiDD6oBsJSmlBNg0RxDIEdSrkJniuywFqCP83KxuxUYzGvvZ/mA
NhPoVEmjDr2DpviCJ8ibRIDlsTQ6WLgm54CMF/ReCmsKg+WhnYbsmCHScQtQZYY9t2XPNJuiRpSr
PAwhzLJhm8t3WGkj+pYhaW/nlSc1xHINCp5m5YHZEUjLuEbwk2bavgGMSu5MWMr7cKMo+0kicyj2
QTfufB/ItOKdHQ5DPxafwSZCxJFTe4NuHKVsKE2Hkw+I/77gOH67JKt5XFJ4klWiiJ3roB+xp6dk
1fUobXaHE7s6AD8qcACI5HmI/ILZtajL2onhQeXZcl/ODvzUNDOCRl7lUUDPP63lGFQW0dUbOQEV
6hB6OgDRFR/9OBVwmxSZfgORjY5Tedf/IJngoCcLJU8BIpY71Q36rZjVF4FfvdOTTIcasf14qGe6
2fdQpbCwUGMGpxbtIHtsruFST2wENtxt5gaoJsLastvhG+dgp+Kva0BUA94cdi+Mt3k3tq2/FMTI
jwIxnPPmOkj2BHvgxJLt4DNPm7Tsl4cotDNw8R5r9jRg18AioAGZ1jYtpj57XUIzFvPXPMVZEWj5
6NgPhrYS9cJB1GBiLyOOScjGTujGeXGZiu/4mplXoHf2I9W8/NwaAu9jvELujQu3EqhvhqYGhaih
iIzHIE/9OY470u5Ebn/zS8Tvwh4ORVDaIQIP28mKrz3Ym1y0dz72gGkG9KREKpOeMjk48Jvp4o4p
8iMXhJiHZkDA2jXo4ueRQTcGLC4WJwbjvpvcMaLrco60UDDCkerFcua39rlMutjXLosNTCaHbSSC
OoRxiVZNdTtvwQsfSLhHCxR8b9gUDmDIlrPauPmqcDbCCYMNzYj8x49Jl/wLkBwMZShK4YUVCnxO
EWt3zMOEvvksTt7RwyP4AWt/vaWlb1+ycYM3KPFrXerIazRyW8Um01+oStF81aIbCPyLVxTGdLfQ
HCH6fnrKk7e23dCgacPySgeKQSXe0IkAvRfL4KmwDihTMW6AE8t9ugU5eIbFw/xDgMOhOEEaAz5J
NMIhLHHGrsYklTVx/KMfYjai9SB6ihoGjgI+zBEhtXhv8vX7siXkgLM8jDUdk32PUFvdi/wczyKD
u2mjSmRmX7akrdFXNEAmFsM57BxY0kwczBa9bwq/mAHkPcR+Qkcp4YdDunD3POVoLhObsr10o/0R
qDCppk2AtbLgizmE3R3cYnfm2g9HEkIeiJ1FFzOl0WeHLeFHvyDUgzM+dh0UQufUSJgchKNPybrM
t+HiultkiQ49uihUCQquGodqgFaru19z+HUsdfkxQ5cUhKhsiaMJLF80msAGIemDi2aEg4dO7csF
bxrWgdypQG6HKOeyEhP5opEA2muv8ptFQTvY2vDUrfOjSYJ3nqd7SZlHnULuRjGfRTB9XsV2j6Ti
GR1OXpWmFyy5EIwGvtzkevvRTe0bGiU/oX3TQaGarsdueCchXw9bD5GyAOYdZeFcb7o1DQmi7FUO
XIMijj+AGqGwClos8iw+DTlMMBKH+86oG8eKtUJk7auwRFWxgKpdZQFOBO1qzG9bsn11lqN/jon3
UzGg968nvv0tVPMVt9Blf07BYFXee1A5PDlE284CYYInCuhjYbfZ9BqW1rwgmkR2bObPRdKyY7GS
vtaTNZ8CYBA7t9rlaHGGuTVAo4/g/a7T3IfnLOHFp3xOxwMXE6I96N+nT+glA3l0BUlRy4Iwd5Cg
wnZoZtKn1YamrLeLzRBWYcI9ZXFOvoV54YNzoAYIOlVP5jI8xDZek5ulBE0MwoxZ9zDE6MeDThtT
3717iM7oddOhR/SpFQtGdLHCVq2gav4/9s6suXHkSqO/CB1YEtvjENwpUvtWLwhJVQUgkdj3/PVz
WN0et90x4/G7IzrcEe5SSSJBIO+3nCskuRaprK3VJWlFNcWd9r4z+MYFI9vP1qTU5DUHh2jqQeS7
SfMQp3Ow4/cgybGSY48PIN8Vi8GNAwYRmnQqhZBTMRYlXPbDuuL2gs509TQWYnzvoHQMokYNM0Zl
uyeZ6fnS8Ix7CZp4ORvCZUrOfGODA++ZF0lrZdz04cLYMZAhx7+DQF1a1+nEIqv1Q2p7upXeYt2Y
Vq63VtLmxzSf4nfgWYjcifCtB6tz+43ntkwiiR7Nz6qaPPfcp+N15A17stapW3evTTlydFAGlaba
ctoDZ3v+asOjG5NWDOh0PBJCs5bPfDV5/TdPFfY6gzvir0Ra37mtjnJrLA9lTRpV88g/2FSWo6xz
4qOTuogCHUN+MOCM/3Jqfn2/sRYGEVWvPcSeg2eTq3GH31m8/fojYVDYD6bH2F/5Mtz5rqv3tpPX
H13RM4MReUMlCOgQTJpjj8GwidejS+8xzHkxszYlvQSLZPtLKK7VjI0yV1dcFbqxKmisrbIsDXcG
XWDi8lN+9HRf7rzC7V6rrOcXyCR/I/cRfd8hvNy5mbLeisHkXSfJy888ze2hdcv5Lp8572ojNfc6
HzSxpGXpcXz5vYhkxU+1y9jXXL1sgnaygStYM9sPg/Lb9ZhfmwaZRhVBvORmQNJpFZttuK7E6DaH
PAazwvVvauMmrJL6A/Evo+QhURQDfQpbqn0rS4WEz3l2EFUoE03gJyfhdqOa3ry41uSeKqlxyLSL
eBXr/PjrujPIImxHyTvg6F69KEJB93ixHmMSICt+vrSOfxol6trKYMy6V8P1NVEDLhtw7nveq/lC
9puXDZEyElatz3ZpUeq5SnEkMvXZp6Z3CwwtWFdVpree4AroAT5kq3C8/oVKeo+JHRqbMCUVVKsK
Pd+vg/Vc+uZbYfIleSnag19e/2vV82pZHuD1iA3Uy3nkL9osmtbMupkM8y21XCHXeZ+Hu6zjuk8N
jteWj866/iU8WYYd/9SWQFSSXE2O5i+Vs1F9ICWSLeZxPj5T1bZuQmuKj2MaVx9xapL9ilM+OiAe
eTOdAW+SVCvZZav6yP2uP9BtMJzV0o3KHOkixtYDwwG/YWnTIlzFxD85AcdTuaP8ad8wt7SvfXh9
eQtT5ceB6sB57Cr7AbCI5KTFD253efq90EX90QQZ33oml3UEOhcfeiTXgoSJ0X3oJYkSE0Wub/i6
kPjNiZvv5+B2Y5RadN3qvv4qgffTUYqDHTWM+Gj2vDt9H/Nhn/FKYwhjKBZluOtJxW+SylvODhL4
uS7G+L0lX+RG2tPWSZHaugXoFR9d5fCT90w+7rrkdrgzWThNGbHlLXavV8FE5fXGrV0kBSr9YwRp
hplwCgeuEl/D3Tdl/YEVSUkAL5bPdNW6MTUV5W0H+mXvoeCVonJtPGkGgp9+XPMLh/31GmwhcEc+
qP1jltgEHQNn0XvDHyjaBD5jX+Cl44/AY06OGDDmt67K5m/zGOBCdRzIYS3xkNmkHCt4MtayuSE5
V17SqR+eyNwF3+tRxD+zag6Po5sqQiATTyaRTc12cf0lWYUlV8AYNvG79FyXXFrrtPHarxC416rO
quV3+fk/QYff11b870EHcgR/Eur/knP4L/Xx+fH3bWe/shG/vuRvIQdBJgELVmDYkXbA2P6fkAP5
Bz5AtgO0wKaJA7jg7yEH9zfWmbk+yjusEaZo/KM/Qg6O+Zttkx/DyvFoOfybIYe/uhceJ1R+CtOG
DPqXxIy0alt0jjD23ASEZMDlKh5C0T396TX518Y+fgJWG9FLQhs4JTim/+gnaKtrF9qBxh4yh/UE
IpJMJIP2bTGBG/8XluU/hRau3wvstnPNbuCOos7+4/fivQBHNjrxVeUKb3nqjWcIB7RJNbfP2iuy
f8WAcKy/ejP+daEEdjDJJ9DTV6Dvn4z9Oe8QHvw23pMZientNVV/Q8M1oT9IZ88lvTiFLyYiiL01
B3KpZM7h/e88SinlrnGTIXLHUXBWnksSfjJr92E1c2tbwtb8LCFM0IUje0F4NtxNus12hbeg4sdz
eSQ1WdyrHCq4Mtr+2eq98giLu96yryC7xEufXUQCeX7tJFh8S0OmMUs6iKd9V9zbAK9+0BjXL2ku
kAbq5GwOS7aZfFVGA23EveaEc8b79oIolc5wb3dD8ZOTe3WrnUk+22i2q9KMFSopM5yVIdjwEJn2
ZhWDENeNvQtGE9QHav/GSqnHqN7pTr7VVxcy0TDAyBd+mCox9vh69J1aY9o3C8G6FXNp7EWBYVdf
XcCOEk8XM91ZzVRtNhPiYhuIrdnZ7XuWG+GEVJ0i45KqXtCiu/fQtd2lw5ep5dYvfTSgKeY6j8yU
lQkr0ynKz6H163fJGfhVhrn9EBKhS6PJ7MLvMoCPuoKj5tODtpeKI4fM5m07BkRPIdekn3mqAhc1
QahbU9GNicANVDfYVMNpoQKBh6ShX8dZS4Pq2mSWGo1K0OG5hWj2kM4ZKtYslwc0UG/TWWb7Dgt4
3Faz2W+D0TOuyqdXfG+LIt2lZfq1tLJeJ7CYTuQ6kA4t7abFpuPFSctYnRtV6Fd2Ohj3DjsEbpCv
gm7VzVZO/Ws0jXWeydjETDIehZe5h1iYAoJH2W2cJctvTJkM35PO6z9za5FqoxPtlRujz8IjL0EH
vtT7anoVTdbUXsrryYJFM99Nh8cqAukpNvp5lefJc9hxFmx4SO6MmkEWu2vGn5pKZh9hRvBUvZVf
9ydptIJ0T5/AvzED+YEXGfOH/W9OjNqf8uCnuus1D/Gk7Bsv7e54fk8WuSlfcGnz6UE0GVkEImA1
WOOPufCNrdsa/Rl6tP7sr0cy3ln3s6bofUtSGb6O7vsH7HY8rz54gKWWbQZXvyGXOBdbp/bGXnR3
MXytN1PoTY8oR0OUWOG4XQpxX07Fq+/Elb3PKLuNYtVTQFy+Si+DqhCPA7lNb4CCoVbI7bZcaZoK
6zwpcnfDoQsdbVENo2MwqWU+IOqwYCVK6YGaaG0kNV/yboK/CMll6KaEF6Jq1tjunXwSUBKTXqEi
4dxMT/7Sp5uQiEvC9EO5IzJiODorF5vleigpy900as9/mw0BjxY4k00VLJg6c431tgTbTnZZI6Bf
9sAJ80knD2PuXsm1dTYmF69pGcGqoi2nu4QqWeCsauT99BTGxkgUAi6h+27XFIwB+JSxkW6mlu0f
L3KYDHdLlcr1v/szLSq4BqBVj/nCto32MS+AoZBsDrv8HbczfwzHItu1ZsltuCp8dz+anPb9eEFT
jh07XlbTgPEH1YWT0qTHaUAyYCxye4eamB1zUJpnd28XBqMe4jgx9kKH1pOdVglpqub6f/uxFz8S
Gpi+PLukYsUYUGM+OM4B7Y7vi7S+QGVR4lB3ZnkkbRxu+mLQ6MRNjJZJK646NUJQf/VHn4Hc66q1
ajOKUHXYI72Z+A2gIgiWx3H4jSpyETW9UT7qDqY0uj+u03ocp+J+dkT9Q5BYveEHyZJtDnnvVC9h
odfANVW6aWGxHwJThbfKzbwPVdAlAFE7Qnbv/OLemHKfTAHgTgQy6KgpL0Zf/KTerV4cFKY7lUsP
wrQuqsekSAE2dBwjLG4euTfwuVXrX8/x/5wC/9Up0LOulP7/Sfj85Rh4+ii7j+4fErK/f8kfx0AC
razdhKIIH1NgTl3XGPy+uYxMo/0b5CibOeO6AenXgeWP1WXXZQZ/O/ax+owiF9h8worXg+S/lW3l
+PmP0Qq8C5wSViaQRSQJ9JfYCrN5wEKX2TsVNkMSCwR8a1p71rRMdL7JKPQ8SW0dD0jSgBviS1Uu
Fj0mdr2gBWj6b9ajAoBGCKjrPKedN4bGK473QTxYFHWd0aX12ChdX+AXcjjcFu1YiOnSm3mWziuC
2hjGojM8eP6UOAvvZhRN9wXSFN8k82PkcMOndoltqAioLVvY0msc0OXRCLS2qMlxtUdNaJVms7JB
9uudTRvMvCnhtbiR7MzWWPkgxrq9aoKhuZPcLaF0xuE7yo+TRm3XDFbUtqOsT9jK6ZWaHr6RKBEV
32Lx9GYOlc1xzPfp3zpLWWycKgtu86b03hvfn9ZGWE3fMnpUd9rt/W01MKEi87T9CkDF3K8qJzWI
q1QGTg+85IOkQ//N46j4Znf0XlbUpsKvKgy+1LxcAiptBCzyYjnwP/F55C54m7FXaU9Iytr00gmj
+dojwjUOm/sBIWGKzGUxEZSTMVsJEvcFTfSKxSss5OA2atHrKw1d3MH17F5mIsQHm9vNTmt/uQ87
e8FQkw2hmQyxnbU5RrZPlcy+cz249xLgvLMZK9u4TQtMJuDm7b6r0COmuC+fUu2zECMYqrtKCz8a
4bpVkWCLyFm4o/1qVISS6P5Roa7EVTFGTIkwu/zDCBXmpKg6jfhGYthYdjlsKIGDJzLieetMjmYf
HAvuogWo7DcDGsw24PG1g8ivDxC29ZdZ2P4h7az6ke5cfAGSUt1URjIUO0yH5XYetDda1nYeRW97
+epv/+65947p2XDtmiBTZhY+QJZmDEXZHiWS81Qei7ibVLX2+7iR4dZujYfAsK5VIDgU3aQ3lHIs
8+s/d9RfWyX/1R0VSMz/dUP9L9ZQ/OWW+utr/jZYh78x3HmAjAEv23D4/j5Yc7P1LDZDEV1HhSXg
zdT7xx3V8VgNCvuYECQ3UkH65O93WIoFzOjXvBuDKhtYgn+nPYC59I93WPa28I9zRVhaEFLdf+b1
ccHaorYHcSBQAevHhbqIITbuNBLuUSWNu+eox760apqW70C0/BuiOfTRA8uaHqpqgCPa1caH8hVN
cFKtFw279smT8A9WXu2xwrET/iVVY/ewyDF7KjoXWtWAo1IknvWtqmP41NKXR27/KPj0iThTyv1s
BPjfmUQtXtHW5/NU5wYR+wTCVzzn9iP3zPxI7a08xb6jdoPT0UzFcq1cO4tCFdOUkkV6tLDTD2VW
QN0uDA/FkvDIEbw2eKdYkRmqA7WrVRDeLITwsJC82b6fDRwpP8sJCC0Z2BgIwuNqrJxma/uW2lmV
nbxZYRZeLCO/s2aayLFtPfExr5Ba6W+WDQQCxr/a+eksC9XPYmFEROe3o7Zoeyh8luC0DOzRES4t
0VZlw85VZv19mvgmTsuChiZr1a4cqvy5EdIjRsftZlcXs9wDcAPzLSb4Fv5iRb1lD69VkMUUCVOe
SmjGX+EyLW+Ut517MifLHhRLe/FIe9yTu8Ubp7e6hawxnCisN5/FNRoCQ8Df1iNOgm/l/BrJPK9E
Xqr9WE7ApHIxfEfxX2WtS2gjrE9sWzwIqP6bgf0iAOurct258bnI6+JgBMaBzieBzKZi3BvbZtc0
I6E+qrfUo/sMLI2YdlD5udWzf++OJWja3oaGxIeh93WV1uVwgvkkX5IlC9/9hliTBLuPgszYU49T
8xTGIjsTZjLPTA5U+ZmRste4F92NHEz1KCpR72gj2uFqYgnI3p2VL1e5cpx7vfjZOUmE3i6+D82E
IdB/YOmeRWG6b4I15st45b6Zd2HLtVIlvRdHUgv1NcAJvcRsNN0DOnNOpPHUrqg9ev6Bn701LHC4
lEnt3tOZ1Ps5Xej1G6Nzsif3CoWuklvw792TxCqO4A+qQ2EMh7qMr0yS0g0udlPb7yVx+nOTiJwo
u6r3Uip62wWMju0kUvdW1dPJTifB5di0e8PsacQm/Uc6UCiE3pNbG7uO/Q8YUT/cZi4OyYI1WSyF
e6iaWGz9AKNg8Uv7xRH5F9l4HD8jEfa7H5RP1ejol450Hm3v0ryvUg9XY05j48hqGigl1x2Ml3S0
XCuaYIR/gKiSd36SNxT7HCf8QjJPd+XIFyU6U88BD69odAz8V44KJ5nwJhIJxUkdoMsEEPBxQrse
vgFC0KrPrae+Kg+JPXnHipJpCSgXJd3H6c6UzO/ZQKUe3FjtvYWcghfr8kC/ky5iPeSo+6Hz3lcU
AHxg51toF80an4HkUTnLB8Yn8UNDj4icXKaRvrZaKPXnbxAi52e/rI17AlZVxBvqQ1JPc1BgNNjv
jHbeTsprTg2SiozCcOv2stjx+DXPNEcVbKT7MY7HN4NFsex6cax7abJ2oOR43EVqMsdLaY7tl9NT
nkfMWE/m7O8AbswbAhwDHqHvBG89W21r2gpaZVQ9lwoS+ZLc6q7Kd4QzQWEuSOlRO87etUcJKjxh
zSdGUUd5uxpQ8sNwfE70gi6qcoIuqk3A5xDBViu4U+YpqZv6vJCi3ViW8Sbta+qYgISzIbnBbOo1
aB5t6UXKyF4RDsyDMmlKVyYuri3z6lNBwT/FZNLvXXgDh65z5wIj3+jvs57ope+XkUv7/cODjbiT
phvcmZ1X9FENS+ZydRJwcgqt8HmVt+GQHr6EPDUuGqjiK+JYdlPo8Vuoe2/PE1FHdL3HS5eIjEtp
kjed9ADyE1m6KUjX3/Uybs7SnBoq35kC61PUmwonemth8621ndYbt2uc13wq7L1HKmPTxkG1TWdp
/9B+MpwndoZ+CKe5Plzgub2lhEFxsKxRrRBKwq1D3IY8RgqTYkmmyLDi9M6ymGhBwbirMWnmR3Pg
pS9TV68xLOtNN9vBKUDvpaOhqvTW8eXEhWZNAFCFSwLZHAgVJc6wK7O5P+Shrp/VAMDSquWGNUf6
Lh8JG9Qjq2zZKmYSeRmMUgB/mrdeU40Xa0zsY2gl+TeK0fl6QuUkXMXjNuMjfmJPZr1HtWdNU960
4Xvuedm6KCfzTcVIvdyZSCn39nqxPfdOD9L4qoVvHmv25G1BLnW3VlaqgysMNgqAmCfjNwXPyRTE
W8tszMd0zOB2jD6EpAU019ZJ/fbSLs1nCQjhy9QDt/+BkDMF/VkQsKcuvyYdCqCwM06EbmwwGCW0
IEDx1cQOJ5I1AwTEIs/Me0T4lme/lMnTQHy1WckB2lhUYrDfNwTn9lXKR3o1136eI1e1JJ79OGh+
hqC5DqNKbdTXybjJIH9BTivuxrHM9707vINvQZmtrhSFAK2TCIz3DgTtw4yHn0Qo39kT+VBaFPLZ
V0KIxGmKQwuYYcNCrSe7Sepjnfr+01jn9ksup/ILVX1+bWO+cCw9fEQvW3pCA3XCbzEc66Zrxn5H
VhSS3pmjFo39Fch7091kdtULuCxZejPbrg/KYB6Cu6ZvFu+t8+KfAzDtYK/GiTcOpcZGD8d/iOLK
3LFypda7Avv7nNWNUb3X3EA5e4Xj2prjfNvkbMM7BkberrtJ2pDSnPxkJUt5HNrMf8eHbL6ZfpzI
u3hO1clPXat9As6Rxjulc4VSA7pLA0VNeld+D9K5M57dJp5dBHC2qmEJAKk7kDV3yG+ZC+TIqtyO
XveKsDetWlqPa1b74Wsm4pUU1LT3yCJFS9EPF/7kvA2B+EeMkgSTxM1ATxdJ2qjcVQ4a8AVAj7Hn
LPJc6lRtUtpAR54g7G0xsgS6p7KipLSWy4j+eGl5N4+6R4RPs+njuq3j2IaeseqEMeyscl7gnFyP
W2ytHNis5LSnLCMAsAX6ztqqKu73EF5FBBY/23VYVYxs4r7QJL1kYyQHLdhBBqQzPraFnR17E46l
pQhnATu9QVIGN5f4zbfB8VQEYmTZZc2YgeHowg3EzHjTZqraTLGoZ/aO5jzI4ho+H2/zfjBrG+fA
LnbswTZ/iiHmGF3nNZS3FaUr67sXlF7w2v0eIxx+DxXGDeCjnlTCr8Dhf4a4/88QZ1viumP9f5fF
zuB5fsDM+PizMvbHV/19jmPLJYMYIwxqlPjzHOf/RomfyQ7ajuPSr+J7/U0ZC3+jNM4mJEF6MeQT
jqP4h1ImnN8QhHD6LazGK+/F/XfmOMuy/2mQMyEUo7ph29v8gKb9q/v6J3fPIVkAgqI0TyWfs7QZ
ItQ2Yw0iFr+vZxPNJhcObLnFIeq9JX4BodCre+fHzNGYKobOSnCHIGdmPh9htWocqV9ZdicEkTv2
uaynzvpMAjt5LubBj6h2uq+jEP25YTfvHeltHiBZJbnxVqnhUwHhP0ajN4f1zgBQt2/ZGXby5ayJ
CLv3qu2dT2MS8XIyu4b8McNzfzNKdI5nJ48H/6bTcKu5gXjTALiIIeW71AtAZBsITeyhuoekDvXS
TWudd/i0relEnKeG90m6E9LdQO3onDuZq1dNW/g19wPXfUxiNDwSsnRxNrWKs2cLZO4qSdkDGbXk
pr2DgKn13W+r5tFjA82h86Ef2bP8rppw2WR+BjLObLATSV/aO2lnT0vu5HccfmK5548458WXDJ/9
7GR7AD09oEy01E1vGR8znZZVYALSO7QdwGtdhs6moV8IdiaAMKjZyuVutDC6B7pH7hmi5Lyx+sG3
DiyLbqpTr8P4RbOK7LG+9lXafrGDQxv3jrEGi+yqa8nu6ga0sXzjmZJuDMcmh+r5Pq8Bg0CDc3v0
wkqRxgRVRUtrylY2JY/ruqplOpHgSwIGgjrd+JmnH5qSc5i5i5Oi3ecWKlWPMrey+2m/0NwpyZDA
GokEOtQ2gGO6FxQ93mpNN5THtaGfeAaoqw81+dkeDFugXrIWmtlzEiCymRxiBZreZiKj33U7e5AQ
rw5p4kJWpxDuZtYHCeMWO4IHwsp1VbgpOhExJomLdmPweGZcbjwiJods1A8BN2syUYTF87yaZJS5
RHgFzIGI/Wb9qh36LgD9bziYRK49bZSOx6gFCEYfwH/KZ3fNvjUKe+3ZXYCl6UlTBquuRQukZjff
CSgtRz8vt6WXd89QjLBNLH/F4ynZJhohtRiXd0rs5P38LN7G4/JoKtkdmjZNN5qlXDcNbtChZuHU
FumOI51R9hCCrG7DvkW5Kmh/kc5V1XYKquxkqEUfzIaPpg3s9Dlc7G+4guSL2aFyBc8bkeglVmzp
9z0pUcrkXTZ9tlWrjm0mklND94N+TXEl2y27yiC1JOqBxHPN62M06wzeJSuQDB6dNQwk4A3pD1c3
byxmIhoVVzXCqEkDULR5EJkimNbhsCTXRZOkeLIFwLLUj31mdFeB+FoGcmPqTtK646eXJwkbj47Z
3NcHMhDDD2imLGonXr/1+bDtmxrr0WfnKrm7Hi5EQ0ncfWwc9ZAH2Y224l3YDmYkbf2UeT3wzC48
cux4ILd8KDUZSsbdTSJ59RNYkcEontmBsAuW+SxtY+YUMGCD16rfjKwEZGASL57DJDURM6aspn4o
YRI8LaHxSZUOj2wKPweNZUVhT2y16V1ugllwFjUxLMkSacz00GKAscU9BKByU8xtGflwf7m26u4K
uEy9HVFvChRpOOyxvb5Qr7NVAx/k6HG75EzmxFQhHXlJw17uB8z5NZ8K655NI/ej7Db0HfHHqvIy
k7D9UNe7WT7EPrAzyUG6Jv/ykEHPPlZ1n0a8Ye22ZvEF0ggYUaMbV8qef6asTNhzpB8iHFTmGStY
IteIwyNhCWfTcVu/p/FxTbR64SGX/kPstfcEj80ttwm6GpLNMVGXe/0r9xW4cpz6AX07PdwfmwBj
0+f9DiwlzZ+qGS5A+dMHZ57DczubD0QievoXxXuX0ICT4XC7zMWWzQFgoK4laMKmD6QkubuQro8H
U26lQ8jPpa/ykYrsAqydp0MTR2gYZBFl/6TK3NvahY4fp3w610bD4kKw8M++IZ/dhLlAGeNHp8M3
L7EPtALowFhDvS2UmlepPW07gtKVJ3eYLuTeZCMutpU0uylov+AuuxvCt93e7O0nBJOcCzgn5Vqg
U57cZkLnsJyHIaxvVJe+eDkofVuhrFdXDnlXbzwj/EZLBviycEGVci+tjeAOiNWuy+T8MPPWFdTK
EvZmejr4nciq3ACoruPzUTMo9AFIIeo5khXPj3SK+607NvYJTkOA3F9n4O5DOhj5ogLWVAz6kFb9
HvrpcczAuLPcANxKaNSQSw1S0bmKWBzmg5oTV3tFXFmuBu/X1dYJLgtNsvu0EOy+89vmrIZrL2sa
yepLNyV/4AlWHww3c4bNUk7q2RJYMnF1ZnEFD1YZhhu77R/Hpbs0mV98jXO5D4PljZL1lZGYQrnO
4VQL189O4+Ic6JBYW5HGNHgT0scXdgixrt2NaQ4wWFsnl30O28VwFoTdxHmnHFY/OESxSwDVfVlv
AM+AGC2c8i4xRmDmVZt64JPZc5lN5Z7inlwD+qi35ZWNZydlHGU2M3B4nStjx3hOjen6eJ7oEnsh
Lrl7mUzffjHQim/NBAjrWixKJAgryIwPpTSCA7a/Ps6j8yxms/402M4EIL0oh3zr+tNVWf7FoRWi
WsY9z1l7M/bhV2GMd1bqZxGt5v6B5UR3U2kYkIWN+2JJh9t8zl6vecftwB7dI7Pha9AJ9QSX+whC
pt9Y/HokaBVzmgjEfrKW+EMC19+wvrc9OAxVbJoY050Hf5dYSZ1HRQ5mPuvG92uXbENQ1Tgn45S/
YPdTAh+74Kc3uMl6oGvEujVHfVSBvzz6qHWrfAjenZz9zkVQ+C++r+GP05ihsJrKpzKhHTOTKdqF
PtFRx5lZjoGLNW15wyS6usO8iZ7H55ofL2k7uHnye93mn4tp+A9hWI6vTjdSRRvSizIBYi7XhpIv
a6uIAgZARLe6FUghrTp1Wld7OQxUFboyOVu22vd5TEzE9evNMITVAwl2DAaY9cM9EMhgr4nZvBo6
3FcIaU+QKARyT0atINR5Bu+8/97kwRd3Z7UlpxSuhzaG8y4tDFNaOXXYLmt3gmOMeswDIgtpt9gO
iV/XNskrVNK+lOiSxH/c5kZabEdRfbfcYAOH+6myZgBIzRclaisaZpVZd3U9Wo/cIDvY9oOj6PD/
4vaKMum2ohA5D6/OKDFfQ+eUeCAKaWJlL+bUOrgogQoIZYjFeSxSx/oslet9slshpdPTJyG5eboT
FokLPfCa2yE3Sw3WhQPwePQHILIZYL7SsW9jBhWm2gmVHzIAwP6Ck0eUkn1O0oh+YjGlp3aY/C0M
vARwOwdR68xBKyrK8aUN9cGzp+8VYvauqX29LvoaLR935RDTsWBHphti0NJqaMWRNd79ivoy0mJV
ydUshm8U+fvI1jBfyzq+5gRZGNiCKKJAWO1T8atAWROnDiy1d3pbrFgqOh5Lc9qwrPIiyeg9Z8Jr
d6r2glOWsuJD9qRTcnqai063amzahzYdxc60PtEQODDJuGLNYvxMW6NYKbqasSGcNWSDGuOhXQWj
ZID3lnKDm7/XJddd0WKtsCfOiiqjrKNMjDQ10KHoVboQPL1xhWxD9SFPv01hfwM4JNyaAS9xEdbP
M3zyjW/SB3IzVjIh+KylFRSgZTgaqt5gKUvi1zwTVXWoKvEQToXYeYnzpcrhGUKbe2t4xMwL5hQb
G5licimo8ULegxNNOcttz6jL47bVhv2iphagiSqK55m4Y0Tlj0cdbOGVtEgHOJWKZOoawLRlVd1Q
w38umhrAdceZLqvi7HveWmhCvr7XGVc5sfAVjf1i5c1B/IxhddOkg7i0gkzQ0JQ/Ofx2qzztNpbU
VZQapMNmMd7OaZdutRqK51bIbK3EkGwbUYYbQYmdQ3cAWNCQCswBN5dlygtWJrjNxQviT7Nrk3WY
Qz+mDzLfNwtJt5D1LCTKfE49Vk2+tZYXpJrhYptY7FUzReh5OeUyc7nQcDxiYMMH8CqHKNPIopnQ
n25Ycfe9uu6vtox3O9AfSQ1e2eqGG8ZcoPwyR5zXB+iB40Ybxk6lP42goePjEa+wOlnvm7y9g1p9
opnJ7TFt0KNQM7d1zXg72q2zc/A57Yo1IY6Up4DILOcE82jmwbPrp87KyfTH7A9f8ZBQAMq5firn
fujPfhU/V6Pur0HY5JsB/CMa6NX2mdZR4vg3Ogzegrpat2FY7djjUq3sBC55HJO6M0qT/rKo7+XE
6czopBn1g+6o+gaJeclj6m4Adu4GrxmBbtOm5ZEgiZvZPAkaFLQ63S5B0B1aruBvS5v+cPKJaySe
llXq2B21AaH6cZW6xbuqZFFtsswqLjyyqPzPFZs1o65q/bXN4rf7iZUG+xFeLE1EL9/JzEjaCD66
mbJ8rK/f7cnKIpppLkNO3TxPQ6AO45iOB07V+SH003InwlJsIYUkp8kcvG1bDk9Lq4GrkmkmASrv
ysywfrpZN5x0mnlHOqLt3lbLtcQRL//N3pksyW1k2/ZXyt4cMjg6BwZv8AJANNn3THICSzaJvne0
X/8WkmKJpErS1eAO7jVNaFUiMzMyAu5+/Jy9197bk9U9IHPb+FvGC3f47BLzChf8WL9e13jEDF3H
hJdJ0x+EQfYBeVkgNub5YIKJCPCA1ftRWtpeedINwCJSACAwHCvTCgj45FLVIrdLiRkI6G1omDn1
69gaXB8ulRkaSRFdO2iRj7JYPrrlQBSbIV9kXPCOUdReVkNRHbtsOWEEw+s30YsvGTPUfUIIRO59
gO6XBq0rzYBR88gk0SamiboymHK+fe9NZOdwyXJmyj1u/XsLoDqdAcOv5znbI/EtTtSNJ2ZcGUSQ
ctyzXUEz9zBS5KVdhUWeHrIEtv2iuXe07q0DV2E6LuacvYcZ6VFJW3p+yVHNKTRxW7iCWXpe9ZW7
I57BCoxI2kQJ0edGaL6rhdGeg43Wd2j60mOfW5uwCAVxrnr9XOWtOutr87Vdh8sFhC26qOTZWNMr
we4egrwvb7KOjxHNHkgAEsjokjIgmTSxo8GtAhqs2vmEzIh+vLFDPH8ZOxKMqNcfqK9bf95Epzi6
95XQD/FEvwOBDXcZO1n2Q46tkmBHA3OZ+rLWza1Tq8ulWbId5IRgjQlKisAaZ4aJ+hGUz25SOJQi
GAtk66CWntmV6bIek7rowjVvbIqW5WxipQLLh0WiD4o9khZ4QAH4cZTZx1TaJ9dqb2ZVzydAJcRX
te05W/RTE43V3hrmkKsWT7JYpK9QEexYDYytxIBYfJ5oo6wcupYyTx2hWDCeTm42hOvo5H7biooY
42St3rWWRttkmiZ3bxTigb3zziCKgd8I81DuTNy83MmPO66DStOJqGqQUwguqVE6nSUurjbbqj7C
bvJuM4J1eI/sAxGASeDM5vqITu9Grp4K5kbAqO11NGq23FkdyCyfQlkLnEIuOy442QN86S+uaK/6
1Tgnb/fFFMa+KV6UwH6s3NduXNCbu+kSMhjJcDh5QZshlc+ajFS98bVh4MGIMP+QkBYatsQY+sg+
4LDDPy5Wl17JyuQsqCp6AYlYKVuy6AP4+hvI1LDs+6FzZr+BpnldDviWNWp6TFoxPs9p5FI+wlXm
H3GSNwyLd57etJCg5y15RklG+M55U4rzTrd9J5tLCjGyb/Z0ceIzjiyGCquQLSf00g4X+I+7g9Ub
hYeaAyNcWrTRjcuuhtStF52N7zRpE3e3TWvUg2Y5Zb8v3V5b9p2WAz4wRUKrDe89q7BsjYFmP8wJ
zMsV75EdNfQcBm3RLwbpWh/7fJa5uogQDtOx2P239Ov/R/FYLZRMf9yI/39dSo/jhza8YK5KW/6l
V//3/yBC9SCuEpwKxtH8VYT6TZ8qsDDR0t6UTG86q9+68KbEpsRXuVQMW5/e+E5NJX5hhW0sVuAE
9OL/lpjKMH5i9kEjtnldmyoLVZX1uzjgknZdP7OsL0SKdbZ1uJCrsqh2rk3H+hxIjGuUPrgqtQ6H
3CiJKn5HRCIo5byCtAo8xVJrtxMMRo2w6EgqpI8px6pt3PvUYcjuUMJlLLHBb6aZzBjLpKXl4wNY
jjRvJg3yPyDIcjx1Q1H2IwoBkOqquayKhZNnHFP8Fp7bVBc2ualnuH5G/PgpFsbFwnGbmS2cL815
1vp6PEz1KIkvmb2A0XZzkZWQostsRrZt27nxAPmHGWKaDJQfXjnB84bC6qHwaNsJDcKKq4iL63y3
krvxwiQMwXql+vEyRZ7YcfQqJPPdOKS0GM1YR+s0Ay2Zx67AFOnV6QmmRSuvPE+N7EYMGg+tprHX
OM2iDuxF47DTCq3waWvkxybqpn22dpJtSKv4xpD8o9nHkTle05es3qtpEXcTHI7xUKtMBUnfY2WI
yWrC+hEDOkNI0AVAe8Zn1VnLU7TW0vERUjTzCfczRsqo4wq5I+NjMJ6jAiPkZCMF6w2nCy1BBeog
sxA79peLqa7FlhlJBKhOTCktmnyyT1Bp5ZOXLfMF7XOOxDSzWrVPevzXSGWFFWgmkcy3rZOHBhr9
ktq0iHwHShFRZBl7YIoqTsOARXLgzmVfqwN9QJHQOGN5JK8dimg8DpwynDV01DOq7NgY6bMYYEq2
2JsGDgUAQNyhqf6y2oK2us1q3G/un5Dw+eWlBK2ADKsr7cNQz809DIzknG5g8YwYxMFePaJpaLRY
MbBOYj0wOjZzaEDBYCBLJuhM0qJJCsFDI2YxhnEMj2sZyVNCM+Bdz3ZL0zjqBm4hVsydNZol4uMy
v3cKc0OfJANunUyrT0SGGydVEgnp2DL6sMkE0GZlwvsYlaOgb9OrMT/EqjUeIqRzp4n5DscrrSiE
VFF/71rjJ2Cy2kbHWoPI7ZhHsAJgEtJyLskqnDHdxsjXL0qnsM7yxHbfb663wwj2ACBSvwoRIBAm
Ww4Dhxn0UftAD6u7al19/VioMgqGNl6e4LeVx2jFOeJrmu5lNAFX1MiN1l8v0CmvWjuDVKNqtJA7
g76db/e5GwhM0o9O3Cq0xB7Wf+JN3imcUYyGVEQDHDWm31PCHEZVHlSNCqqTkYW/BETJLUfX4C8M
lzw6/5YxsbNEIqI/zLV0sFVz3ZWRt+8dvfhSiXw5Ycir/XlLsx7nxYOlpT5lemoF5jJNkEhS65gV
nkf6k/ECKfGdXXQYgSHZzYE3GhKoIjkBfI6wzlqiTZ2bqSf1jR+b287ANO6/5bz7X0cpt22Pg+SP
T0X/pUhfCVNKfzgYv37Vt4OR008wakY1bBhvYuLfjBuG9QuHn87VCO+mxyz8t/E0lg6mxg7Izm1t
v1l7vxk5jF8YGgE8h+L5dmz+PSMHP+N7ROaWsI41hQk5JFssr9uR/r31FCEWyZEDQIdqMr1wnMjr
YO3TQabnM423OAmBLM3od0JdzxVSPmt8zK2edk3vVe277969/2DzFdiSf341FtxWhow4CDdX84+v
hgtnk3vJMCK5rMRVnCNZ3g2yZpQ0j5TaCOmt4b1kIae7rnRV67dQoLhbrr20fPwz1WdPKf2a75Ew
JoHl+LjamisOi2NHX8SiiXn/56/4DeL+HWJ0e/8sRwIQMjCoYU3+iXSK1SThs13UlTmzHqn+1+Jx
tFCR7JEPoqoZF8Z2AYYUlx6/w+hpyXXzUI7dIgiuq9Vn9D298FOuqAGBmTWZTWWCQ1J2dh5DMciS
m3yAlNZ7GwFJ172nPmnP82JiAp1if9nAIGP5F+jU338MBCHowPGlw7Nh/kyuh0kTE+pZ9FeVirwn
aMJcd6wcDd+uARJ/g/Tbu28iUTz/+Zu5PWvfv5fgVtDDYYU2eBb5Y3tZ3wklbH2OLZwU1VXlruJK
5MlwRcy4n5JO9PTnP2nzi//8kxDwA18hH4AOxE/PWcOpujL+ra8IlbZe2onh7AFH08L1mBG73g7F
6pv64tZ+ZtpT+VcPzU94XJ3fEsM8EHcTcz67w08/XkozJeYCf/WGK3sps8F+yYvtNdhr2YfEFKEG
AZSWHKaifVN51/LLNos/Td5iXcz4pXQf+zSzHYBZ5aMJhhDjq7ssXxqNbrCOa0f6FGtWd7RNZ/31
+kP+RPwFx02xxHX1PWb/Z7/69voBiBvCxAlhsVa3avu7D0pnmFHZdqRdCsZpL2mn+niH5F4hjkRX
X8VnQFFzNCmM6ea1TfZOzQjdR8spX4Ew0txcEtirVp2NX1IGb59HG13f2Z9/xJb9uw8ZfwYPEQYP
9lZW509Gfgeumd4lyrykomsizw2Ul6yH+e2MVthu0Ri0+u1YLvawIxQRKS9Akd7omkOxHfV50ZZ3
TWFz/stiit9B1quhshP/0lAwPZLm6wa0PuhjvNURqTI3+l3WV1fTVmi0W8kRYwKmtfhWiRhjUh5t
qrY7I4tv0AOa864YZHuF5uBBvdUzzlbaiHQx2BusYV13kDyyi2Irg6hvrbNkK43Wtypp0hOydvgs
U2T9Wx01bSWV2IqrNZs/NX2r7gdmQJvJAXNZhFsNX4BhPLSJmPJDJDXqNdS00Ud8flRxadVqH4at
tGuaniAjYp9PovWKz4wXaAhQnuX36VtlOG5FYreViygZm4OwDO+6ncgTtqau3Yu3CrPgLkis8BS7
YBO3IrTsTcpR+s2o1qlQhWBoylFjTH61lbCuksUzELsE7IvX3Nvk5h0GL4PhhmJ5fXGdugt7fc4g
/NCO3WtE/7wQADq99m/18/pWS1dvdfW8ldjmVmwvb3V3t5XgUAPKY0WpvWM7p0KnNqdaz94qdxlN
WH7f6nlrK+0hA1Lld9T7NCSp/KftEpC+3Qeyt7uB+XZPmE05XzjEnBXR7TC1qixxwm2RvJ+TKDGM
9X0/abMk4gymkZ3Xn4ylzJTZ7QY1DI1+xci+JL0c3Nt6GL0BpG/ZpfhvM6Oo73WpmadsQZ9BSY5l
hthY3Zv5uEhgDmCUcx4CPpja0MkB8/pdoUR0neDjJv88X+SUBMsMQ+nC6ZXJEzVFKLFpeXIW7h0U
LRH4Va7Isd/iOuCBM/MeRQBANkZLLYcXTUUyVDEne8JjuBBxCfHrPsKpg4hiiujuM4xEtkBVsEdT
W66+u9rsmJWBHcUvkw6W8dgvcX/Tp1pZhnWcuq/aMMpUD0C+qUNquYN7hQIijs4qUyppZ3419+26
HHuuZuijmjiRZRiBKG65+PRVul8Kp1yOet+XjW9DDkp9ieizOHRpy9ScjxXbYFOuIiC0MueCkpe6
dk2IKzqYQVXVu6wsvfJkdp4qwjxRzt06YAnfc60xxHkyJT2sBplw/T1E3dhU9xzG5hn5S0a+Hxpe
QVirIl5DgNErcv9saabL0l14tDWWShdEQgxnnYkYKgDdjWdRVqS87FLZU59ASzTXL6AqmHC6vICS
Mr9M2pOg4j+SN5RvvMe8NQM4dTRVhygnu2vqGu8mi6bM8s0UTQ9xadmqnQPLYMragEHl5XpMZsWS
rPUpScUUh7lnMVHZ/t1uG8QC4Whjkw7vlBJNqeZU+9DR06ffnrKOjCuxQntghD1amvmwFGgNrpzG
o+lfkb51aQ8VR1IMoZsv8Ij6NPdRmojqPezpKjlrIWLOiDnsNT0XKlYPVmbYL/YcbTQjwcO7Hyrm
A2HvrPQSiFHMyqAw27z3CbAKU5G274tporLI4my8721n+th0iXkc5RRHaA1snc4eMQMQlBmY0J3u
RnG1EhZv3fbKFg+CvixNSmTfLl6rReLdMMosBdFnGDjLZNwb16kmPbCs+IghEmYtDW9kI/3NvFgK
7VS7NUdQGPLCavrM4pwTzHvCTMPTXbJLdoEroEWfkBRHxtZjz/M7w6086zRDOh0u1ay24hM/0Y2d
a84c1pgbJsaO6wriwgC4DdlMbr/89tIn9ideF+3SK8tmDnI7tFhiIGPW+ep7+cjSaQqE67dVJ1ny
3UBVEPN37KmGqpLrVlgLVFKzSXQ+buAJw2WpoXLaIXVvCTOGg2+GC1qVbdNgMfn8Rmwg8BW3OllV
5VOEFPaM8KHUhaBp5zwXS+y8TBVJpeRVQBMx1az35zFlbkZPrMqze5fT4tAzGrtqvbh9b+kGlrfE
SlLjrAaaOZxHcBPGYOlkSwSzXMxDY/C2ItJul095Ae4Y3hfhky24q/zdRO+oPxLqXL4usNHZQ5BD
MS5AEIXrxViSfg9gx3un6VEJBbOJMZFbbHNLNyV3aa36c5JzMzuwjc6I2fZsS+7I8vaeukwb47Aw
KpbJqkWmd7KqWrRfSjbk5cwVPFLhtO3YYWYTA4u5dx1DDpmpPRcgEB00PQznOGnNUaf0brMPnTd6
D9pCmX5GH78Tn1VP7OOuFEKOp3Qy+FZzKZLVtyYAX6eGj4VBCbFy+7UeR4VOTRb32QhQxpX90SqJ
XjuuEzwPP9dRMmBtzOv6snJm60JTukUWfVuV4xaL0qCbs/syeaAS6T+TD8E2wtaJlIzZ8ESbcBrd
llNgae9xgYr0WdT4Okb4klq+PCIc1qBZwljv6O6Q5nemRc30kbaQNvroiR38a54ubnEVROuhG9o+
DdN16/alBibxG/r3q31VOs0WJ96MunNpCUij/kJ104cT6eeYxdyKgV63StzkLsDIUMzmDPuvgCuB
q7vl6UdQG8tgIbWg99HdIxMBwCYesoQ2CMsh9Z541sv+pkIkygZrNB5K1XJjW84DM+VhAmOe56N8
tI2KtuVkx8q6tKLCHe9aYqTITY55osMmNfk0uTjQvktNlYPQ6ZrEvDFmvUAxMW+puOk8k4uSd1pD
xAGKWpgrVcmwuMCKyjXSy+N9zygE2d+s66eltVj3i+NIPPFRIr/mtvwDwPgLu7Z0toisP+mk1Nxv
Xj7X3+v8v37Ntz7KRrmwUPNjFPka6fZbH2WbPeCPhsJlbXPYTcv/TeYv6KMYaPm55QnrxwGDAxBD
GB6dD9s2JQOMvyPz38gaP9wo3S27ipsGikATJ4K1XUa+vxLhB9IjjfOZXuHm/qet4y7DM533N0DA
V1xAzoAiyQ6yV1CULkx2wCmMS+YskiS4erGa+GyL5c3Ny0rjjgyFgYjfDTK4g8ea9ochz9QcHZDi
2ml6YSPlR8W58l+j4QjugJ/1qNuYcJnzx0M5zMmFGEuCVRl0ulLbJa7GHjXibinPTDoA7EXmVKQL
iavRqL83KhTrfu0odMn3WUuv1QxdC434LSakIfGuGQHTwfZYhrsSVnLpUyGYFZcYxDIL4CwIGQgL
a6rKf/qPX/4r/hgJR+DPVw32mE8q/TSoHxbO25f9unCk+GWbrQlHGiatHFo1/1440vxFslzADTIR
FcD1uMd/WzisNpsOHAOLbzCDf/tj9F9AHDi2SzH7NtH7Ww1IywKm8P3KIawLBxntEOA14G1oyvy4
cqjlQTHU6Xisq1igfyHQnAG959tKPS9O/tHVsf839apCek+eD7Co380zQhVXAJrWlfvgjrCetUIh
uBiKi9G1QMdoDj3EztwVukZdnzFXWIbN5IE/l+FcqQe4CU1WBNqyxtNQLDrkEtIRu0VkwC0lwWiX
wZoPRUvweYx0ace9dfQzUFC+rrd6kOX98xadNtgQtdumNsh8zz46YMADnCwIuQR+QSZ13akZu2fh
Jo2/2qO5y7iFhWUkn8ghvstQGo4dP96xm+eiptkcK9BmNdpVWnO3ImEsaFT8Pk4zq1Dv2mdHZN5O
bWC5t4xDpI0GnvWKAFtNnrrOPcXILrk48daMXORiVZpM/PNXI0d+7zi8lW/8YL3lmxYjb4EFeI1f
gbdBd09l2vcB9x+mEgRhkD0BTjeJkKUNiYE2FJ72vi4wGDqtw9/m1u3kDircvjKz6HCmHgFyq7EZ
zRfegoZ8u9BWYr2N6+LWW4oxLHp+JPco+9y2WlwGk2mEQwvB2GycPNDX+BHMMp7sDYSKW/F1qVqK
R7MzfDtasDrlC/dZr4g/RQXyFtV5D0h9VGhWReP3OinhWwzwnure3dX6CNYh8/qHyI1yCIjQAsih
X/fky69H1OboyCiHqC3kyRXaw9tDkhJ5EiyQhIJG8hxwjbktR9IjO917oCYhgxMstF/q9u2Y8qLi
LLdOOOnZ7zNy2eu4nM+kp5AhUzoFuuLfMuG+SnvBwKbujVCOSeaTBsNlnhJyxzAY4a9tX/E8v84e
IdkGQ/EdDN+PUDf57Ff+XxbZM75irQom5ZI2PxLNwWV2ZqgJNMCQkIrJXfL8ru+e3z7vMiZifMQ2
7iuEePs44ZGRHtw1/BzQyxy3ONNF/Moi56nmNOA2wNPpSh6VelsLjMCWR/IYzZ3jZh9NwQth5WE2
bvL0auDtYob6sHB/DqeWdQLLKDqbYIwRHcDq8GT/LHO+oSP5hN2Bh8llNb69GVXDopg0/mmTlx9L
+JVhxFXhrDB6GyERD22Rg45egC3clSgFfYNB+24C/klbpsFWVhpG2OW1HpSdxVuqI9aZ4qQ/RyYy
Q9ol+tRsifNq1WqEuWRRglK4SKeMNIcBHjMBb5twjhAh12ChwkPSA3fE6Ypntwh11gk0xvR2TJCm
bxGiWO3Wo46yiIxv5t8DE2cYSdAy9JKP20q8/CyGwXuY8fiGIywpANg0jd8+W63k19ei6sIZo20L
4RGomtajN8V78/aUrxLKed103gHldB5yn/b2DKaLYNJ4nN8egO0JZ4nfptZaHcyFbcwbWd8WMS7H
t49ZDZPJOuAxgr2CrQYy/EuT2trxLdYMiDc26kFox8hDWJ3Z6UeMzXwEIn+FD2Ey4mf16BqruTSJ
YzUqAVi5G6oLejXzlT3bB3fKPmoxRYImp+oiyo08xECc0k3StWNss05rhtYXC82IvXR4yCoMAhca
hiBsdGxfMisB9bA50GygFrcOXlLAWNZmvpkgnBV8rONLpZsBfTI8PkZPTInTw0HeONlzWurAQPHp
aUXMphgjz48mPjpNwmuOBuM2MT33sIpqOXD1McLGGkcfmGjjRyMvYRoIZ2GJ1EcqFv6QpLG/7U14
+xDKbYuWVteItU574HsnN3bHI9HZ1q2xbITVCAKXzeSJY2fiYWrnho4k4LC8JnidjltFN96arwZJ
WopFKjv3TX7y9l47HjFKecm3HOCZ7y3MaaGFjJj0AJstcAMQyEKLbgzs7oFTt8XBjdrXVvKfyyEL
WfT4gVL2E0sr0r3ouk+urtlhpdFYrVv5VBK5FOZacqNNw5VEPLEzoZqeLemMsFIr+kJAlVz00Mgn
tM7VrAH0W4v1Q26jZ9w5VASY8lzR4z1Zu+wjEuY5AHzgwSDTjQc7JuSqd6cmu6SPN5ylk85HaOp0
7KCAC8hbmc7sOkFfeJPElgO1FnM2qJqun9GFLLnSQ+baXY9rMmmE77StdtZEw4um6vozfN1P+Bfr
YRebc/7qtqa20gTW1rX32f4n/Jldveeuj0l112E18JusY81n1qgFMUdRwMg0uvRIMtT2hVlN/RXT
KVcys7f68qiWVWnPSwyxOwGXW1xEiWdiNOwK4fjtkrfplT06BkY1qIraXTVQPiTSefiuFPsPU5Kf
xg9bXYPGEZGQI3EgeyZ11/c3gsLTjNWC4nuU6YJLf01e05zDxazch6GrTR4rVp2V8qT/+c/lXvVz
PWWB98NyzPhYmvpP9RQTImPxVDMcAb9vmx1r0Ezzz9WEUH1u8tc//2k/zey+/pYMg2BlCQ+Z1U8/
bZ3wTKE3Go7FwgOyVQLEFWhhDJjm6+/1z9X5L67OTPmZD/7x1Tn4UrxML92X728AX7/m2w3A5ubs
MdBFNMA14K3M/1WbJ20uB5JafpMffL0efwOdeb/w6HI78HDK0Tncrg3fFAhwxy2gZLrj2ARSGADO
v2XB/7osvibc/8Ew0dvmcN8NYyGp2Y4gY1oXkM7/Q1hrRk0kVq89Ls6SPKMCq5rAaUzUYjNcUn+W
Xan2TbvcFLWxTn6RUFQxvN7yJ5t9NqYVNae5iueIDE8CI3AnEnilT19mhc2e0z2DcwO4q4jVTeVq
Gp3V4oOldSxFdEL7Kkb0tZh6HIKj5cbNm5hiMcOSnikOvBnSz1WR2fi43IG6UdJZs/woK7szR+g5
JQGHu0ZQChSMrt3R4e/O55Zj0ClNEFaznR1gEtLlNjunOeHuik41brq7youtM1BpHzLZas9pUXL+
QIbcWe1cMfoyYkYglMqN2zfX68wmUc797ejGn/Gb8EtG/KYiMW5Z6/ne8+heLbap0UqvcILG+WsD
dWva6QSiBJXO1cluUJQZrWr27cpPB5h465gzkSFSXaqaQmAwKDKE+wCP+FJEXrVL5uqeTgJZ8hwC
AIwqEp6gF/NHeVEv5YXlNs9RqQx/FWqG1ht/oMA+bVyc3QbzIg/yQ2tT+8m6vp8zbX2fF5RHjZkk
Qe7idx62AIQ0hVEkvYfZjEK00LjhImd7Ce3OsfnWpFGYB7lK/drMNbwEWEHv494rnmouc090HamJ
tsq/ZeSyp4k8o2QEPJro5Wu/NjcIb9ZjZGln2FLal9oS3QOGPDwYKZ1wn/BEOplGc4OW4hi5K01x
W7XXGOe7Zyt3H5w+rQ/1DC1dMMu6cKJchqv0xNFrHTdEDvkInVRrd5Y5PRIWSOumrHtJibKB0b1o
+KTp7eZGbnXzVgHxvipTZq9QgpKZy0nSrmGRVPcmmpTQ7FD0BUZt3vWFQiXmRvDWTcyVEStnl6Vj
GiSYavFezq136FoTzE7cCEGBsNSYkWwwoVC/a4y083Aeg4Aa9lOn2Y90z9Nzq3R0TLFqDHpw7n6Z
AkdARUf/eS9cBrmbIl8/nxYA16c60yFC25layEqxVwLtESNErwu2n0tyiEzi0ypK1QL6DHLYghjJ
MhP3b9vXPxv9X2z0G3DkTzf6tFdd+kn9q379F5P9ofz4o+7s69d/2/Rpb+ps9TCBv3Z9OLi/bfry
F6YUqKF0RqFv+/6/2z6mS1MU+gnlCpozSzoUF7/t+qixTTK1XcSdBsjfv7Xrb9XPj5s+yjfLFIhg
aOia22/+fXW0iCqH8DHrxxxWaxm/gvC/BnByyrYJN27iMtXPeig+LKRnkbOzmf1f1ElbK+13L4Hq
DMwBv7OxScx/eAk1ARmNi7nrWHeLfhVZzwt6lX7Mw6qEb27gulDtxp6Nq51VRJcNUVAHaVhVOBnv
LXoLa8KFjtECWUYEjLlYnci2l0zKNq2qZY87yumAuVSy05tPQCr4R9y+cZRi1sjoBWz/c7EssP7L
Y7/W5IjB3CcEyPbgdShu6nHuXHDFrZbdqiuKZa3rTeJsc5QXZvW0uKTI8EwcZ7BjpQlSw8DWirMU
OOd6a6l+6xrTk8GLzIKmeCc5IezzC+hMt+w8Q4hHbmdoIL0c770wtbCP5QvwOrpTmUAnYfoI3yCa
e8ROJeFQF8GIwYMh6N2sIUlvpy5EN4DhuvnAeaUf0mK4YVh8Tovs40okhcow3DhTcXDWzQSlANFj
AftUzrhX88xdkDhNnyorDmJn6C8qBsk06xq/cXp+2LpPc/M6Lonj/mdz+a+0kqnltsj3Py4j333p
1b/AvMTpT3LWX7/y274i6RmTHMMGwdpFJsI3/XVfcY1fKAjZcb4btnxrJ+u/OJACAIZTfpqMXL6r
JtmN2FKo2BxPZxnShP4b1aTj/u5CYoIaR2+LlBDVF0SoH1d1vFhTUWVxcupLOZzXbsVtm5Ck/hzJ
hYV7VkFWywdT3PVC2y1lXOx0uF9BoYvpmCNdycIIytG+U153z/0Y5YNZeE+pq4pD4mkxdymc8Oc1
onnyJUuV03dJ7BMBqBKeQDZEK+gMayJRwbUL7MzosYPRo3Vpw4g9gvo8q1wgu7jn4o4oBTd+FBXy
gt1odxFN6OzZm6Yn/AARpWDUL4+rGrcZc7HsAUoA67ay4TbG/H4GkxP44cy6IWFTK0afuXd7Zy9t
SsjgitGh0+V4aGrtNo2ajBCOOZuOndnWl+u0gA/tTf3d2nXjeYbQ8SFqFnO/dH1yY2AQbnce02T6
rFXeh0YJtzAVGYm70h4pDKelvI8T294b5txASuevpd6Kc0+kj3WO5jUmmffStRaSSArla61eB/FY
4+voU0vd500mb1AkmbcRdxb6aU5niT0VHb9xQQ8AnE3kMTUfrdBoRjyMS1sEvOYcH52C+V4D0jA0
KYHYmO+QZDRHKJAX0lqMgxiS69hdRxUYGK2LgG6rge8TKmtFz9m6UAAkol1fOQqnBjZh6tcjce3q
0eqXjCFDuopQG43OtxBflTtUPzafhz1crK5xVJn+ntLJDgZ+lzCP1FNUkQNJJO/jki+W7y169aHb
gpFFAlelXNwksHOaDELZAaz8+I6wSBOzj6yLSzcr2ytUNCVvdVEmcteUtXMdD71zk5taFGiJHN+D
iTRul5bEXBur6sWyNl/gI8Rw9ZbVCaM2jcF7Zf0ZoPkdxkJKWtRJF4WTR1izHbwQlRbdClM9x31N
na1kfkocAobOJ0Wb83b24rp96eK4/wC3c3iFsiVunbIhyDFuzfvcIYBOs6vhwu77FtDHWPKWTU3Z
XQ6G/gGb03ClNYYWGpP+xarKD3Ka6p5udtWexgxfRJFi6sVpjmuy7BacHHEyPKzagKh2jIrQaaNi
IHp+GMqjbg12toceVhV+UU3Th4TYv639zg0NCFPbExCTdWK38imHTEvLMK36EfFmvcXk6Il+QWcV
L/IMquN2bIwbTEDv1957Ty9zB7LHCzupl6BI6N0R7gc3osNTwhOjx4bzjrjLhzhqvujGgKE7k0UT
4uKGTVyMo3udoAbdVR4tT2BCxjFmz7njO8Q7afbJVd+m59yupxM8N87v2rEIah3ifjIue69fY7p6
cxdjN27el4i8h7tOLdCR9B7l2RDdjEO1pRvlgGBHkwIdLhs3I++wWGZyyvN1bG+NlSvXcYAcge5s
WLLz3KRRjfi7qYrdTG/0sre5PkmzTk4JgImwbbisOlLT6OeBMbQ6FK6k3IGfk3RsVZ8wQC7QLTkG
uTfRMmLqXKY9zqx0F89F/jzbJqEoHPDnbkroeqUg5kSLGNB6WPmOPFf7NqlLMG1OTiNxAg/hMgrC
PVe2Z1lurgHwW0wy1hZeLsr4Ep/6xDtAK/2hLXT7ZCu3u5x1pT1BgkmG4nzQ8zgoGQ0VuzSuyVzV
zHK/xSos87MRkXlbd0hS5zVaQ5t/dY6huL4UaMlSvDcaHPKWjHA9sAfm/KfcGV12qq69Nb3OfHBt
Fw4OhV4AZxOJztKsyyHSolrCIs/z95hjB2ilcmIgBV+LDeJDkePZ2QJF5x13025vbJeweR2vijVe
XiF1coMcpdwndgxtQqbNcJij/hOpCW3g0AaHnkDielAb+nCKSAv2uUF1F5RHHzhYnP2kCig+awtd
uojqTZfXTJPDRCdVnwzAc0XIeKW/sDa/0BiL+xj3wdHUSv081SWR85WbHQpJ7FmyEqnQuPpOcMCG
lSS3SJCgfjS6Sj/pixQ0ovPk5EzWHNLv1eFiT3SC644on0Y38MkK75xwSsgURgFyal18SQ14mBoP
IFvUpRsFdUCKTq8Y8SF77wSNN+CO0GJfEuVKuyFvA302/z97Z7Ict5Jl218pe3NcQ+cOYFCT6BuS
QQY7UROYJIroG4ej//paocr7SqJUUmaNM81uWlrqKhCBxuHnnL3Xvm2sCl7LSCC14BG9jusouWGA
4COixouMACFAs5VYh6lVyEc7dRyLQq1NGhuQ65uReNl6WKd5XpN8zk527tx438zBZ8SSoLJF84r6
rFt32fC5KOg9m9ZkQaThdWM18d5vdLTrhtxZFaF/Q7r5Ga2Wc+MUxFgzfhJ3g5uQdWzom2hKz52p
jbshTm9HzushHIXN05jfRB6Zp6PM6HyMSSSw4vdabgQwjBVkU0oA0XftsnHH6dEFyXdJGRrcs+rA
LR5myuWORGQzqtY2b04IZsno1AuGGhO7f3eo6MOD2JpNhqlBPd9T3ATGh0Hb44Q1xEO4nQjmuOC4
S5ySgLby3F17rWVNQI2Se+FBn1rN/cxWRme5e9NnVsNtJSzmhVB6GUeBdvo6gcQhI7ab1ckmeCNe
0TSfn526G5/BnTCYbCHvABrRWzUZA2nphTfKpTVl/cFESMzSnzMcH/u43U0EtK6tghUT5pP8NKV+
uqJOBHIFSYjWte0VZx/V2KEw8Yg7jlgjZRjwNNKgQoBobHU7iFs9+QpmnrI2zgUyuSgQrcFCdjhB
tIfGTWxG0ZM7hZgy04L+fJ0xjUBo6u6SZoYKY84o8wfyiIYFb7d5gJ9VO5AAaPOtW9Rxl9HO1DGY
5M1lboTm3bZAkgsRXHsd6vYMyO0EBQ7+tK/7bm/GU3cEWmPsDaUkGz9E9dnCxNN8soSBhbdqZ5Vg
vyQPGjzCjMfd6eQqI2vrRYuU5s2YmilqmEad0wA9HFXSBJ4IlTR4MeJHGt+Uu5mcOoiO2YiU0EQY
yQismdpn3HzBCuka3sbUL6h1uPgfZidxN0S6bJ02pOmV4AqmA8lUnL+PLRHqQ48+2KDtZiQ6WoOe
Km7cSaaXwg2ezrIg2WLvJq75HIb0OSM0SFDMOsfPNvXk0rLTDGIIlUFKweI9rx1O0rEKrM/uhdw8
occoaBJ2oaLBZ8JCD5qMXK4W4CNdUmEv21aCJXRlXJxKpcn5kZhy1tAhrmsx1BvgOu3VQAjyXsZ+
fQFE++JO59SIa6hbxKSXuHADLtoBKJOCK4Hv5nWERv8xYM/9iPLDO4ZuDOM8mXrIoiZbsxXjpSi4
ZsTuLO3J+4CAQT9PIUJbGQl3kxtztLRHYe4bQtdAE6SpfHGY+g1L7dfNLnE81oHcDq5JSJy+2mjM
l62CWMl6mjDGMqw1Ej/5oe+Bky4zDKrhxiA0C3eIOZNt3RbNZipb59xZlbNGlAxwefIyGK1JsA3G
oluLse+Ps9cPMD0u5EMPtnBaDiPTVYg9hJ/HnyY1YJCDwIBSG9nqBYBXN2sFchvEDpBhJ2zV2pAx
GD10Fq92aY9XtU7mG7ST9X09IJRZsp6nb1Vr6YegNPMPEeDRS25bGhzgn5MaS6zHwaxDtfG4X4+m
iuQdwccDAYR1tbdnkwOgNFlYnluvp9Kz2Pubco1rpyOavI3x9+VFuRlkLbZpbpR7xI/jog7y4QEj
krMxIIC3tUpPSdTEizQt+pvU8+wji0S/4gHkYfF60Bw9K5+TNQm8IgXJtkjlenKBsSyzHn5rVWie
dbhFR5Sa4RpbvWID1eZf4kwSf03bfFgnqpNvuPuGV0nCu48IOhivYbiODj1Mt9r8u/7/p+p/7KW/
rf/vKzLv/2P1KXtHW8bdcvmL/yj/A8nsh/gwwsiQfxG89T/lv2W6f9FRJw6WwBx6BILK++/yX/zF
/InWAK02qMsQlf/uKrr2X64vbByUBNFKE0bzv1L9o4H8sadnInQDDgfjgR6EbYpvBtPvZJgBK0gb
hso4MsHq78hSK9az25BjCFp97dWM+825t89OLvutX7EiWv0UIP+hVouA08IMlsXRwV2+tFTr77LE
7AWmLoAr6MlBPsgyXmdtdGY2s3MzZgmhy5uYpPOnoctuBxsgG5YcYJrMowFepRCTtBvwUmOvzu6Z
+E/l5vZ9W9Legx3qLWcnYkkfev0AEi9eaK91V1PXYLg3OvIgnUdQLW9OzVTDC7u7CafpOa3khTUj
XMwAaVecafd14Ed9dUSEAdV/VEW2JTIkgaFaUjYO0iPSZySpJZ3bg9uwr2x15yzJkJjlKuJ03jTS
sEcIVSB9erJUioU3Knr9VLTTbjYbc23WAA7xvYkrs4GLn9vnGgMzPcXAIlvGOpIlW5A/zl6a4h/p
TZyhKlVkFbRmjU40QKvgkzi9UARHLkihXhIkzuJNbXGcW7i7njBI/2EtB7EPobNz4UKPdgTQcixp
Ii+FHnG35PO9orxcDVP8RFaP/TgUQmLGoFYuCf9ZxFoFK3O65M3VzWSba2IfcDUtIeNY5rEn/2i+
Lwnxybp1MlS+gUNhtNhx0Ww3Zto5OsWfVVZ6XpoCozM4wBYaABj+6ayY298EUUBKOzsarHtoktSw
LZCr7GxPjFtYUSUCFwuQDnq89mygaWmxhBmslcDstIOzN0L1y+sCXKMFbHJtZDMz+bYPipyEBTe7
McDB1saK3NMxmrcog2jQXFdpnhhxDrgJBbJY8EGa4WcN7HMuD15YtrJ5qexQnJu5HpJsAVggIbFn
0bRVkw53YZsVW1R0vheRgDGD39wEJMETfeGCfmzPAWXwJB+hhGnz3ugn6Udrgt1yqk07QkNM5DD8
lpHQkgzohTleky8/1WrDHLQEZU7f7Lny6/GON96MBS4tlb1hq48JLzOikcaRCMKl0Wmw/LzkDZKC
RZKtbMwD06Jlxb/OLJMgCxxHr2KOFNWjssNzmccGEihPKCxxvFKfQlFmxY2RYmpZFvUEhawfZM92
APEZfpe4KhcWNq/DlFoxStLcwNXgOdESgeJ03yDkp3MH2O85I1wlWwglnY8qdu0VLoTopGCNn6RK
/HXb1wjXMDkNW76ASZARwjSAJ6hZSrKDEuQ9t1I35VMwqrGDxGWBbyMPSZOyCoJzz3Y83OMID/d+
7RnExmu6LuwqgFhboEVxdFqlxyWfYSmlwmmnhUWPihx33Z673itvEU9HW08BZrR6cQrSPgKlUY9H
OM22WJCLML/8+4X4z74Qfztu++8X4vJTU+XJj+SjyyuRv/p3R9z/i9YA7WtCMC8ZA/8zaPOdvxxB
cIVEqsfr8PInf6srxF+XtxOhb4zgXFQWvEapn9r4P/+fc/E5+MCSBG2FS4fd/VfeiCL4adDGJp5J
G053vgcTxneDti6xs5JoyGo3EkU7wGFH8w+YiN1sDL5oI0sb41kZpf5dgJmG+T7zgZtBApolyIVh
XON0+HbCxHmWOp5uKyJx7ymNw4+Ba5GHTow3KTfDLHZIDvD2XF7Qx4TE3xVE9mpcDlCXgO4bY6rh
IKI2ufJzI77JrIqlDxWcc6BezdVaQVuB5Afs3oKvLeORejeFiVnQAUS8OrmbzNDuKSbL+DaLkWDQ
bugNrPqGgxmZdE2YYqKkYeng4dz3I9OvvprktW00Yb1s7dDZd1gYD8PsO/tgTMwSHqfqX8yCL7VS
Rdh+5ShEjTUu4tNl2JUa8WpNZcAH59M6QF+xH0MKmiXkHUIKqMrEjgiewCMVDcFBwgXfCaS6t7Kk
37W2kHq8zlIohRR80M81CdV8Lt/s2a2FfiYIKDsHGZnyIZnCp6ELy4da+9Wp1U0/oSEZI7Fy6bTC
Eow9RFx5kVshBB9S03AC1/4dVi1y2GXNiUT1yVvTdChCF6RfegBH5/qjFfn+bZhXRFONc2NaK0jU
brlij19tPJ9upZi9PW/7+gQGMLgVOqaRDlNN7DTnb0OSWUA3OVHbOY6Hq5gp32YENlFA8C+re8tS
/p3hcrekGT3AYPLFrrAi+K5hYz2EFcroBJg0wvwEwyQUj1PWqN64n91ioh+VWgdXw7pRedbhryZu
XRNoWMAq7yxnQwy5+jzMhXohn81+rk0aolCFlZBL8Ob61TIKNBgERV9IXlNwN2IYJo/LDe5tYJN3
MPjYLwRjA4kV0f1Huoga5mxOeueqBUP9CboszSltBVd17XjRBqUkAo4RhNcu9FAP77uO1+I2CTvj
yibAmrqKnseaeYXP1FY7QdrusVAKoKADTV06aSK7ip0xuK3J/HQWViPlI0k57nWsDZP2p5O7YAR9
mjUzqDyrmZ1thOyCyY8Bi6hGXsuJaHYTUnz/RTFhwPoTsE+Ka+mEXJ9LD4BxV6eG9cWKtIkaa7Zx
/VSN0R5aWXfEgyk1Jc+MuoL2IPjPJUfCNj8QNWTcT0Oj0a6H116ByzDpW/0cq+IGpWp0hdKAINlU
GCkxqraDsNQ4RIXpESNh5+ajcMxkk8wTY+y5neEEozgyUWotWgdMJl6j4SlpUZQYQVxd6zRWa12z
Se2smNzw2iazPUWtiXkxHp4kQlG54/E2QFs74bZq2OLAR3LQL5s+QysGLDRRsxGPf2tr1E4l32EH
ZYyXbd/Z3QrE0ng0yOrYk1UGzjooz9XsX7WpRjvQW3oZ+NV4GBKQjx6blrXbQmpW1bgdDNdgh8FK
Q/zWUmF+HH0r3ZJeay2muvVu9DTet7OOVuQZbP02FU+IbhkHdF23mOmDngbfPCMmsBd9M3PZILKs
okvgZp/DHvRrGW3CEv1qKsqjCRLuazp5N/QUwhfVZMNuHFR+X9KcPqU9Y5Ipu2wcct3fwtBwNqrC
Mz8k8bR15XyTKH8CQmG2yzgmYHCywOCPBn8LclRGO6epakRU80sFRvTC8j2xk7tuh4wtuo06LnOq
BqBX2WxSaZjXTRMOJ6kvWgBdfQ5YbQk8s/x1Ek7hpqIzh5JOaNpYttrNVZUsGXsYh7RIrOOUMx7o
vOhjldh6FVlxAhZoKld2QF84Z4MJFUMNO7OI2seUtDFujMHYRs341jUy305xOq3bZrAeessOP4I5
p209hrG7l6lb0G0Hk7LvZDVkO6dwxbFUCPKCAEPMoo4qspO7zD34TDeXo2F4d10dk0Aw82r6xrxr
qe64K+Ts0YlRbL77bE7Sta+Sy65WhU8BBmtaXkW45t0b30D/VZ9B8ldklrH9/lBDMdhYHRmHYWL7
m0K3wbaa+/qlHkLzOWgig+1gVxKwWs4gaezqSF+n2RVO4d85/MG1lqNx0n705EWqMJdWoLoNwSjy
prFDC3MH9nDrIMY0ugqywg+QTgm1zNuElJ7MJgx6gYtmXhEYOiEGditIGRZtazp5i7mIGWsYdZls
IaX6W4+kNdCcOG+aOurYBnbGU1ub+pk7jnoo6Yb6aDrNWYZpdTfOrXnjpFm58lvOdJdzG7jDxhxt
zYAsdne2TaO0165BRI2XfnW0W3ztigYZeuwAc+jbEC1G48rpUNLWpVBEGgbxLbEeq7jrz0w4/NfR
75AoBsq/UqH90QgYHyZl9EHaWFuMqTSX2hWPpSuMa56pbGk7zIp6i3VunlT4GDUuiXTpx1B24OGV
2M4VlTMDHnweyfRhoihftcg9V57XfFJFni16x9xn8ZitG8uuv0ahh8cYdsMKgWq6622qNrDnk0ue
S2jd5rSCEacM2V1pSaI/25Isw6ZbI1ckjdMm77pdDnEzMFtkjMFYoA3XYB5fuzR+gH7AVor9RTI7
1mJw+pwQv3ReCZzDDGsviysNt8tmBmx16zaY0XjLrWOcJZ+AODwYtqxWzqDMj7GNkpTIb+9rYzXs
7q23kHGvD7BiGRjeS5lbuNBEm2zHzPQOAYGDVzWUl4XnqJcqmnG7BN0Br0rI2lnXa2iT2cqPemeX
jhMki77eiwk3cyqtx4TxOIkYKlyUibRwC+hga0NuX9Zmum36vD5U7Xjvkq22AQGLZbMXyy5O59eW
/eeydbrqPvRH9Jh65lyHBQNAnAw9/c+KGrYEDzJ2FQNxw/8CZe6DheDyxVTCOTnkEpBcIO6U1XJf
iS+FXZD6M3d6XROwfqzLvmLmYH/1imHJvuBV+xmQ3I6vxLBKDzu/DoEPu7VLHzDGdubLeMuOxTtb
xsR0MB/SDZPC8WSXXnjbhNWh4aLDEt4mMVkgE7FDwqu5RS0/Wk3xaK8aK7VunDp9HLNanonY67aU
xQwSPLKlzl18GT8zZvB6mqESFqbLK/2KCbNcAap4atNke9lsAgo+0SaNkF4ER7uuIGVHOwUYdBEb
5ikc9OmSCprHrcZ2BUmmLj42ObOjWY8Pg+5ua6s9wZG5ZrdGLtVltJa3gC+nqcvYA3YRaZo85sJH
zLwSTiIAMBBVdlUif7uShSqXDOoZbng4YgzA8rfM9LLjvwu/f6bwu6RqUyT970qoDVb05PXT93r6
f/ydf1R8vvkXH0H9BrbvW/GGPv9vDZSH0Ine58VajqX8W6vz75oPL7oJNBd9gOmYNu6Q/1/zAQKk
0kOsSY2GrxNr0L9S81E7/qhrlDjQHdcSArU5qqtLRfhdDzSCYzBDue94HjsSC8meZcvu2nFw5XZO
wDhKNOVVJruEUiDGY/Xdubr9GQ72Tn8FleViG7Y4P3SjYB5evt13R1cqmomnGdvt0Nn92psKubYS
OyfcOCl2/4dDoaNCO0ZTGpPNj4dqHDZ8ViHaLcruZJvbzAmRZNRrZDDq//CrOJXBN3EZnuh3qrLZ
YjVBq0mY6DiyYDuzWjFUy5YtMQT73/+qCzztO2XstxPo8Jtc0+GmoLf2468CdNhlueAEBgk6qH6y
AcIwIRl7erVlSA+6QuiPYz9jcWfT8PuDcw/+4uCXfgV3MUXLu9/Zkiod0m1ut8Q/yQXFdrwuLVdd
/f4oP98jNOktoqvQCtoOBpQff6KOfEf3Kuy2TUDYCPdmqQEgjMrr16ykUFt/f7h3OEPOqKDCwBCF
i4Xb5JsD/btbUqjedmLi+rY4/1qAO81Xz7Hf/Ig3mpUXRzZN/wAW/K+EvJ9PIzRnGxYFsxJ6Q/Jd
0yWMsQv6TtVtkdMzyoMuw8UKqvXvf9flNP14p3AUJJOBT+AJrZLLaf7ud5FbiopaZd3WSfqJ9qZx
he3qRF8cS7jJiPn3R/vVWfz+aO8umnTNSEUi77Z+P1iLkO1r1DO1r2nPYhu+BPll2effH9K+gBDf
/0LKWSnQjAbckO+WsokxoT8MPHZWLN2TW7n5U2R22Eyo+XYEt+O/UWcPmjBtBFe/ytb0D7Vwdl3U
VNu+C/o1Dexh0Qxe/WUcHWM/SaYxNuPX+5naLkfGRU2l5j8sTNYvrr9Dzw3qgiD286c7ztdYkauW
xygZ6OsvXGPISPQeRb82DAfXjSZ2ofargRCvrF7bJDR/NGdvxCrq1zdAyB1G+RGqBJ8O9u9Pqfjl
V7tEpvCEC/65/Pl3N00aoA+cRd4CQozXdhiLFQTRcal82a61ivTjmDjp0hwk0UUVacSHsUybK+hv
fYYHiYlXb5bgfXS6UGzzFw4oslVYokIq7WhCf243N7acjf2M73SlMCuvBo90K4WT+amDQ/bU9j5K
V5BmqGkMb0NBnbC7b3xU3+OhzdhQY39GPh6KYDHm4hi72WOHi/EmI5yJlNQ529CTTDBJt6cq8OYd
2WczQnqcvSOJEleoPMxng1bTNi0zAwvN9JZNzrn1SV0LvIggahm3Jz653Pz+1P78gPhCsDHgqXcD
yTD8xzM76ggFGjr3bYIu0Mi6GHKpubeS8aGbw0uCVmH9y48kRxSX5jL94st68+MRA4KKkKkQ/teE
4d7S7hrG9xeCX64aB2QfMKoPv/+FP6/bYPRZbRhlBAFbn3fLmo6CvuTatNt0ymvI2e6wj6oBSoxN
ktfvD/XzbYoyz0a0Dr7TvDTJf/xpUYd3bICPuw38XhwrQ1n7CqXJH07gL4/CFJttCvg6zuGPRylA
9hT0TXjdyYbgSZLBjB3IPP/29z/G+nkd49f4mBxp9VswV94dJwO/Z0lkddtxtChfCEHayLEAF6yR
f6Lz9thScONj5wWt6T9DN9tWbpb8aVly+Dk/Lqc+gcaMFYhUQL/vvrt+SjHxTnpPb12ihYE3BPkG
vmC7ISYv8QEOzO6e3G7Esmb19VsRlrXpsI2E2V8X8+wc4FiGf7gC9i+/E8RbvJ9IABh6/HgJItcw
jDB29LaMunJvNmIdmB0subJVN6GuO7KDu/olB7C3zJUxnbo6mZYSj/oq8EumDCWhodbY32Q+I4N5
+Egaj72kBVTfTyUisLpNaMsTbXoop/zGMNs/bS5+/QMCYEgoi8B8O5dr/92CGlpNgNZ74KTG0zlq
GFx3gxs9xqxiy1p5KaIvy1wWnmx5YzXFAVzjJ4S1D7qRwb6rQ5I1/aZnBEiUTDV71YPvzl+J0S0P
jg9TAQreBPckNXhXtPmG7kH9h1fCZXb1823x3S94d3ciSOULVxM2WCONDuEclIdWjOUqvRgOkoZF
vsMYm6bm3iFnkXgZMsx+/4A4v7wLcI9jBfZti/iXH08iccXuMIlOb1MjbonayX3xmW3VredquhWB
+Vrl/fjs2Vb8BSJ02/XRMq1srKQO3YyefD/b1OR6SZdMGkiYTIPsriZ1zzS3WHBTBP2R9XUqLYul
0rv3oHUIM4UDawTPEPqbHcNW88oQpOLRAf0E+uVeThwocr8legRa/OGc/7x1u1heSCJhh8DY8D0c
AF+1l4WwaQjrzZ/LcOv1ab4yZoY9zAecP+wTf7FsS/bAVJ7octgrvqsodJ5JeAqW3mJlewvAafPW
xpnrQjL9w5Eun/RugeFIFxi664I9eL+xV2HU1R7N5O3URA+Z5UTPKWnO4MImqgkxZUAFTWkgu5VW
/Idb6BdvX4l/CI69w4uJjfePdxDaCnQDqQkkzZteYHmj71Vn0w3fcq/9TMkrV7+/Zb/tPX/6rQJR
k2VTcON8+vGAQW/oMUm4ZSnDy3PnsO+ZiFycSjrwTj9/hWH5UCX5uIqmms2Ni4GAhMxmZbJb+f1X
+eXNJGA+gPgCnP/+tZx0bS9iUmC3JDy3K7P2cNIAIUYzWkVLEadvvz/cL16aklkyl9mi9qbI//GH
yyDNLsIQLvLUAN2pmUrOnR//oUb85fm16GRwJ3F6Xf/dkpBqK6ost9ZbauQGi8EYr/oyDaAn+cZ+
gCe9jGCmrgzsQeuBJHRcJVa+Zih8nGf5pzXy56LclxZVIUU5yQvi/fM6TJ2geZrxZXrIJtDLgUY2
M6aNKUK8bhnLWhflNvbaiwK0M//wWL0HrlPB+qyLkpPNvh1z27t7rY16HOul2WwnyyUY2MPbDRUp
ak8afQ3sb1lJuaw6PoDmOwgnpiIqFyvIgUhSCT9C7jkY03Ddxw4AF7ttO+u/56i/vzN+sdAAjZKS
NQb7nffeexcbxJSJUqotwXq44Vwgqy6SLAxqIvnDKfnFoZASuF5ggm70OTs/3oSEyOpaNZ7atnNY
vLnOxMwbOxVDE2nq13/5Z7EHFQAyLi21n1a1GmpVW/uu2uJhaO4CYUnsal54TJv20++P9ItFjCPR
FmGLCFf/fafCnsMorTqOhHUqWoWQMO4RH9lr3m5Ih8YCs3AVT39YPn55Kqmv8W1KC/Hmu+c5isyy
DWKhtmirYJuJEYVeSpR7Y9r6D4cKxC9e9Ow0TECZoDJBh727k/3MrbpotrhF3MZUGzlNLQkPsTsw
YSlC7F+y0fZKsifPl8rpB2ND5Ujk3zx6TnHHpIGHK3HoMe5xR+ZPOAQBCNMcJxYdZC15zOA340/V
wOApQ42uoZ/lAJF0iUmQoDh6REtPoqQjRkcM1mYgiWI6CtLhtwla/XlduQ1jiCiLrQfZ2eDEcxeL
yCa1ilGunaCObRyBVlJ8lSnNkmhRU8HExzEmRp6Yy6yJH3VeWdM+Ly+uAKjchbs2zNo6FIRj4ovo
sl7fCBKsSbFH7B/eSQ1Nm8hs2Jwgjxty61A/BgzvSpDQ0bXvlcJbMSGv0k0nGCH3BpyNQ1Ma1c5q
MvJRMJLaDSmqyVOhUSIB0CVYYc8QO4Lp1hGPupmyZIrWqObK5irtKSfhDQY1zmythyBbjb2YxlXV
A3o/FgaEXPoORW2v6kJcNlcJoWqfPHjCID7DdlzOvls19/hSDI/MLp1OtwRc9vdl4jbtejLw4Z3N
CmPruiNiqtuziR03yh+DBCtZRJQAlFPiWLVOg23JpLda5wwxW4hgNsI8pYX/iIaAiW9eEDqr3RgL
aFrXaEv87o4+7wZHT/0c1nb+IUcHcG5LSewC+Wc7Y0rztaOCU4dbFrsCYhWvPIceTVQ3Rj0K7Hxr
u9mwyhjHbqKuPzj9NCwRTHxKMTsuRGfjmUzRnSMUenUdY2DmNjHRdxtvK/VgYmVIJMmqM7PvgfF9
CsTlyOxq/Oy1QIpdzHmL0us/zUqKXe9cAsJGRrtJ/kQG0FoaUt2KoGjWllkm2DyJhSYZ3Tr6RR5f
k1iQb6kWEkyy4dM4O2IrDOsuSQhdgZMQ7sPAxWucZh2bCjAjOW+JldZkC6Nh3auW8SkaDcF/ZRc1
D9wntzlkIwOx2czUemwbNKZxiDjAy8hNJtYSqgjqIN89QxEf19bgkzI8N/Nygh6yCm3MkTNb13MY
5fVHQG7mVYkMCf2FkivMe82bNBhTGQgmVz4Na+bUldgzAyPpDTHwHtGIvddYx8Dq9Ae4JJtE1Bbe
mulDAa/8Q5mEO0+490k3fYAZD1TBDGjUdeGHQpJ2yxNY+Pu+88pNbyiY+MJ4gJ4bHnToJCvmdj60
PtfgOihkFGkwr2LqhnPSGP2tihr/rDuAC4Ojr9op9Bb5COZ+MsqvWiFX85022SW6IBKi8Ps3V7dI
rZNhpsOVMRpmWNdVqiQZCaSC2QCjr5KgfUB/G88Lm5vnubBNh/RxRR3By5RFIo264QX7cHajBu6y
dAKL6GfW3uyiiYCAttpIa/aP/I9qPfJArEP0TpO+8qchGvTLFGMTUovJDt0hW83abl4QEW3MNCKe
wbD5zlvPsKsvREljd3ayHCFM4TfMwPF8eYwvMS+RFuv5TbRAsSGMA+1ZU9OkVfDwCe91F21W4qL2
i/7hm4TOzlMy2ooyS/ZDyrBcEERxYw3IICCxDnjQkMwc4kSbn6UZsp+kv1uvvdnMjzUv2S8tqgcJ
7C5imDqIxAGTpOW922fhW0Bzv1uyCwCu/Y2lOk/++MicqXhr6gY06FRo6yPJAM2KEg2JK+b8F6IK
hhVk/mnbsmN58CeXHF3N50xGDla/tdVhRiGzTMbS3ROro5/pwl14RzqewQJ13AlwANWHmMCRL6pG
UJ6NhvrgKTvZpVCN872DGGOTgCN/BlBMXIpXDcNKhgLBWYfJL8ePZQisxFAlIynFMmXDtYfQn608
WshrqlKcoBl1U7ErahwyizaJ+icVDpdMCKQR/iKILry1ynRhPBaMBvd1GeeXe9AYDlGQxvdmgYq7
8pqOVBNOp/EErY6f6F0ir44Rgb47wp77p94eu+E6CsPolPgKvKIJ4LOCaHrlxi6f6tTJ1jUTed+3
tkC7PnnqIOs4PmFIQ/PHYHJN40ycooZHdV1W+BpnYlk3QzW6xZboreiE0bL3kPPH4sRDpHiouLo0
4dUhg0Z98sCBfm76qLlzZ6R8OuF8J2k2bWdo+ls/5qQahDEeCdhWd7Vo6s/iUmEuSznXPXHDzNA5
s8lOjAUfa5AYZTWuOtSga6/mXtef26luPvRM6wEqeepLRXa8wvQZc1qh4IeHiG7Etgta/RoMWpzc
WSGl7qsgOo2Qr2v2u8QbvhKq4fp4luzBwYfrDFY4XWG5sOvVEMANMYD7KjQ3MQGbfteFsCUr03qo
LTLgE0FSeC3j6EaKrvooIziwLc7eGF/dHFrIENhEig6eZNT66jA1ZriKSDA5NgU/ngzU8dE3UtbF
KEx2zgVdW5tGdOpAQ81AhQU78BIc28l1VL5vskskBmq+jCCwDFZqXLT8C/Ap/UUUDXm7SucavAuW
4Jo2VondbaJpDQFBv3qRK5ZhOOV7q2kvd3lH2h8zF1vcJyRbPwGKQU2ElwGGqkBQ6rdN/cnBqH5v
oJbMyesa4tMki5IITEDkH3Iyum99qbsnsx6zc3K53KiB/CuBhPSs3J4DZca0CTwPaQmbjPjkas6a
n6L9NSNjejNnhFnG6ArcJ40fnsnccPfKjOGcOgOfWM0ZckhzfIT2oV/ngWyRwwy8PF7jhJjePPRL
JfJashYX9Fuwh5XSGMqlNCqYxm46FwZhaDI8uzEl16LGNzjti76XMb+dO2k2VMPSK13uNNas+JRn
aYUlwJqrW8NJaeL2U861NrVPHrp0AIAsA92+4fagZurNIl2qYlBvRpVaT25EJkA/aOsrYGQCoXj0
FIaJfH6r7LRulmid0ds1qei+2j7xOVwzJD1GXXNaJG9yvTUHrLgLKEvWw2znxjloTVYzT/Zfx9pX
d21Y0vhXdn3TEuP8MqahurNaPzrhFU+2bQA9NdG+s2cdu2Qa4J3al+R4PivEVOYdchvNGl8ROb6v
iG15Y0ftXVMTh5u6C5uL5Nn26Jui32Eg7PgfZ+23N2GBg6DPMZm7suDS8Nq8cqDlElTpRcmtdJH2
EoCmH5saGMaFS9lGFf+Xrut6Ffa181kEkdi4NaEptYscynZG6BG9I7cW52vBRNNdZZCqMDg7xXS2
igZJdk7VcAl3fbLzyCWPuroHFH/dE2rKLJIw9rBtmtVAptONov9jdnGPwrBuOGwmT+ZAKAqBP6wb
2Jag6SbG9QhK+1SS63wvQ7u6SLa7iEUX1zkZ3i3p31hARdIe+mnKVwnP5rUZDc1VGXklTF6YSWz1
2QIGjP9ooX4KCOjcZ145nrOqd1574kVVYlosacQDzo4m1VpaQHRb9ziOqfvMftvE/zQimBwuc6aK
TFg6y3sFOYBpWcyGtE+r6ZnE8ehslvGw8cZ6J6tcrYLBIB4jAVztD/Mn+n/FS1ZAseOdw0myDTdi
oafCWXoIlmNsWJneZ//F3pksx42kW/pV2nrdKMPkGBZ3E/PEIBmcRG5gkihhBhyjA3j6/pyZ1V2V
ZveW1b4WqU1KZJARAH4//znfMUxnNUZ4i/LShTE7DCy+rEFumFDVAyByc+9kWfc0NIbHrS6Mb0PH
NxlE5D8MdISsEKYhKtFH+j1MQ++V5qfikKb+K4llesSBUDEHMsqtSk2Mq1OV3KUBwg2mzyOpKOtH
YkZqNwaGue8h0m6CdHA2auRi7CT5JZUjFcbz7J0ZLty3zBX7Skz1jsuJG3CdcTqNPdB0ISnn32M+
2G+TdK1rWIY6YVa6zxL8zHpiht0J7l3nMuqKV0v4/iPYi24nxm4iyMpcSGqppfZwmuSvhVWTvZZx
n16bjI9BCsMlhahYgYmQEv8xDlIMjYTcaaqiZmsBGDj4HgO9G2ffKfSFzQxIrM+bIlsJ14BamE2P
i2m/9YSydlyKOwIPxNLZsTGQ+cMVC2r0Qi8LY4Y77nJugTBhgj69BWa7bPLSCc7dDLEwMpNtIjDK
kWET9wBT6nqdqBA8CRmh4zzX452Hm7piRjNyLjivOsl4ymijchJY8RmVYau2JXOxKoyMy4gd2ngX
Rn32rbRdby8sBHikNUBFxIGRNIbUmB7CyGkuM2K2JnWP5LyGNsuhz6TmTfigJDN/OkQEjMegy+8o
dajPXQULrHPrguWo6mGtdz19EES7ybkdrMkIv4XsTDnnEIEhylUmYlk31BbrUsEE2vfYW99oSmqP
te3/sBbvV9TWzQcTa/FRdHThZbDCXvyCUjHcsPG294fycfaYWIq5tVh6h/2yjnH7Qis3Jzya5Zie
DKdW7mb0zc4/+Lll8YxxvfreULGuyZoJCSDfEHCwgwxv3lAU3IRqS2QfZZlVj3YTlI9eio68SgEd
7bNE9Z9FZ5s/Koznn01kkla3Db5ggwvgJNqsfgKHG6hvLRMP71vKIYeWmYKnhOE5x0IGPFHCSb7z
tEQ7WwqLgp4YQfJY4wl+Zj7mZJqXiXuKc1gVJeHZz27oEBG6eSh/56QfSAMsffRhdpn1A34UT/ra
pRCqa6bow87pd167UUoMQS5R92kIiQPaXkZSI0suqqeimbgxdMmkIxlxP9Y7N1QoGnR38PFI7IEB
hzRb/ZR4A6VgEHuiD3JF/JtQTkULOCHMiYlUJh+jypn7fDN2vMptRioJkB4uLZ9DDNgAKJJu1Z3T
RUAj6sxqtJK1whgZ7xhe+cqLEdB05Srkx03ihrOxN2Y9AsCW4kfiMBVessQkPeK1JUMrfCreJWPh
UbcupiH6GNsRo308pJreH4vytz0MfNehcSg6Va4TfvzxyxSjEQ8rh/UkfPDOxJnmWzi6V5wn6r0T
CpISDdWKhEi0KEASq3oS+MeqfZFmyD04C1IOmPlEt7iFCnSPeXiydr1YxHkm8fgkFI4K3kL2rWul
EUlcxwI9pJVmnp07XAzjHiaLn9yFYz/+HgG2cCnZQiZ3nmElz/k82vtqoDCutEL/MffDBlc9lJVn
sO3dDGzPpWvPHfihD/ZIbA+p3eVVp1XEmwexpjLY/9WiWPOecO2i/SfzBl2G3+Jo9Pz9pbK7z5TT
C/QaxUQ8d2P3K6WLsNiHQ0tH2RCC6KQ5LKUDvQDowLzL27kcKvQ/kg3kSciC9kx0InFldjS9FhGl
ZbcCCKRJRcul7nLg5iHM82tdDqZueKf4osQhTT3tfTI6JsW5jJCFX9k9KSw7ebEymu2bojZP7KTb
gyoHmg/iYIKdnaevy5KoF9LN4x9rsP+gPv8F6tMiVM0+47/3oO5/1ZD4UI//6Ik5fv7X//7z3/x/
D6omJpO0N21qj/6Jwyf+5uEH49LG46NheGjjf/egov2SdfjKGZqEE30XrykWJZ1E/Lcsp7Ql/dPm
jyMP5D6+mImEjHrtaZH5H7bgoV3T1VcHxcEJ4neFU3/Vd9yHWBJ+qwzvqR2NQ6V1n6C0vjHSWLvB
n3ew4k/gsIItU719dAhCHDutIFWWEsdQq0rtbEKH0UoTMen29xzhgqy1DlVrRcrQ2hQrZfNmfOlV
WrlyCnQ1GaTpLjKqaTvE/g1GdPCgyMPnAXnzSqWKrzboI2NDWMmw7c2s1TJErXUzlvdzR9IW3FG/
ypDWsHcvj6KLxKb2lQ8uRw3PdhrSdKRVORJzKJoIdUordl0fv3luSam8VvN8rev1WuHLtNZnatXP
Ijy8hTXTPDDKb12kwQGJcNBa4axVwxL5EOANRni0b0pg0RZTrTLmWm90tPIoi4YRQauRrdYllVYo
lYtKUiBa9lq9JDQYcdBE0WSo+W4zQWqZ7sSTglK9FKEy00ro0lck5BBHlVZJS+TSHtkUleU+0jrq
YDTTQTpocpNfW7dQ6629Vl7x5ezKUD2CfS5vOa4XyFYBlLWMjTbe9qG4a6UTq60djNxlyCx8Gzgx
PrKod49OZ/Rrx6kYg2U8tk8NqLsnwPLi7OYzzzSjFC2EMq/hriPTK8lc9S0KuV1iVA1fp9LJobHU
A8JNjeqVEJzfEvLgjINf4NFXivtc4TBIFPYoDr0TyHc/zXhCZf5YvFZ5RetMgdJv2gUdjNXXE98q
EMhjU7YXxKJgA6bE4pcX2oPFeRP9oLNlBac7IqWw1GZ1otaXKbUJKh9cDx2sEFZqipzhsxIPYuGx
s5Wfffg288VmiuJqy84oev1qdQ2cqNxOZUp0Mq/JKJCxPbv6CcC4m31IGfFECC2fR1aaL9auzIxp
2yM0PsxipHeFrslqNcTAvLq04/1TZXtwesV2XWD/3LRNQJO16RSvMzLXj3bwnaNBgyxUILDCBwyR
/J1knB74BRprhGkq/+jOIZpVC0x+PV8Sz8Q8bMwqnh/smI+mAIeXH0Q38sM3czzfYM7wGjVM6oZ/
nAmzFl6+dmbeBxkUfEFQ4OT/6CqraKIs583Ul/I94frbp9A/tQWSEy95145UYNIXr9IiPgqPhwci
9WXwGx35S0ycJ6OhlvdfryzDnRvsxsHiyxe27T/GS4JEIFqioE6UBI/upKUxoy9/A1IErwmx8LnL
XEWTGTV+pOX4wb8Oquxw+xcf8thvqv8y+yhGbiIbbLrz1gw77ILKzT6+Pmng3vluC3a3YWXNnFfS
SYV0oYWEACXd8iuGMzROBJZXxjX7TVV6j9GXrv/YAoU71nk03Sxmuk3bciqx48F3DxIq524Y3OpE
/w3vmk2Pya6AoPTZ+0l6rUwAkJBX5nMTWfYtMrPgphqj3CZ8IkmshYLItY1OpkSZIC9FE19oDPiO
BPLyXREnxlO94HpcPKbeJuY0VgMT3369W6Uq66c0nqlK7XKQEWsLF+a61mmTWedOrKZzoxXFQMRR
vJgvPygW234x8alf+IMd0HuA5Le2v/Is2XLtquQ6NvPDYHTPY8OsPor6o0pRtEpvJoR5Z/cD5/r4
IRlNgt59ciiz9rcgTRM6nEh6JuLK9m9gSDk9JHs4U69xSwhH6DiOp4M5MhJkuIyVLed6HejwTs9z
bCChiq/aSi3vxvTz0um4jwcuaJPrCJDnEwayfNyPaTlf0yncqAl0GbkhRweILB0lsiabsskaGNxK
6biRV+dUFIXwRmdaiVY+e+XDqANK/VdWySC1VMXTmmbVX42OMzU62ARzpdtWOuyEzfZnS/qpCsQj
j0l4lOPgMJcSkTLISnVkpkiPlsx9xKgKiKi4YYhWGTpkxcGZYyRtpuNael79NOg4Fo0Fy2dJQsvW
US3tO9hJ0ltVNshT6OcIAQS7hFh4g3XYa2qGaJXpAFhOEsybGdoZWo+5DonR5OoclA6OmcEgYVgQ
JoP3xXGUeJlR1++NSeBsqmrzMusQWqvjaNnsAVMcSXhZZbOmxmg1WPNvZ5Y3qcNsqY61uYqAm49o
t7HIvEGpyr7PXzG4bKSQVkfjTBL0K3hnEGfCyG1W47JwP9BxujjTyTqhQ3YL6lIYPTVk7xIdwjOr
YL6yTCWZ53yl9KreJrFX6fAe3J7qUpPnK3Swj49VuzV12M/RsT/1lQAsByM75FUuN25nAD+ziAp2
gsYieqOOc0nw05Hy+6CDhU3QhZvMGr+ZOnRo6vhhqIOIBolEohnvTeLsTR1VVDq06Oj4okDfXNc6
0tiSbYQ5YK49LkNOVgQfaYTu1jADNj12hQvUkXjLkBB8ur4Yb77OTuY6RVl/BSo7na1UXzHL0SZ4
h5Mle8l8YHSuzmJ2OpWJXlacQvhkKzreItazBpKER44TbtlJxSVdvzrn6evEJ5hmbEZJw2TlaGeI
bIOrHKX6qMy5+FA6VurpgKnQUdNWh04LriLu5F9Z1ETHUqOvhKqnw6ojqxLr1H1lWBMdZ7V1sDX4
yriiXb72OvbqWS0BegfBlDexNsn2EZcd82y44LVy+cRUVALVjZD2yl0Uj8FpqK81FYAnVwdyIx3N
pZReh3SJ66IvkdxdvlK8fVgZ1z4OxJFJId9bZt1s04lidnoaanebEC6uStu+By3av6g2VQeZ+M2b
1/SsZXU4mWMhZ1tfUbXkypQq4uWY6zAzKrJxMnXAWeqoc61DzxBwMnY9OgitI9GRDkdjJf/h67h0
p4PT+VeEWoepi69YtQ5YDzpqzcxwN7GVx8C6j+2YczCJ7Owrm51VIwts1bSUYxDdTnWIu9Rx7rrN
XbKuyx3IBzqBdOgb5qxuuCYIvuhIeK7D4bWOic86MN5kOiNJ+8W704dXyge7X8pPGUC8ud+FOnM+
6PS54ZBDbymQ39DFySX+lVJnOc4TtL6vfMLzMoQs2JlKvDpy2k9qijcdNKTZc/zrpDPwLJhIw1fW
3uOIuS6sdluPdfyrmWbghDzyxqYutqPO1U/mNJ3Skaz9oFP3dMBd0ri5uZEQGz8KsiN04ukcZbhX
WW0YSW5tkXVhXXB3tc7+QNuYzvkkhSX3eamy+NHxMqBO9tCpmJWeckFFhwaom9c4bkxOu6EZzwgF
ULCnI9QOb7kIRpV8ncVlLrZzl42bKZA2Mt+QT1mx4rk91Bu41bifunhMZnhzAZuIFSyF2j7wNHzj
LP1omOG4K6tQSz6Deor8BR7YvMAJzURNs4xw7xAWvjVQGreL9G5pWBtrGFr0p7C13BShyO4bX4of
3VTP68yulh9WZ/V3qvSNXWqNv9oYXLESNjTscXQ20NFdIBOcfji6dw8IPfYFwaW5xYwqWztCcp0N
/4OoW7RqKAH7rvp4ZhvSuiDMo+hUGqm3ijPTXOdNV63HMQUvhr7Ao1IW5DncdA+P5Dk0esi1uXte
HAZtZIFP39b0iKZsr56Vr4va/ZnQuIcmn4anOV68aptZeuiPkVB+mIiFn0AFs4tSFfhvwJEHh77a
I12KTyahGnPVMMsY7Mr7/LgsEWySBerrxWX7/kg/9PJWQFS965LyJwfQuNzWdjMgYvRao6miepNW
yc+mLHnqG035SRJX37Oivt8NVTruWsts3xlfvK3N5uHWR+GyZga6OWkm7inki7uVRZ3KyXTDZuPP
AKCnoVKv3qCGcyPpnluKMSBwMvfFfV41EBJAviQ/MIRAX4uydNqVVsKjwAx1iyZHw5o5oAiDT6og
uHGMsbBu7BqCtx4v9/vilNQZJCxhkecd1+CW74fVejBV9Vzpdb7Qi/1Ir/hp9Z22gbWAPWH9L7UR
oNaWgFSbA2A/Ucj25RgQFRiFFupHjcxZ8xGKGUqyL3cBWJ7+GdFOmw6o5fnyIDA9a0vC9IdBwdFm
BVSi8XeiDQy+tjK02tQw4W7Itc2h04YHVPVL3g6Qm2PMEF5pjg+xNkg42iqRa9PEou0TQhspWm2p
yLS5ghf2wsEv2viwPHZGhgWj+HJjfEkZ/1F9/pXqQ/8Wfrj/XvU5fn5P/qkCG4Oj/hd/aj6WRYSY
ZC/ZXsj4Hkrj/8sdU+jyN1hSliAO6AUasPin4uPSjW2CRTRtqhIEURfEoD8VINei7AW7H4swIUJB
Hcy/JQG5fzEvEkEi18zLIshB6NH5axVcbkXNIPzIu6JLGsc4qqbmXLHjwj0RsHSHwDbZZe5w2KS4
pnhaUinCH6REfyV43p9cP3fE2qqdZ8+z4LT5RnrGDTuhT9oBCxNZeUHJlqcLayBPywxhr7Bjyp5i
pZoXs2oiY1WNaeGU5zxMuz0TfJZdfWLPHJmaItixgq6OZTRjAMyGZl3OVrypysLdENsRO5x6tr0F
Bv6Y0xEF0dVU0aVgXLx0g93vZ29sTnbYqs/Foj2s7Jnsws58B6Xk702Zyo+2zM01s43H0rn77rSZ
xc+L9ksDlt0mZ/g508GUEGF5o4xrlRkRa2x/BIIcWFQ/tFR+jS1mkMEqR1jGBZe5TXHpvZEk9ttI
vz3hbbkhTUbRLeyD20x06NaDc97gSH4rRBq+TGKa76eKzixph2/TFHjb0ZzXkTOWj25mNAd3aO1r
W5btcUCMWJsZLeLlWKuj8JL0LjSK72HfcMTC8boVuBrOkCRDcAzG+KPL/eg4R8LZ5ZVV/CqLtN0u
WWD90pnbZh10bX0I7fTXQABwy1Zq+iasAHhunAIrbmQQr8F4BB+2DRtY+BnNFUH9VqblG2zG9A4S
Gf7WRNF50FNyyeBXb8k/+Wsh4SqufFVxrKC3Ulj0b4Tlk79MBArYw8mj/kS+NBrWzT6TbQwKVH5A
yQAOn/g+gW06mDdg0UfmeXbYMzbRSQ0rL7fim5tb+cM8dwtEh8RcJwtJ58SxDY4w5iT4Lk6NROa7
ezcrsD+WhpM+KUg6F4GZ8pIwPN0RyiPLlUTqQbVNu6u6bvrZB24BjtB0+vWQG/J3iNkRMKZyrX3p
Z+rCiJYeJlF1l57eMeBcnoo/E+wD60KyVyaqTDPPPEj/bKE21Ku0980rQh9Q8jZc6HqobLNaN94I
UibAykF/F4kpNi02DqW84VlBefPGjpNxB1wQV5NRGpT/lnZ4ht7Fcb6XLiYMJroWhPN0SRtelA9J
7NQtcwecxQenNkIw/V2j3W2DoAgpsaSMqBXGp7cAR6fFjb4M2Moso1tD2fDFMOA7eJN2fmaGbwhS
IFta/ywjRM+S1nsECmH+GCkJ3UGH9H7mEJhOy1SO0PnHxNurliGAY7T6Ftau82DkkU9SAoDo0OP7
WVe5ms81DKd+HaAznwKA5RLeu5FsZ2y6D1gJ6+3S8GT2PJJL/eTgPmT9dqNwQOyDQg2vuJ1q/JQV
/uksolHKD+P0bEjW5qIMA0oMQn4kr2b6WtlFSJGFrzAlteMMym3MGK+iGWposLyMsNlWowJrngiT
bRnF1qyt3eguCar2waMFwIqC9jmFnH6D2HVoK2eB72aiSE3+SQxc1ijL9nRMo5LhXnn1A3ZrAwum
Rc9FIIP5Ke8KeVd2o/1s2032gVGh2Ri612NQrToGc5pEx8oMfZr1GmryODI4E7RK5k6O0LV6hEvV
XuZMZmtunuYVOwEYI+aOdVWmDjcFMKmxo8zj0lifaO3eVbpNdcT+bR/LbvDAmHblmk27nes3eQ/P
KNlEqXw2fDnjOLad/olD1vyrNMFlArabD3PGQO3PDeJ3a6EicQJJ1lYq8j3+ObheETdy0176c5oM
00tVmDBWZBWvvWD07ky2Zgi73IhCknqbCMvKu1ObyWHGpbw2poJIotvPBnqJ8N55CC54sELjl5U1
xmpSibMm1z38ziKjvroQ1G5d41mYV8oVQ5T5PV7KeNsA1adib4T7O3ZGuwadnbzbS9xf2rK4daii
pyT0qrXTtvKMiaV/WCpOAWoKlgfTSsP7LmnzZtXT8LN1Y6/dly4nSSbUYNPlAUxsP3F/xVrZUf70
c9AtlTn3zGIV5SpZtxgCLomBDlJLod4kdui1a8nlRr4d1JFTe+9EaLg2HE9idg2wYaX5dFclg8EN
K8bDIlL3Iy/o3wl8+mutqKr2i1lb31UZu+isywvHh2htq9k+iNED4WsaESax1Jrwpi1Uu4fFbTGt
I9ODuaIZw/K2IN95gytbhBs/HR+VzOM3GitJ0gzAAWdYxw9Z0VEWZDSxejVjrzmFTuOf4iCRAXfQ
KDxw38Qi0puXzjec27IMD0Oc4s4pcIri58sB9w7DM9TWUltSV1wS6R6+ImaxhYqmMDBuOeoxZ+W2
pqHMAdaOSTw4pJMHSovOpS0m0BI0XHRhrZvva5xrRy2NIglhKlISgxMXVLIbSlxpMeD6lc0BEY9t
VF5i0XL7VpH6nqSm3Buj6Z0X4Lk/Lb8ofrSdNK6iax87pxRPmNpfYAwSMg+jhoMPRSJtbyz7YPCH
bSP88aUrk+GEl+d7Rt3DMclIAMHo15QBNPJhKTDJTkbcnVLOcSx2YvfWxVX9ALIQahNPrpEA5SMG
Kvsdu5u6YOcYE/bb0fhmpalxKJZRXEqZZic7FbvayZo1QS/UB/d1MigwMnGJU3rjRCufRuPnMIjl
fsCbeI9BxVqDa8Qu3ES/ApYEaxTcZI++xZkL5eHQEeO/JK6rzlLk8bcx7FihdxA65YJbyQXE/ptg
wXMCwBhEYOY/5REvobdydjV4Klde5tyN3FUhOlkf4KwNNgAudlNZXwpSRTi1psscWe5L0eQsSHBl
bqlXHfdwBcJdOuXRRzvME5njtP3glMIRNhwoWBjt8eirbNgVXvehKO5hHVFau5ijaq5PjcWQfDcG
wdZiBpngB9lyCkMyCHlcnKf+7FO1g7ZUl+PVLci5kfXEhWP6xUtmeNUTQ1UOTy7gUS8sDkSpotXl
vq57aw8EQF5xqe1Kz5H7YDLbOxykBC4mYeyTzC13ZmLHFx97/7a1s+EQc2rEO4hR+gFBazomboHs
GgzthtYowfZNfXR0/UHEb4Xcc7xf7iVboHUuWutUL221E4Gavg9BFEABb3CZRnnniVVexE2l+63c
jaiX6WcF5+vDI2FrMuZ+L+Mw2vBCfpdD2ewydIp6PVdGe5w7M1iXWU6Zz9JSdus3YPdXlptXd3Ky
2cfkVHursWySNV6zT5x3Ng6RRfFI8zAHiFCvb/Lsnrl33admsVPYKnZmJHmCqsg6LdwH0DmZNuG/
mofIMczfAaG4VT8X0AB71hq110M41f4GRo92S8L0UeBNp56EFolzFHV69WfjTeCt/iB5Gh/sKaKj
qBpkt2INkbNSG7o1O4tu06gCDbrxI/9bk5htCJLP1zkG89GXPJBWbCIyrOm99XOC2EcZLi2E5mgX
bH9yG+TiQtTmKZiiIQNEMQZJ/TMdypHtJ8z1sHz2pyTP3VMkgjQ/91MQ1s9qHvmtYeWBKjivwopJ
eZW1OPSpniksf1xXGC42WOJzH6ZYXG2MPsp6Ysbz9Etitf5UIa+QGUF849/UHwbOb7pPALIhJMLt
s0ay6BhQ09MwBs1dI/nbdefV7w5XnpPP7Y7vSD4pRMAYkIj2KYSMehXLqfpsI9O6q9MpOHr48LiC
Ocxd/cF7hsEqVw1br0+3kF20WvxFnmFkqC2bgPbWlo0DCo5aYqOU5aOp6NnF/TojwiZqOLhFTwcj
BvsNU5+9qV1GGFt1JQbkND94re6bKYQNuLLDS2a2jAA4CrcshKaN8ObSWfkG38/MZQ0gZHTfOkxD
E1kViUBNk569aswiX5v85m6K3NU6Lfr5XYnoHrIwv1aTUocnlmjxZsximk36YTHvZhnb66zvuk3r
FBRmkP3xBtxDMrgPeAqzBGe3gc0Mb++KtqvyNEGIf46Don/vGT05M3Xjda6W+KkUS7cL9C+bYuRs
T6klpy9hl3A4olG1WKimcesN0jzOWdc8Acs1+w11nNl+YLF2zCF63/o4JHbSWM1rm7TWNwv/7req
jl+j0jcvro1XihWOaRwcW2LBrkIUoWE0z35Yyie87F21iSJZ+XdYt9zHKmm++0vLckdCoiWKm5jL
OiDjkq7TJXZx0eKgugfgW7xlJmusIFPRPqCkFDLcYNl7jkL9CwKO+hxJgoD1dEkalbHc8IqqXQbY
vd5MbQUx2esFmn6DG5iak8beQHRRPxamPiZ+A3xcW0/zQ+MHVERXYZHeWvo3VmazsEnE82xvO3i1
W9snUMcmPT0my5JdSBOnxxK23xV3HwfYyePDZBo/iqBeXhLKjsXKszx+OJZC9dYU+fyWc6uw+eQr
c71k/nJvzDVbBvAG+EnH4lbpOclZ+FzR7NOvrAbcbmTnSPFMvtRAh/WhyiILMyypX86fepC1RHsR
DsM1XmjtcVvwK0Dg9HHckU9svtW9Csp7K886hyiKx2GssXgKEBToqBEZEg+5G+Ont3xqIKV6sEK2
Qx7VZXzB0Zjf+mqS0/OiDBa/0HY58PYPtEM5PtWsg2/7chU67aTO/EpaiLt1TLHr2umsmj3N/ynd
sUtc1onXJZ4oFPOb56Iop9d/kH8e/kiT/69qKB/qtOo7PD46xvoPIXMzMCGBCagrTGWoO3/NWstm
UlnhWOoK2UmA2NWtEvbIO1IeDUKMUfxhl85+zOyTk4ud4bY7kVgQgqmrHRawp/2WH3UfLhmxjHT/
P7+4v+RG/3htHiAvov5QWv5KEiqtsanMyFZXKdurL5kVo0M6Xv/9b4KjiNA1eq7p//UXQBP1xKGX
sh342iv9n2cUO7pxdl/f5j+S5L+UJIP/uRb2WEC/J1H4T040zsB8UP/uRPP/xlrbBqoncKegPvK/
/qQhhtbfhCZ6aLhLCPomQLD8uy5p87/wfAQQMHy+nlYT/9QlHe9vGp9EqDukvio0vX/LmgaH7J+v
IRBswBZxpuGJ0/n5UOuW/2BNS70U+cbqktPU4K5hO0pFKZUe3lk2PlLPPFku2U2WGzJviMzosDra
2BgIdqodB8hDa5VQWoK6oOpt8V16jOidVKuexqRHNvalu7cyfzYe8zBr3xoMzWJNjCLO1nNUEHgd
7W5kUi4DWrYiTiurgXY1zFnk9S9h5vk83FS7HBeLJpRVldXhltOE025Hjd9bO6om9dhFkg1OYDQ/
QrDSP7+MGn0QYpVfTIdOVllAIoXATj2phdBkX0K7TzZdWHp3ysV4U44D3fIUPvodVI4Vg5zp8GC3
0ieZZfPjlJj9tY3t8qZdRxXo7NogmRDAoF9Vwow57WXyVgiJRydWDYpIPR9iGGEnW7bpmdvuniVi
Sz6pTuudqPDm2F2CTbtXdk5tmsBs7/a+/Ub5ho0/oC2eLJtAdZi4HzHJmHtRQ/xl3eE8DHbWHsd6
djeJZT8k3tJtCBP6W7pROGFJo3hwfKO4OpW6CZOZVhQFsTE5+clPgiJy78JHXKNg5WerLEmGeFNz
G1tu6qshSeM7xk73qpLK4bUNy3Ax1bahqOsaybb8nY1euBvhjO06ARAJIay72V74U0RsrayIvIRn
JA3+ef7ALf8W4vxbtSiUlFaJ06hqlpREGZ+ytnNuzhROZ0f66iHtTHJyefIjg0P4XdSe2vDQOCNN
zRuBjX/lEfzkSS4NCk2n8qlo8xLFq+iuYJMTyguIOFDl+NgWWX81Jvq/U67YF7Y99Ix39nSdCbNu
JDn1rSV4pQaZlI05RvHzEuiiyCJosLVnFc256yrL8E1IaZ2dpDFPszl8Fvx9qmfd4tEf6V3Z4GsM
bz5x3ccAxy8SWJQhvxPavroGkmYmeaLQW1Dv6XKtbqbNJ9r3hv5i564LMdxeydah+IyP/V0NKfMd
HRD8g9H3ycnVJXrEM4uGw/7obpo8V3sGd3DvzXCmI6o7mYl3N45dgxvfozSJ4ppsHWQTc1dVjDkz
IsGvySTBOUSYCb2lfzV4IuBTuAGfMHeRf3ZHPOhYCXBDDNlD4rT3BlYza25Dqg/cG7NHsa0C+bOT
PsVIWf06a4gQC9GP0m+LHb7rfl6XqU0jKOoT1p9zMX8aFMSuags20TKYb+4QYgiaw+gg1WjcqSAM
t9Eg401muu/cDLt7m7rnnYEqDn81FscZg9WrS9KNCLdPH27U4p4HJe9lBh0+Ccmy1H4nLdVsB79s
6ffED0uz79LT5lz2EOx7DKJ45aqIIwSmXopK3RIeX1ZulZJ0FiqqplxGoVsQOcWjDERMCS+/5plT
2RGY2/RYTsWyr/qcYD8P7P2ST96d244kTRx1bGc3yjcIkIq2zP4Vw49xMJpZXBGtk4oLrO5cZeJB
MtyCugyLc/HDHCmnvOB1v5Zt8KNuarH1vCV8zpgKdzA96UEN0uhhdoL0nn3398qVqDW0xK4W+vg8
OQpgnK3Zf3QtPzLpWDqrZWGf46LiCG4LPtJmXFBT6RbMd0nxMHPbXSUT9zsIvmRu/Gr+WIYQ2knE
/Zmdf39J52n+CGcqPEk6mc1T02KcMim0joOqvK8xCEIDCJlLH2IR4d2SnInYlrgMe4WgsLFbsvoo
85F0IhMbBERZhbc+83/LGv02tskaqCQoEBUCCxsGuetgJb2qrKM1JaPDxMGZJmM2KKlnaNT2sgvs
vtzNCXEQbu7ImdPwmhRzZ7mHeaz6U1mZycCzxWh+5gaBslXiZiAupoRD+X3eBjXO2nqiiWxAALlM
bus9Tjywn5w24hLJFR89lKpRfOustD0lSzl3dP064kfPpz9dW9Ds0GGNyHdJzUr/1gBN4JDAjv1U
29Aymzkydn2YVfEhavrjDFuDxuOheCLf6lBUPEJ5SPKID264qOQdDEq3HW23PFhpnHwPmPrDFVF0
EFtQ1N1L7LQW6pIrkcMWOk3+L3tn0h23kXbpv/Kd3kMHgQAQiEVvcs4kMzlP2uBQpIR5nvHr+4Hs
qrLV1XbXvhaWdSxTTGYCgXe497nHvqTThaLe9ytEzugDONp/5IlNaQ7HaTi3fdPcTqNVmZg6J5rn
GZELKhDMt0SZjHP3YmJ8eq9qM3rjmYwEFmvCGelKduP3jv5hAvjG/J/68t7A2/FiEBJ2IbziCJ2G
NVUm3U8n106ECEdWHYa5HpkDHIejU/RHwhgzYiOFNW2mtF7Wiz7vIoO60Hvu+skh/aRJP43YjBFf
dBY4FLeMhju/st1nniN6W7L32HWsOA2GP6r0gYmKMDjW0Th+JHQ1NodRgMYpyfuFR4UAIZtC4zaK
XfJpLJnVb6ACkotMy4AcCb+11drS2Yz2vUo+7bZK7pERPKRNOlj0jbl/ZGGVIbkLuVnLoq1u5kri
T2mGxoNrDzki206WNs8lwYpvzjAN330vrL56Nn623IhpcI2AELPVSALsCVJ6fwtdhCmObGrjwzYn
6LH40uCD4Tw9oNAnUJMUq/KrJonNI8fX746laCUS8iiuGJ2oLH6pvMi2V14h2/vYZvuGRU9W6M3K
9Mg9h5OFEBKyQSebDp9XrrdS1eabr1vf3uaRmYwb0RvOvkvt6J50XHPPIkutc1YWqI49G1GSDBn4
OqJnw5RYikC7tjqJsHU3bmmbm6kn1S+1uOAI7p7XwPTsbWUiacMK3m5BmGh7JZryTnRNu2nYhF+n
Ro8yQiHa2IwqLo+NsmvSadO8fiPdumVYGHSNWIO4Kl6TCQH4tsURVWG7rubv8Frk2TfZPknL/WYH
oX5SYZ69F4Ss72SIwJOUWOUThdYnyIUArHAispg1j5Ey1VnPtvraO3WKaq1EY2sFzgwTQU7ymxrY
E7e+kM8awVW08jI5MhirWX3mhVUccOPw22TuEu+Ak3C69xK/6tejFYr3Xvd4JXOn/Ep33t45GhXd
Oh4t862bKSC3gTl0XEtmQ4o3YaCfumKvtPUzNzBOaFD8V4Qn+ROKQrcheyccr7qmm+grDWKE57ph
XQ7r4kje8605d9FrlStSE3qsGFmP43DJxAN3mk+tvrNbbV46dD+bQGesIR2sAzc47oyVJwiXJvLC
KVdO3dvfYLdakMqKMngmF1axlssGhsvCkIIk6yYysZMGwaVprXk7gEYiXC1F3mw77WYuZbrrTLO7
FmwA3Y704zC2OkhCnatA8zB6JuAihw/otvVTgCrhm2sXPpFGJsgOPs15kf7Z3Tm0xuQYUGahVfUd
RjpRHcQ29BE7/iyRh+Urmk/EPATwcbTI4VywNnpJ/TF9ZEAW7s3IMegP/O66ZqfDFBZg8RWpsnod
mNSI2RCcPCztzS6vq+7gRZrcR0C5yWvjKYzj7I3ZAoSRswRQlJa7ZSs6XyWGKE8D8o9rfsL02rKj
6MOfoxb3RtuCn6j6HSn0+bFKA7mxkvmlnFhpr4Ul6veABc2trCqWY2ZU/4Ym/2+X/DddsoWq5i+F
O0zqUO5kf/Jr/f5Fv3fJ2v5ig1xVIN2hyEsSL//ZJSMEQKPjugr+7G9mrn92yVItfwJy7vf4uH90
yPKLyzCIcSjfZPk67z9R7jgObfgfp0w/gwpgNmrBKxBS/Iqcr3uoE6MrqtMy0NpA09i1Yd/uJDKX
Ow7QsDiCBDByLF3hjCi/djvjKSQW85Otl4VNeTTqcs7XWQayfm90hqwfO7B8V16go/i2hQ2CPzRS
bw4l/SkULHDaIQbgaiT1pjKjKDuxHkh2pK/3m5bYt+u4rIziLQ/L4kzAcDlj2RT7AELPGveHVe4y
hrr6rY+oLQ+eGaJ9bauJUOdh7LxbDBtqo4olywwIt72Vbs9mSzNWjt771ghfiVdtsgMlZBLAH+gQ
NrTcyy1NCAHFNtq+JMK/lg2RJ4dLGiKqUjuvSufyUjQNPy7D3lot1SfPu0MLdKsesVlUppHhPrFZ
3q5AUTIP2SQU8/7F4+xCn+EjTWoxDU1ZR64Xk3tz2HR9r8RahNRjH1jGmmEmOjVyBjSveeMQjcU4
ANB/hqqXTYXb5dS+JBEZbEzBK7BcDr25ssUGV7g9E0zXB3m5xnNshaROenFXzPHn7KNwcYgqyILJ
2fTkKhExQ2MX7K0ETN9FQSM5mgPSBfaq7BW0IVdoZSmDFsFUaBg9BODSemB3C09XNiZYK/Ix7wR6
7J2ry+ldwYDfssVJSbWaAEsVTQVKIEuuwXvJPZ1DdmTx1u2pgohTrfLCJYAm7Y5eP65VFya7LIPk
K8Gx3DgWz60+hJrp2tDd7dZZthpBcWhm7d/Vi3LXzw26sMRHoD0bfYmr3n1KigwVcVA1t0PYq7uU
Cv4tzNjCBFoAS4M+cMf1UOzoIKLntBn929QC3sC+DVjw0HV4wxWmuUFE6qJ14j+H5SgPY+gaN8a4
SBeoj5gMqFpe+66f7o2YeKCNUHUyPZcVqzEW/aiQXJE/ECOWiFXmh1hGnLiS45o1GciIYprnY15b
LjCltskYMeftcSCXbz/QIaLKLuSVnhVLHoFC4NHWoiEKvqT53nRJnf4Qg01kvVQza5egyPNtYtEN
TcJybuuIHL96cB7jSm2QGtmLq39U14IFC6V0xIZs5dddf9MFgXUlxrE42DZRvW2MZQOTPUvwMHXz
57oZ833vq/LbYIUvgspj3aaed+KTpq4spb2emtI7z1M63vkMQU65PdaPgZDza0dBni1iIusjLmrz
yphzRflWSXWi5dE7Oy6/91ipD8IhmZwcJ5TuuBwesEh0r6YLBHfCAvAihzYi7LfyEnRhOeadhDvM
NVraQwXXSKuh3UWlezUUsUvsUJTu41pON7nOndMwNrgVAbbE6OFzbdyIGErC7MyIzbCIRreEZ4yn
0SjHek1yALgNsVjsHW9kw9CyiISENG2BjJcYx4dweV/alSKifB0YJrCkZjgVkDY2cnKsZxu5AwE/
9VM01w9xaajP0SkYbVEyYHdy0A9g3ynn+FHVsX2VmRNc+tYu6ffxcmDxO2q7UWdS+Spuja55mFMv
3Ti1WXy4HWm45QDORqJ8/lYNBZsaAQZrpTNSvoI4sJ8CLOdrCJ8WTV1WTXCvdXDG8929tY7BiigN
Fj8HmxgICzNlYH0iRTN4b2QYfaeV6NZNX11jPGB36A7jJsSw9GqFC8rIUJaHomaYrq2x9DZ24g70
k61lcMfZJC6JajR2dUHVxbbeK+6YOFAclq3Q7OtHcekbjPCMOSOzX6ofqHxW2I73QB+wniXBIKFW
+d63ZMiwPnRRB0kBcRbDE5961jYAERV97rx3SDeu4ByyL5pawTnXmfggA0wlLN28sGF3aZtntWB3
JmE0F8WeeYI+QGcCUha8AxLJIxDCHgbZJACkCau4YJtMuESdYt2a40fFM+9eDO50DAy/WfOXQnKN
/eboIADdt5U9XhNBGGFlK70PiIfOj8KwP6Oysq5ZETftGq0TCRI63lZ1zAorM5LzQH79WZMvfQ3N
241X8fwRmhZuDTOFJTeOT4VZP5CTbK6RJ1AvL1woKtYQs4BwqCVnfcdopdgaroWmiXjM5hAQlpom
fbCzuwjCZF6Ll6hy7H2MnG7H/f6Bmde7r6xmWENNLB4DJThBwpoCMk6yLdl/Tnp2IGyhxMn7c5Gb
wcEYcH+u3MxdknNEcceVm22QkzGpnIr6sxoXxIBVCvTzqe09B65vn3iF08YaykVHVlLBp4mT3aK/
c3apNRVg4/E5mo05blAnRNdE1amVm+fFvu3Gjun62L5ZdR1u2CCiuVfJ17YR3+KqTBDnW/N1j4oJ
TWYzhLBuqmyVNwVcyiy01pMcmx9C9smWmVT3EJuus+3tAXdK4CU72ytYK9a4iBc/ygX+LblDWla8
iqi+6YNYim3MejxY2VZGKnsdgg7uruoI7o6TD99q006/smNDbDR4yWdGUY6tCscZx95X5jzf6yRq
jtLgcW9ib95UDr/zyUhYTezqDijzzaMZoyHuI0HsdRuJ67k04g8dswJvybDetw7SNrvx07u4xbRg
NXGEmy+ujh0FCWgopJXSLhroQVReBsO0PbpLEjqzAs1zOpbVphWGsTFpzWDdFD3dc5N/tM6Ascmm
CekCGtUpdA9DLytssefZxgyQ2xkGh5LAVuApH5VZ3nWdR+kQ5QsKnWjx2jRoOo1XEdmMnEKXhM9k
psJIAVUmZsE6r75TZrMnR3FxGncrMwOcCeXr3jPa5ESKaUBLgwqs0qx93ShHihOG6EdTUjDt9Cwz
AxhWMw771O30gYTsYIOV4s5I8tupjsJdm5ns0wsDtVI63WHYEZskwvDftGWxaecy34Ckp+sPO7HP
CbPnEFaSQe4IMUYb6rG1AbHNsV+s4fF+r3zX2DpoEFcM4QCsIC3nQZaEPA9kdzdYQn/gB622yuDy
Kxrj4I59fufin+VhjB6ndwAim7rsjmNW6wPTMAPl8uydsna6SyPnq+2rp/9uHP9/4tdQMC7xGP9v
E8SFyNHwf/5d7vbvX/p7R6WcL7ZD92N7Lm0LmWtwi/+RwmZ/kZZgE7jspn+HY/y+d2S5CJMAdwL+
UqJaKLf+tXeUX+BoCDaVy7YQPO9/5IdQ5i/7cSo025KIJEhB8+jxFB3kH/eOKhmrjE4jPowtgsmV
0EmogHsGEBisvtaY+/vShHxjqtA9AlzFOJ5bufZYajToda3BjcedRCOdbLHxBdXBgCyMmKXs88xE
LS8BEkUODu4lUJVpoLiAnbGPLQHKFhrduHpLS0hGHE08QJER8MT9iWnLCEK91gD43vLGI+3UnH2W
jTFantWQ87AUoWW/53UvLpnOuEELsL3uqissr9xbkHPQeyXG8iXwDLJ1EkfgAqpWP3f0v8i1yoUR
0DbeeB+Mjn7GeTne12y+jpQkPO+wH6r6JmA9UJwKHvPeydWq+Ww8UAQM/qE3sHAwCIcMUtQhC0qJ
chPiUNJpfoxSMwFfWVZQH0hVEI8m8Ih3ZY0L1sDoDmgq5dM8QHXKMWseGmnSrrkARy+BVfHzl4pp
bOyy815XZM2ShacpYPYl86DPGPskECW7sB4j5Ndv0q8oYkZZ87/ZxLZcZYXjvE8BXweGgRfgiIFX
O6R8N1MGFiHpjAjWHX3MDBFw5Ke2E76nl0jyS8CwIXBMHRLWu8HEj8u64AqibniRzP2vvR7qZI1t
4kzUek/Ohk6OeUT3iO5qeT8BquOjyMYMrATXNf/ltw80NQN6aBRV+tnqlk+YdplUdnNumld3KrCN
DKUPgWlMrDhDk5Ym0Z0Bw5Jd1kQPw7UU8qvXLJwtsr14X4bY4DWGo8HzZ5hsoKjKgBu4r9rM6Q9Y
OEPzpXYbW+5w+hn4/of5R+h3vBNmn+vnKR3u27lxdlMeuoAAfegXM089dos2g1hkXrDyRWY95jYX
IGuO5aqFIgewlTyzHR0Lf9OMNCiAELEQMcLlImqX8i90AeutVNtzNVj10ohr2SqJKMiRR3QGnX1O
cXxQjgYNF59hscv0e4tbTw0llkZQDcHWbEtQg0PFTaj0yAdcwHaysP8HMCloHXJCbyGlkHOs0fNs
MdByvQluy+uiJBLpoGKS5JekbDTng+R1k3UKKyJbiA8w2yl+8yHjivEZN3+Oo823zGdiVUiJ5jqZ
9Fi+dctHBINYHjOHaBtPLDyxljnIXtP+boloj/ZT37NdQCH+hg7Of/55CUeG4v1NmuJqkbFe4uUi
9d1+RHDX8ZYMFtyOEZbIbTZbkEXgniaYjWz9LK0lEqAtSomSLPW4YDplFlcp5E2ugOWW6FKgsoDV
ePOmsOPDZih1jNhwvc2qrg+oXjMUYJ0rHm2myc9sRHpjVcJcK1ZxhfMjrRelu8sSfztbHlmMiND6
1RBl/DhmRBB8M/KBVrRB3A+myQVmSG7yJul5f/zaFo89xdN+MmdOEMhG8qjCQrNbTCHGVi4fYQv1
DS1jSRQv1DwP83mnmlDexlUfqI1R03ZvW5zfGzMt1cGlldqZKWwVh4ZlI1GpI1UtEn5eOdbBsJvh
t4VbvDvcYVad8YJmyYmVWcUQYq0ayzOED739SZmTE/dyojmePQLFIGqIlL/nJ1wzScjPjFuODNP0
xSMaMpxlU2aP9yUXOhygMKneEtOvDrTzwd5vQ+tRQaq9uEmKZtQL43p+aHDp2YeRXugoZ37gMUm4
otB68UEh2RCPYO3m8hQUCk6hxLIWnjIUyfvYhJXZ2QyA14zD6kMaQX9s0J9DGPfxaKyBe3OBT+zI
yVprUufdHFAA4uugbaq6SbCXmIZpw7iasVJmFlwvogEZglqyfBs0nqpV5lbiEhVaPGaZ4PXA7MSa
2uvlylGwcyZW+szeWGNAtwsSRPhR6HB1L50ZoV76uY4cEV/ZZVcfOqEg/v+85m2L5dbabJf+z6qW
6x9yo7h0Ua+fGV8qfk5zOfZIGqzaux4N/bgzo4bzrW5aAIPkVHM96oVnwvhFP2MI5IP87UhDLxqx
OlYDl5KDEQcFqdfgE6l+tg2lMMStjXVqmxKMGmPl5+1FfcpoiP+W9Z79POTtiKSeWj/c/TxZiyIU
OJTgCT+LSOb58xAEU/JCl885kdrLKYXwESozM9F3vbSzcVdldyLsrDUby0/2KSxpS7QrK68yl4ez
H3AC63QWl2F2OMiIguYOppkpCXoPw1yEN9YUTgeOH5nR0wZI/aHrFTmoW7IP9VUGHQ9YsfJHZp9N
pNO7OU6/x2aUKo+oYYOVSpbUh7x1Mj6i3OSuSZb+vOCerAH85RH43cFy4rWsavezyLPnIhD1Sfsj
RqUVeVYjdQhzXNJej6Ts8e42yDEeCRIor3jGeLciVyYch7qXu7qSZJkL0V7QDEMF6pg/sKoNnyJV
OdAnc/9r1eICtYrqujG1s67bpZ+KuQfQQonMGA5tC/or7MorgIYwFG/NEFwF0PGXHPREWTJQNFyl
b0v0KHGm7n3LdsyXyU1Lg+dEkbnE38Fh4lQFoC9t16XZMDuUDmaZbSzXYjitmtYJVm5lx+uysNhf
E2IdriK7pC20k8XWaOGnUxFK+G4cTk6MbHxtKLTiKysvw2k3uWADD5rLkuSZpmMMZ6lQX7XEpt14
Y6tOJBrwmIvGCvuKUYJ5GcSTLfribJhufoMT3DsxZOTqFTZFSegV28ADg0CfRlMTJ4q+dOyZasgA
FmxjOON7SpLD06SyJztWVXqdIiK5q5IwR0zTDN4aOrdG9Sz7H81U628hfhmkZNpa4fMB5uewffNq
1ObEeumD2Vc90p4222Zeia7MtmPAh7KJzx6JF9OZ98v9jFsvhxY++DzHI3MbRMOT1nGJJkbVe+UP
X3tCrB2YWt8CwBD3oQNuQ6SVtZMJ4z6rdbDTmLytrs6J1x6z8QOJ8aPBPnQlhqY5e1E432XkFLAu
77JdMRn23te9ui51ZG+Z3z5WGoYLWigqo22TVQXx8T5HFBnY0EvI9g2oG05dhrHCYiZ7cHQBPFd3
9nUhGavwpuVQSCrnYXQLjJVV5W1BeyarmBNrIXUlt3YVsxzwTgbDsRseAtBl7D7HbGS4x5Rh4l2A
fkwyaD/gA6333vKEQNCC6IgZ04Hh0CI/noy3xh+rDZBofZ5j566LCExp89y8Z4PMEGtK2ydrtIzr
KQPYtjI8xdcN1K7f2j7V1CWWNZ/aMa/2cdQWr3hpWso7fAsR17eVPC5M7oOC5nJBvGKuefIq6HU2
1Dxn2sXMa46DqdQ72eCvo1EhtMPTlK37um52huKyAQXMEoGhQbcH/8iwA5TRmsOfLtxJeRABAzgy
aPssUXNvrVYMa1Ga6XJaCSTytXxHoMTswS+a8ZWKeEt1XVMJRma+ARSUbJmPuY9+xYnCyV9n26hA
9mGABjqYDf5jSPfTprGmiQ8tFcM1NjYlViU0MsbOjevVvHfsXO77IUnFllTZGtmKgk0e30e+AFci
sBOmBzU3ffDJ4R8AX7aqzewJENVGz5IjCH3WI0UgEZi7ocHBVEfuwUu64dlIGoaYE2pAXAydIB6m
bOlAAJMpty7OpGdEmwhy2nMJ8Oo4u6CEdT0lpF+087YLyWDTsYp2rpWaT0MwelziEseTcYoQw2NI
Sbos0h9ay+AaJs6FTVnzQoBMd4UM6uyyuFnz8PIfEIyYZMU0BLl39C7tCXXpFL00btmZxyxxISMZ
lZgt1sJQGXZSy64aAHEYVE4BjZt/47eaTRGKGdoQXI3eG3gaDnUfdARMImOYTO2ji6hnuVcxIxlG
zqnN6C5gfjcwzXTMTr55YcZT1+oQvK49NlrBTg2+k11V5pK/kxSUXBuTGASPq8cCQo5AVQPZCam2
IAZTiLi9zbMpqsp0OpmwWu8naxA4Qck0zqqBslwb1Gd/6Pj/je79F9n70jo7NPZsN6WlaKOXP/+D
ZBc6fBqR3Bgf/EJDuc2KQo4vsw1z69Vmj4KYNNNUI0UOhdldDQkP379+Ab+mjy2vYMEY8C+g6ryK
X9LHhtAVxWy1wcEZ8dqtoNEGwHXYJlkXBs7EybQIAolpisLgqi39GXec2/iXIG+B5ZsdfMEioar8
61f1b94WLT3pmJTtrq3UL+FJzLJ8PCvww3PIu3skZWOwHaOCmrSnOcbMZVH5dNlMcWT0Qfn219/9
Z3zXH8wIy5vBt3eXfyjBxU+h9R8+FfDMSZf3M+/JlNIKxaKaYHE3QJmhIAH3dwyq6MGTj/hejaNY
yu/cTu34qrcrRCA21jb2PmbSBuGhXTrosgry+AdsTXqYXHLQ/s0LXt6PP79gEOLCQf0Nb1WJX9+v
Hoe3gZQpPQDnReWELhDTWegmCMxqiBjVOidtfOuOTfWeQaC8r1pmFVVILx8VY32f5dX6b17RMvP5
8ytyqYFsuez0peAx/OcL23AWfiR1w4GdAWWja7gQbhhJPTeMeJqVZyzt74DS7NMWABzLnv4iZwWU
7kXNI5nYpHLpwXhn//qF/RrAyWfLAM2GBuJ6wjWdX6PbVG8igK6r8ABTigoVJHmBylEPA7tLqiLZ
5A8Qmzz7OOEmZZ4gC0x8vW319x16W3bi/aCfTXOiW7Z/1sWipY01IpooYMyU71HQUHP7C/KqXmY9
GKi4s4FLMy1JVD12Z3YP0Lx/NqVRNoz33bxMAfKpHO/ZTbGr62PCK5Y67j3KE66tufESlm0EqMx/
8zlZiyfgl88Jhw+JaMwNbKLRfjmAQmFU0dQrYy9DhzOQVWsennB80rXkI6+egx9yM4xT4yG3ZoYn
LCt4WVPUzQ+jBqH8EEhBd+LMpNawIOC3vFn8OipSc7Y/x0PSwmi5GmpQ9dfAi4LoUCzS13Wkyh5h
fw+GcJ4yvjsEO4Y3LmhqrhAagt/i7f6r6vk7Vc+ix/nDbbJ5b99/5y1f3rPv//t/Xb4P/3P6Xjff
pz+6XxDwLF/2jym0/MKGg97DthdVD3vdf06hGVCjJpQEwJuK49LiT/5hfhFfmIJjccFabykF1PFf
Q2jvi+avw/TFmWVzQrj/ibSHDOJfL2Rziej0hPY8rmfxK5THquocXjtYXfJKI7nOa0lIWwCH7oow
MOcK83PVPwTwjVlug2ZgWpy3d8gi+myfxGJJP6l7UoxCmDprBWIAvgqGBatE6RwEvh2xumnMvUpy
ia27itfzaGBWQwUrN1i6/cfRyp1XN+/fU0R9ONezx76CS9AmxXzX1PoR9R+QirxM7FXhLsEtdP+Y
FuF8nYlRJmTGAzJzj3lWQi1pKagSEbsrzk7rPs+H5NTUfbtl00ukXckXDi7OQWqL8ZKNRbOh2Rf3
/gxcI2sM/aOxaqj1KC3govXZXB/hLvJcsMeE0JxetPifG72ebcLtf75RyUyaQa3Cb3z+0dowlmSC
QfQ1O+J69vYIh/Fkx1l3nJPYXivZ8YWNMxBgSMsI+cdlgK5fOLYqCCapZ76itZnPKN/1mknffCAX
YT60Q4Phxej47sIb2FjF5O80UavXQ1TIbhWSPOWs0ADCahgQPvPo8Dq62jIw3rpOOg9eG2cZ4iAp
rmuv0eZ+IMeYQSGjAOQ+nXityaGAvTAyYwCiE443XpkaP0C66zVSXf8ErTv8NJDFXEp2J/ufr4/d
c33kygZ7E/Pr0UrZZK5yJmXkJ6p82Jl1l+87Mv7WTC3mXVTwJqNCxnA4913ImDayrgNPsN3GMo7N
4xqTSxge/FQk88EFSSzBp6gk2kss1IwR/Rl+k1Ekp9kujn1tk6Taxn23I2fLei0N03N3kDg9c8+l
Mh869oevrOZZRXb4h/nubOobXDtbPGDOA6FX6XNtyPQhLOvptSpDstZyiRJ37r1dKK3a3WBEkOi1
uuAKPXf4EiNwYZ0/OTBh+LA9l0zAVdI6pPYuodcxCXQ4ra0m3zsYzVaJU7UDfW6LKSku57c5H4jG
shtwSbA1fwyuHEqgmFlWrNDHkF0bWMhRdjo22/CSpHDjZs3UdecWroW425Y9nzDInELFlJZJc+9n
ejpHM8hRWSTRBtanf87cDORfz656L1otdjWDsOe085I9Widm8YkbauTHbZR5+0SYzUNb2K9Om3bX
GeOS3BsnPGl9hbgl7mZjplNOz1ngs1puhOvuIm/GxqCscpHAkaLD/BCzVufVN/OcFreNO2d3jSHd
3TBN2S1AEnHqglwzHq+Il1SUhLNy2y3h0PMptJeuNLEGuR5SRz6NVB2AdsiCQ4rkcqOydGcvDmmA
nVfERTUgAMzbftwumj1iov2YeMShMfYw/ZpzJ3V8MwLCvMqNwblllGNtezov/kfVmMCVMpDOlE/a
vk4hinZgf031CqUwOvtCBB8TDgVQ+wVGFz76uST2MgeeD4hHUFGvpliCfjH5mncgQtz0RlyP+SEo
MiwkGoM2PAUR0hz2TLrYYc+wtiYTAFYVXnpZ1qfZLItnw3WmvVUpkhTkROrfCiWeaWzzaUaTAfjX
3lghREXZ5XCsCDaDA9mlg7npXajPA/yFu3CcmxfNzy+Ptk83fCyzArsQsBQkPH4M0GFyO+olxArM
l3KiJbFyE1w1h0DaUSSSWVWnVvjoqgC/OQEhCZuSjAK8Jb6NBg8+lhlbpKSCmWnwz/fjPmRpsR4m
BOwzyqw6miyyTyp1KaaOyEVSJXBaWfhY0HbFoNPytIX44831bU3xdVI5BSq14nxnuYjqN43b+W8/
T5YqaQkDZHl5SlFNboAZCPO3u4jelvnMzBlVY4rcuIbJsdqD5uHUmHjC1IWb70fYFiToIXHidhis
e+Es36gNCf8iP4NXghlsPg/m0JOPORg6v/DYni5NnYD7Loq53bJDnc81rtWrnzXAf8ulvymXaIgJ
ifiLxf0x/4ze8z9poH//mn84he0vSjsEG5BRTg/0h1LJ875AJsWGRgHz0/H7p1pJOZqCSCnnt23+
v2ol9UXxB8uX/e4v/k9qJTzlv9RKyAJotZYUC6wbnvV/TR2wrEYzm88lEQsZdJWm705MDiNCNdPi
MptB1qymZiK9tjP6AT2bJa7dsM7OMxKpcS1EnmwJGeo/VSeymxlE+1dtxgRuBTohu4qvyjZj4SPk
z+f8a+awSjRdYd3U0eCSNtHX8sxt4aHkjTMIOI1OXcD53gM60/SeFqm/Mfv3rKgxDuCufW5hYL/x
cOiN9dyn+YwrsxzfQQdm44plycQSib20vxk1+IUVu9IgYUpRJd9CrAzBStYZTdXEqBFC6xRBDEf5
hUxZd+cl20LuSI6ZQdPUlmdv08JT+Go5honj9WK5r/QSlziSM38tY9V7HHkqIsIhT125Toyk+Cib
snwrWnO+dM3EDFOmzVWgm+EDHFL+ZqP0xNznBdMVbJ7qbirj4N0KLZ44yLZXGXN/DpRy7TJGA37q
DReUr8UtQIiCzApvrMjWyQa1T8couXgyG+84NeddObWIv4qjUnRUqwqvbJ93JPTZ036wInUrqoYB
eSyzj7FJBdvAzLt1HQG6pY3bBzlBjY6aptnawyQP/owIjqqEh6HTsmaMp7m7IvEt8o9zg1y+n1PS
g8wAdfwqcip17ZmZla9rY0qfZVZ2D52doKPuBImqBD+L10gl/muLBPVYDg6Rc0iZrocZcDHNsrsq
IJmvh9Gfr+dAdC9pMpXVekkMvh78urqCxtP/0BAAyaeeWiPZNKkd3vR2nm5LyHcxgwINT4jupT/j
6a3FShMa9V79JPs27LP2AbIy1FHx0HyNY7K1loSkCmVnJYPb3NO5ONAjR/dhmcgXK8go7hf57Eqa
qn4Q8JV3XRXaV8KKcUqGXREe8AMHOOiLcmO1fXUYJtHfB2FGijcr/Tcj57ElzUx/h1qn6p1rwiqj
HBq8aMsGXt/jfp8H8GFBYbzGgXRvQ5vOnvRNoltWupmTD5tiXePchuHOEy3baAfaVZWJ/JHPMXnC
sBreqjFuzo2YwpMCpK+3ohjAOPq5vTHcKcg2XK7Foycrc4lEpSkwKv5cFIF9ZiXYFVtUG+UlhikR
UZZk3OWvbEhjm3S2QGs0u8loeSbo/T4y+VeRi6BtV6Pup9i9bwpEBOl1boKwa1cW+SZU9cOi9u/J
27ufUOVNp9AJ40M1uLfCi/Ht2WpeS4lDlWw1/TCm3D3bZuzSN9+HbyVSHwuZ6sCLrpPSKkD2Nc5D
1yEVWE2RaNetPVXrEOfcxcZjjHWBCAOWGs4KRQThAwnjBe2jl/SoM9Y198u931DYrCKIqE+jv3h2
cWub8a2KkOvpjV3Onflgzw2BIilO7v/D3pktx42kS/qJUIYlgADGxuYi941MJklRyw1MoiTse2B9
+vkiT1W3qs509+m57psyKzNxy0TG4r/756X7aFuNcRj79k2QI8Sz5+uWcB0TdsgLkzHwHqqaCHGh
w8S5jhXXfTHfiGrbx16HjisdP/bnLr+NrQODER+wDidTyeME+VbWvJEOGWZaAJmccoQqGE/2OuZs
knce0lM9Uh7dO0az73UkOiAb7emQtEtaOk1J8tPkurIwTvBtdKRah6tj4Qg64QlcWzp6LXUIOyGN
HehYNu08jLV1VDtdrBCgF6v13HMk1oHuUEe7s/l72w1nrCv5OlTmOb2nwPFs4SPo4g/TPSJOVtyX
M6Fx0uMA7XPEV/sZzSsApZ2/RSTNvTEl8EL2HEYOA8L5LHUondn6y5A4BQYeqdajTq9THDpwS9SR
dviIzHpiyNwg97A6D50OvxODbxKrO7VOd1Y6IT8H/rC3uSdsSAZAIhS2JDOLqeyE2VYk/HlcQ4im
dA/BNIqdx+nS5jE6ezqbb0Yt5vR7Xp9q572BK3WPks7TBKfncb5H/LvKGla+zv038xw8Q+uBGQTN
L79lmhDgBe13WcXmKUsi67wUQbM1mEIWWOMnSy+zDagBn8fvVcKv3riWW20azSRYNJ0g8qL5kRpu
6JGD1X5YsqhnWgdwzw6Sm9saDR8J5lQt0X/i5PAPoDIWL0MehjdX0xFA14J3r8x54/A2BQQwN5mm
KeRT+DXWfAVbkxZszVxINH3B0xwGitiKtXK8U6cZDVPPo5Ma5kdX8xtcTXKI0ylcBx6/qZ3J95F8
5TN3CLle+mneOfMS7PpR5j9R9svHZeRICTFiVAJ4REv+95E1xrikKgEu0cRF80y7UL5pNHvC0RQK
V/MogqmL38UdUsGsslujoT/zEOaPQWXmTxRbwlLSfIsE19/GsswnKTqx0cyHY6F5GLnvBBuj14yM
0friDi0hQcvIXhiA4G9Q0v7IJa/ZdXfQBsuhhm5AOlwz2Ch3c6KhHK6ubq3hdBgDxA63G2fKSpLp
6Cm2SKIY3tHILc/a/Oec/D8zuFrOPz0na1nx4ceUvP8J9Y2sqL/s96Myfg+Sf5BiGPuZkL7Nv5tb
Sev9ZvKWoQ4iH+pk4N90xXtckCN04Nuoi3/WFZEcwYd5DLU4TNsczP+ds7Krx1+/6OOcufnxcKkE
bhzOy38dBTWpyJeR4c2ltftk/ioqAWqsFJK4nclAEFHAYc9P50PCoKAwjhU2PLfFqy3LAx4Uc+8Z
HSuuE0H3NMzaBYsxD8t54pPwo2lzCbeFYe3S4GChm1tb83LMiC9M3haqVVYDYfy6I36o0RTmHEFE
32aQy+LgaiaGknBU+sFyOO2qtp5fnJIO+LUHU838nDsj7airRRjkYFrA/nDlEl/vIrBSVvZQuCAz
VtHC1Dm+kBxsav8lho9Wjena9B3u9lYhFLPnlOFR90p7swdwK2VNMElmSLX0+7IefBuwgAnc4YyL
LqO8xmzegR22O9nU85Nr5yWLzDymfKk3G8uXujRl8vCfD+D/5ANoYfmGAfWPHeZnlJ7+PfuTqv/7
F/1xUwWNT3ro98+XVu7/cJYHv7kMpAWyfSB99rBfPnzBb0yqAwvcvuMBZ9QViX/kdT0QWX6ArdwC
d2Xqr/o///t9+l/Rj+rpvz5V3V/+/09QuL98+JiLMxawfWYLTsD10NbAq1/msAwX4xapLjoNFo5C
Nk5L3kbaUHcO1rU9D2FwGsxvKTGfY90IYIOUSwR0wQzqAKxo2DuN1ew5alEk8svL+Ptv+utvhkj9
53WBX40/zgUNh6mK6cVfr9BT585uZvveUdIVWF3JUppXf/E4EAO8d7OV1dNDZglDbJM2XKmIw71R
D5BJp6APv/tlad061p2m3db4nuRH0jTRI/SUUa1F3FmfixjuQwuAC8l5GTwDN5WLPn3ljOx3BjBb
ZfgH2nmWjUDCBIFFdlGAmKioF2g/xPMQHarJKFJwJm7eAMvpMKoI2XE245YXnLALWvo2nG4nhhMN
VAOapwJm2k8UyvYfgoqBN6G9YsC9ByQaL3fafCvmwqT+hsrwFblZQLBETckQ+RkHo90Q2nF+gvCc
Z7tkmPOc+6ADILLp6OHAicrS9EZRoLEnxdmemii1UNWd7j0x4/YaFEDIvLQ7Q0U81dCPX2WZTJAM
aeWRXa9ArVKkPhmDsUnkwpWYPJr32Ahnpgg93hkJ1GRualb1bIjgs+mkHSYdWNebJcvjTzbASrky
e3d8MLiC3SBLgDWS8dxtx2SYLpFcXsw+yq/tTPJ3WoIS1ufoWdHOzwzxre3AzgZI67hTQHJzwTcT
79n0s/qZKZJDha+PSjyQaR3WYGGyBwhOnfMhjYAzTJaRoCo3WzGH9q7BNPk6c4dalTFcg8kjvoPw
WO5qqeJsbbUekUX2yS2pUuswOWG9BVhprLB8wXpGej2KRWFhaiLvxqvenMHDt7tU5uaJdGpw0vsi
uXMzjzZhaeafagrLXitZpT+bkcg+2QKjfmkwu4AVs6eLM5jye0QqYwdLo9kiRQA1t+nWzueh3dpJ
hejP6y52C/4XsCB4wr5mPPYrx26nteJJWxHzGJ9NOYyPAVHrszt2/RbAScBNLc63kKVLIoyg2JdS
Oc+xKlrEloWxOwotjzStX+FuHLJuXhPv9j4xKxRrMOjGKvSDfgv01fpqR8jBRTrPP1Dfw4cGtNHG
n6b2IGqBNqXS1PuMA2sBHcbd4mgPXophZnTmeL0osuv7obIRHqTbdf7KbgppIzWQIFyZTjBv8iiP
sP50ofHqTh23R2Hk6hggKpwD+s5dquTM/DiAOO1W+KHjS5R55Rk7P68ePv5lLYZ0m3YD3H/i+IzT
/FC8g/cYsWTlYwt1sy4vui2el29psgcXoW1H6gGCuZ/oTxdmWzAcmGuH/eDlDuh2zFA3Samyy7Sx
8o6Zaj8E8bh8k8NCffvYiWNA8+Eq8QCKb7D5Vo+shONn2p98MjNss+aqiJZS58zaDD4HFO6ZLFgr
v5ShDPqNCysKZipU5OER8UYcJwt0yopuAKyN1qDi4jJXkrFUgFX4WEVeRZE2iwi4dLjOEOwqnF4D
06orusx481oSiRBj42HCAdvlV8EHAw0Kz/dqpFqLGG1nYSus28V79FgOzgXDG5oXw7x4C1XZPCe9
o6rtxDjpIdSShUHDWbeRWshItKQhGbnlG6tPxMbUkod3Vz9aLYQMi9s+EOKOnxJ7zD7UWjDxtXQS
UVu+KeqREo67suJ2WfaeRgq9JblrL7AbvCcMjrnxCYQh6gweyuDZvms28q7fRHXrtTuhZR2cZ81p
LqzxM0h4xDwt/9As2RwmFKHF8DDdR1omMu+KkdLiURzQHyvHoX1xHegE5CS8+Ga5tv2xGorkWc5T
YR26touegILWjE3oNM/XOGa6L9XMWW0l4EO5+1aLWqGWt2LmNfRpWdPwoBAW0Vqt0Y0JN/p6/jSr
mAS/FsvcAbYXkg6l36zvaE9GPO4aCXvcMwJ+RBSYywX2lrNLZ4e+8Myeto0W6VgbpmOqhTv4Uhb/
4aFjnedDnnFlXc345rm061JS+OWof6kWAq27JihnAgArs0Mq5E6OajgoMHfKx5+s37aD4cdkw1vC
1Iija3uw5LaLvffU4XY7+qJeZ83kvCH61Me0lvIpcGKLn1q845lHxQzczLliNb6kIUs/xs5LNPsh
wmZ1DLDXrugcoFrQKoyNb9LoUtcifZxdCmtEZdR8wTLZV2JWaHKgLsZHnH/m2raxTePlQmRp+U/i
m8aXVOuzre1MZ+E2Il93dYx+6wbD+6A1XXp75KaFpYVZBhBcrrVfnlKXBPNdEsa8jDw8a6W4o38B
H6zvtGfH12qz68TIylYHVnPbzwbUR1SowNnNLY2qG/Bf5puXKlVuG61bi7uEPd/l7EhoaTu9y9zq
Lnn7sRy/EmnTetRdFAfP3H6m9id7w5fB2wVPXqTD1TBF9jyb3gv4C3ef3qV2hy7lhf7G2Hno7mI8
92H7GmYlmpKKqy+zVu2V1u8RtHm/6CBA1jectPziuE3B90T1t7X+Tycl4hIpueLBbzrr0rGc8SnS
U4PoPkDg3MUwIfdBWIMXsLOvXNg+d4ZF9+lswVjA3FWfIHEYkjuUbwjcx1MYr+n5o0bRqJrima4a
9VhpbicGpgQFUcM8NZcKWxuBkR0T8ecoGNmsucE9UHsSM3XgI3ZJbM9yNygS6BCjIMrARFYgF+ra
11BzRRHqmm9+0NQDnGYjOKFFUF6B8YVSH0iJwXa+Q0pbzSv17+jSQFNMGcYDNK2THBTkZCyyWeFH
HS64W0mKj3cUanvHonI8aT/ad1jq4GhwKgyn6canFpyqyTMQbgNNWR3Slp2AgXjZHCiKEdNmGsMY
ajhgOVCEueO/TBPU1uoOcBWa5eq3GQttHGiiP0aS9KGN52wiYi8LtF1/esPc2jyjPcsvTein+8pD
DF4ROYZ7ZoUagiWbct90LUQ4Iypw4MfWwpbRyLjfJ0VtPdkA74qTX1MFEvWSVp/SFMQ/zMg81n6a
m+uSjs4VfRW0p04I5Y46e/5sV95/HbL/M3/8l/NHdtpf7iP/za51rMa/DB/vX/D7lS4wf8MJyt2N
jO8vk8fA+80TPPYePmMoxr+qKcL5DUSxRSmj4xPtA5L3twudMDFw6VmmCe74Tmf6dy50wvnLtcnk
JucKx2MqGpjAiu/uzF9udHOh1FDKxD+ZTTGdjbSrQZ/Y2fPkuFAJ8Nwe6UcUMIdyF6JLdmcG3umB
qQYJhrIznoCrgReM63l4Eo4K37IF2fTcJJAIY5zU0bFqNCowLNHV182dW2iFgDemXL7NrhpvfYvR
YtXOOClOAPfy78MAAXFoev8tpueU/eKOSFS4nmYYI3xOFBOBWLMUB01VTGMHwKJ3hy3iOfO+YzTN
f6BrHCPSpY9pMA0fVdKIZ2iSIBv7oQ5/Ks1xjIzhIaPtAwxemaSfF817FGE0fJwiDlf23MU/KTLH
sxtELo3s7SSfao/u9800Ox0KajQ9LLK1xlXQivmnhDxwq8oUF70ciuhxMOzw6Ila0jsC6pHgbOWI
ix2nGXoOQiwwxJGmkaWOykPuhd2W5uP4szU78HscHyNNJ11AmJCU85fZiuMrkxjgkX0VHZKRKAWZ
Q//kcsjfm9VUOxs4ON5LEUcYtDn85XI1z0DmOFfaGDfijOnRhoxx8H22TKrcOJtKisfyAfpt0Kq1
HWYNTo9MH54tTxtPWT/yZgrO7cKoQGOryxWgAv9RMAdloDLI/nmQRXOI5rg6ZIbZMd0NfbUOkiKv
iAh53GzyUZ0s6QOptCdeHJKtimt3mV8tWjfMlR8t6ZVzc0URqiuHT3nP7dXrhfIhO1cSQN1CBJI5
CcICt7BQbSLQLtu8K9srDUVQ96YEGiSeEupkYKBwh0g6dcKW5hAFiqfoyVf1T6S7uT+YammSjUHr
+s8xAi/CHrcQA0u4wL3jufOMQ8hp+i3sMb8MTtlslwBzDk4Qb/ha43J88sYW7iCowx2gqlYyym2c
nVWRxlhNiTVeF9VF6VtjEsgdbovhJ9TWWgv04b20huR5nGX8RBPabOXfeXfhyKzjok14bSdRotBd
zKWdq4TYjUZ3RR1NWYVV0Wwg1ECfxegx17LsD5HPz6C/eJPmy4vo8OFjYLdgfljWUB7C0tL12kAg
wS176wE16TQrke26Iiv4eDvtGrMzOeVsXMkSDiDR6GrbEVZbY0EPd2TPyHdw16D4mMBMGznFJs+s
M3cgykFMS5JlFc+mCA7Yh1yQIyJcz+Q5uAuXM2yLhte9nyZKoAbu15vSb3kCRdmYjwagbW/TdT0Z
pzaknidd1MkudIKH/f/oTMF4geVEtRLVf/vGhalLcdzSnL2u6U922hfPs1UKbguV5+69tFTPRtDd
lpgPZsZ9evGdD5bBMkDM+LvfVmKTejgAqyTtXo3ezh/zcZLrrgSDmEyu9UJEnlXLp6qFeS9sXlBQ
dNqCQFmlY4Rn2qYsYuizJ/p53oj+c0xf+GAblXNIVfTsUVEFec1K12ED4i2FOuSumOv7By5VMNIy
T7/a1fhqOk68MQE2H2Ullq2de9SA2an9TBgHeGi+ZFuGse6RGrli6xENgLEluv7BRb/aNlNKwREV
Ix+dXAg8nG66iUFyQSMHeSJ7JV/xrvTnevQ0pSnqWFMY/4CTTdzQeDcXbkN88qPlanJJhiscpU9o
V/mPLGLwVy1CHHojSC+jZQCFiLpo2oX20q9VaRZrbGI4bZOseSz6IdlLvJzwJe2vJulXMAT05U5h
gUU8aBQeVw2fwskW30aMCdtwQXGhDSrn1badlA8qwy1IKIQ4ec2dAYBxMqlpTc6+vCQgmq9p59M4
YmJ1HMoM6p6yza3pA2NJhey5sPrFJ6a8/hOwPJCuEW//J0g3O9vt6dLKpvJqDX0CSzcyXylGzMkl
CvVZWpF4kc1U3hqyFRwhG3OX18A3h0X5R4jZXQZOyOBK6ts5i26c9C+JcCj5izvnK8mD+eA4zXiZ
7KZ8IAHWHSbDta64PTMwePhEumKcX7jneD4VjVbyqIaAiSdD8Av38/BgxsRch7TLUAF9lsw8uloB
WI6E4C5Fg730ad32JXdjJ9o4qcKCwpl/OZEkj3cFVhy6J/LwQ0yFUrwqAIF9Yaym0WLGkFxsVJoD
XekNd31r+laoHqSRUy+vzuBAZA1TiSiXJ6T7ZNN9aLCyXRaonxekBVquc89Med6a+Nn1euuFClB7
t1RpvZnHBgg5Jd/xx7qpO0ruPZJWXcWdgYWpObCjT18Jl+evTox8uSIgOG1Hghdr00aKS3kqT26r
bqqnHRvfg2Mp9clsPD00nBkNZ+an2SBtgBoq2+SjYMZaMgyuvJ6dKDOpylqqmKwbkSNQdRadhrMz
TMW2xrH83VeDtw2zGXtBm7AEx45gcty2Y7iK4rnfj2bxOk5Ts09QOLc8pOGRtzLf9GWZ3xzt0HFL
iXXUqDeN1yb/OR8zr0jU/C/Ox/jVPM6V/3js8fjjW/u1y/50Rv79i/44I7u/EesSwhUBRDyqcfh+
vw8+LFMwdcRtxwSRwYM+Qf8RZtCTSiJyPp0d95nI34k6jAX/Mtf4Z3MOW9sL/zRl9ElxMzKBocNI
xeUX+/OgI3d6A2REPFwcmDVD/LCw8tkeSxx+l7m8DBJ6VV0cE05sP4iY+uxBPHKvrt96x25R4Ute
+OGyKvn1H6Bde1e77bzLlCKnrlRu1JRUcPVlbWyNXbkk/SfRFcVj60sywoMd9LtA+cmjje94TZdb
pFb0ntvb2oqpnQA68qiiwkVeJUdpwrt8yjKzfFIjpGXiz2irrLPZWzuP40kYrd+vptYr+RCSru7N
WFdm+VXwnMd+8dza6s3zs+XICXXioCKjJ69xl2fTytvniZAr8VB+/SVU09YYHbKkIGvWk/68U6k6
bcV9EWCXyF97vTJIvUYg9LNccAKcnhq9hjBRjT+yrffz2tRrjKNXmyCW1ou8r0CTl24HEzDoyjDL
6QImw74gYXyg65flC7YPS5nQq5qp1zdGbCw2LHkZonO3gtDWHUy9IjZAxmiV1Otkcl8yG97DD7le
R31oxztDr61twXR7FesVl7Z2STkFBVKEAFiRbb02GyzSY5YiFaZTtln0Ct7RQXQwx4qNIC77S6lX
+vi+6Cu9/sMu6YHIBIBOvcy+EjHuDrPeMcCujxehdxEuJM5XJrXVKQ0s9YIFlO2m0DtPadcqW7Wx
7R9RfntcmOxRjSWBKYZ5eTOU6bwovZeRNMx/znbH/qZ3Ok/vecyejEcnkTsCt+oTrxVbI7td8NTo
/dLhcLmz9B4KIs/kmMi+yqHN2HJ6nb43pOKv6HvVJdU7cXDflCEqsUEHeq927tt20+KSWhn37XzS
O7vQe3x53+49vfPP+gyAy2jY+RyzodmIr3hV/XOpzwzCcetH0YIA7PWJwtBnC2iH044hDAeOQZ89
an0KyfV5xNQnEwBo6ZNZB5xW9Lklgy9bw+TnNAPnnYNNeD/kYGnjwMPsvT9jX5SsX5yHEn0yIsuZ
blIjdz8lVmF+RFifLuw95jbWpyoCbhywqroZbq0RLZ+bvLbdlZHXEw2VSfQaiMy9av2/9etoPwyy
fErMTj3bQ2xvM9dRnHyGJSt4JplIuVWjb1ZqctHAGL4woiIjgHIJFMJJU7DhgUViZ4aXA37DEsuK
5D4Rc68NizeWkfppLvPlUEaNucVx6m4To4bCEMO43XNJrdf0rfpb5KTmiik3uraxsDde4zlf8oQ6
GyYj7fSxC2Op+777+cXzMNfCYs8N8gFWfHC9sDj1CwxiTifEHNaD0bjg+OvZvAITsix8UGVWPGKz
i96kheEAE14V1mvRNCErSVIvXCqr7zBCIIP2XjE9OIuEPZlkbpLhSR2Mt2joSFemlotslhsR5uXE
Siua2ErYDOzES8EEpJ5uRNqtjy1uJm56td3WDeWblWtOD8xc/Yk0gRMV/WTv2qGONMN8nD2fiLHZ
d+ZL2M327H2IZEGcXjlxPxwQI/m0n5Ya4+OyVrASqPoVg52NL206RXAzoyyMy3XMJG50PxRDOjZy
69euke0Mrhbp91nWtZXt4cW0LRsXm9t/dLJ/cQ7gEqztOP/4HPDwNSl//Jpo/P0rfj8EeNRv6d3W
c2xd3fUrqVxa2PRNQFmuZUmEsV8OAZSAuSQdfYmARWDedP6ulXE+QHgjhghTz8QhIf+dQwE/4tcj
gfA5ZDgm3yfA94Zs95cjwRwQLKAJejlQagBtyp0fOKv+8mr8v1wM/+1HsBG4OjPJucPi/PHnU0c4
AlKLdDxvCB3qFvwV9YEr3+Ml/dtr/v/xU/Qf+ovkx+V7mtyYnyLLL53xpZp+KPdf2TH+xR/CwezX
HyGTSqBJ8yP65SbN25xsmuXbP/8r8KXp7/KLFYxUCCNRDSMg5io4Bfzl5eo4R6X3sLJrlO17JT0q
tRJztLdy5Ee7IdEFPOAh16k+PIEP73dT50xbLvrWfp6GcZ/UbftGxMix6Djp0k2Lf8t2qUwGTDzR
lNxCJ63gkWwcNbGVUvbzwghFZwyLPn2dMyJlMpXpufMGCUOp/oI9F9O33xFasIZDT3sW1+OYwiV8
AJvMkPFDXgPQyJq+Al0Kadhr+/QYm7k8m5hVPhsFoswKuE38YDaGd2YYziDeNLptbLh4hPUaiSuc
eiAcE/2lD4rlA80M+SauIdaC6nn37EKewqSgQdUAu9PJpdgLu7uIzFYfpnIWtzEEbGr0Mt9WTpse
RcHNPe8tsaNMnPHJVFsPvgnAlzblaTXZ0/DsSMU3yXx1kUsKqBpw7sx4tLMeQvIqhyoNEAqqPr6F
6TC+BwpH9rAQSV17IZKLHDCWAC3/MZZe+CmGx5VuqARfPngjJkQM0taPtgX6t3Y7oX4ajQARNKW5
egvsxI93k6fEbcAXQW8uL7Ar0KHgYBNCUzqjMbseU+VQUZgTOgo1j/RKyCUPgZOiWLw2SjLASo1H
6NU/VMdQa5xV/508/wex2D8CROPPk43SIXoj+aQyxD9zRsPjSNbAfx3Fj0VVbUDSq1kOaYNRJM1r
3gSX7CKHab4faMQa0rXMTkXgdm+JQYcMsEF5LvDwPNTFGG4dt8Vbw0ALdcROj1HpDJugrdsdQ3lz
jxsC35/redE6oMZ3S1jSJM6c+9HJnYV9wP/DD7AXb900KZThws8OqZsOLySZ+xcQIPzjNuh4MLBQ
3/KI8SAdr9nJd3zcy0bVw+gIxNUPeDlXDcXam6KtCQqzdj6qMUjTI8G8YgctCFlmwvodrvs2tJ5x
U0S3OUrMl7Tsswk0eOJe7dxK93EUmXtLtOG3EIkaHds2wkd7DOiigjQqiVdaJe1RYSiuc0wH9ByB
gEH4Fyd6fZpLA5Ln2SLQe/SC2nsKIWXsmew6T9IqossoXJpvm+WmGL0zv3QH89DHjWcfm5bUZd9P
nJ3pSQi/KYzw2IBG8o4O3Q/7ao79n8Cl/J90ppEsxSR+bhm+fIsDE9ZP3wiCKfRG4R5XAS2IgX49
QqSxDXCZ7zCueCW7Ycq3MenJg9VZ86GA2XqhC0a8mtiVt+Hsozc4iEB7Hwfo3sVX8sm3wwEnhxvf
zKIxQTMj8m0AT1O4S7m9s+LC4b9bGbp0A2fpkXqp8WvrOOVD2UfBFa+H85oHaub42NFnMzXkBu9E
RS42yw7Pg/9Eq0z5dY7d8dbOYEmnNFaPU9d4F2uS8wNKsXvOaqfcWxzv1qgc3kuNCwGY8byQ/jD8
YQ3YhR/QMAqIV7lNT0+7mLJckRTJ5Kr0PHcDoKfCMjaaP0XiKXL3eRW/NO2Qfqc7oztYA4tQZhTd
nkfD3UxYc0k81d1eVSNJl65Oug27CrN0UzTnfPSwPMRVE78udsFdkPw939MNY2+TBhKvjSyXE79t
9GpDuznR3tCcsdPN69wNk2adeoDjGBGnwRGXK630iNkbKaLg6HZBtVPeVCEIaetanCVo3R4cvTUw
o2XHKUFtCUa0R6M1NT6g8ecdE1xjC0MAPqFNH/Saviteh6laCEowoX0q87b5hu6lWMaG7Jaj1lHH
bs5rxSrwhTathdJ4KQ9444cf0iyXnR357tkurXI/Vgl9EHSW1SgglfUNhxP1CTl9JD87ctZvIB3H
K97N7HT/53bpuQxpBGXqU1TYeCfkeB2XdLreI+yDT4p0yzN8z5OBwbciMAH3H5nQji4wRokB7DZX
1ZWTK/Nblqnuo5xUtxlcxgkr0TrGNmGk8lBqvoHdRfazKKfwcyri6m1IimKvAvLzrruE24RkrM4l
IPY2ZkAKuc9OXtV/xVCqjr5EF8BFQyG5H2bmAS8GGIC5HR4DZfLylTFXydYKEshTWGAsgxprWiGq
6QAWCAOHX1vOEe8Gt3rTH4oTY6UpQ572FFj2dAE/gI25XZmTtxwoPPdeLOxen1Q3LLdEdLx1tWYr
uLVf7uWoqY9L3fNjkVnC07T43cpqac9geG680nkHvsCYeOt9Z7EulXTaY5878ffA4l9nFHW8FK3n
nkPGNfvI06ngJsIP0oSGv+c02h6d2sjexgCfXFk23kvQaKw3Kam1jwdkH2kIRas3uy7AWwVWbnoa
NfDBsSAqVEHH0D5E7XBoM/xqFQ01jzUPOIYMqAI80WtpClRyYZY/UvbwI9d4DNyZt7zxIKG4xEZ0
VWkfUHNIrZWnw/xJW5d7n7nUJ8WBVJEEtUO6XMtoXndFGezt0JielMqW22KYw4+hDI0PhS6CW5RK
rQ1Qud/fp0xN4c/Z5JedhAM9QYChJb5tvEYIqU8YieZTmtv9FoJd8rnsO/8WVAMNkrgzPzr9LD4O
rSE+pm49P7JTebu4iY3NnCTGxqhFfJA0lD4skdE+U8lVbm2oH1tCnhOoAV51KJDxpup8/2rrPBNc
fja+Lj2DX7Zo2IwJmfXLuK54EHf0WFBq3gAZLINUHYtZYaMncbeeWpNiVKxy86m35/wa+lZ0tLAK
objoZxk423ILDOFzrvDFeSFh8girPtwWuYyIo+ALW7ncdK9mkxZHuv68T0GIvU+FpnDJHbEZ4iLh
7V+a5QHK7fJg4XLiDho4xdqcs5glEJoHvOJv1K5MjywK89Guw/Iq22UBAQHKgXRuPb/RTerSW7sw
o1zQv3fSghYE2iElhCnTKzkjPDKOnZ0E1/1zOkIVsuRoALOsp2sjO7ZuKt0YGDaV4eB7LWRGfr0N
ASVb9NexNw1HOgXwrISiqx9GlZfWupRl9dpXU7nrWXA4A5US266w1bXB97Nue4/yojhfKP2g3Qtg
/biDYW7MZFRL47UzTQaC+Nc4MQvG8DndBWsz6vhoApVN8ZMmTJ38oXFWmHPKvbLK/M3seZyKeuFY
HSTWNzMS84MoMBaLcTS/kRez0RxhiKwMCghOcccHM8Fqd1qmcbm1mZQnbxTz1ldzy1TTJknvzEPd
YHmEKrxSQ8VKV0IcuZnexGcenEY1r0P+55WqFNTQQEuzvTIYv/FPn1IH/xMhVlpeOvKT+8R0Ftir
IehUusf1X3SV8WSvl8CNH60lsbs12MQXGthoc/DTcrvU98KESlFI6M72l7mcfVgzZfPCMIUe+Cwx
zlE4PPV4w1eEnmINq/7hN0ruLFF+cnoCvTmFihf+jGyTmxUrpxsRuvD9dtzSimLvQ+jaKxoO1ZmA
XtszWjcRJHp0q3pxcTTEsMzrpFoTOSneZWm8d4t7nezO2dnTWOhzW3PEZ0bj7ZK8jlW8rFuYXQdW
qz0vxLBGRi83UYifl2abT0bJpFelmm+SdE248QHH4t9r1cb0KV2iro9gtaz5e5FLgV70tkeTYl0+
TDUF7mUcrWn+AFCW5FWyqpyh3+uMy5eoH9xDNlk5/T/9NGwnf6leagHmFH+jySSqsONznHr1U1lm
9SeYYiUQl7nAZVb37/UgvRdptbiqcgAqR4oul5OdBNmetGd/MGJs6xtw84IqjnZ5SiOvfamZQG6H
opfzGrUXFtXieVsmR/hJ2jje52SSd0OTcSU38+SEh30G4agoq26X4mwxqD9gOHeDdjNCbBzrnd8D
OT535TeO99bnySv9Byvolblubbe6DU1Kas2u+vEpXCgXUXMc7FMj7nbK7/koFgVFfRkGTvxuLe/i
Bh/fNyTwZlwPmAyuwlLprXRVtSOb1H72Ws5XOM5j+3H2A/UZ67s8ZbhdP4YzDNtVgyXmzdQ7pGcV
NWB9Pz5MZdmf48QXD3HRqY+4tF0w/s14woAznEdjzt6VAPiOS4w3t+pV+DTIuvhedNg5kOQBMXdp
hUUTh/3JymxxofSApJ/BBZsEZCm463ai387G/2XvTLriRtq0/Yv0Hg2haZszyWDAGAwbHWxszVJI
ofnXf5eo6m6TZGce9/pblBdVLgLF+Az30IhvVuHm6zSwjXQm6UY3pTb+SjvX+26WbrHW/Qkr6jCb
NrbKkmXSUfojxpt4CqM8wtIUcubKGWtusiRLdtgzo3OPwhTLy2u7H8kq8Gm0pkVveBiaU00Ekvig
ZTE0Z/zIQm75BYUbdOb8kaTYkE+oL1k4J2Z9vNCFWwGNJjLelr6TP6A8Wl41U2Ze4CxDKLUOc8SM
QXqm0mvxaFa9lu9Ilxzt14juDOg/uuqIAHmPjQY3nbzT25LF9AtTi2kKWFpzxaOY3RIqJq+DYZXf
kiqtvssWl4Ct1EBELuKgilPQ6jNTEnazSTLVFHcYOfTFUpXx8JLWDroMLXSzfWe2v1DHQVaY8s4V
yo3FpUVk+7OQMCJHcFKojaQ3U9mBc1eWlm2b1K3osSflVdpJ2rtAH5sb9CjDG9R6nAU0t0StPc+u
rmtscJYKI4N7zv8bvXkgFrxpkNPBcC6soJn28Dvb2xTuDt4lWfRIW8Ti4cJSxijy4E5Jq/xhafJF
JKp/EePwdWpNJTZ0ZbqVVvTGNqkmbnapWXgezw68s93VMoqqGqfzTOVLPLc2TtTqMF86HIjZ8SCI
S7GNIsfFfRuy+yKtW/cighu6gycd/qBLBS2PmxCgrQZtIxzcB1Id3hPMOV+CHAaxDP0ngU79pS4N
c8tPMWHtVs1XEYs3N/Nw0Smb8Uc4BR3O6L2HioU1Jtc+bsBbjL2ZMfAAW2grA96yPpNiBe6T20Xi
Ie5KOBgtJWqz9gH9FsRUGNX4Gxu3V+rH5i05yCMXcvplkJOzrypkgZq+cdYyK4JXHBAmdOV7Dx9q
K7nBAAHOhK2RxSDiNexgGlXoifXFPTKAOO6a2l2e581F4435XRBrzq1b6SHcGQfBTmR7fhshCJES
5dR13cbhPgC49KWw4fhldmp/FTLxi3CJw63WPicFRIsoVduc63bdSQswezPod0HQOiBuZLss0S9D
ox99qYYbF6wN8Gof669tnbUPYQvLeXB1Z2+F5bht+vol8gt3l4QRLxaBIF7CrrbLLb+7IpTDIU2A
U8MXJCX+LYvf1MW7eIXOzg+rSuSz8hrcgBdhFaU/Sj1J9EtDtsGl18/OcFrcs9mU+dCa2jAuEY23
/Zs4q0MT246qQvWjLqW9qYphIjWLav+mGOvsochp7cB09LdRrMKVpIT14Jjq1zA0WP1MhCp1ZdV7
fep/ujZZg53BZySoIkmqOsiTRppcIIKLuZIydho8EhqSng00xnnM0UZf4u0Q7ogKsxXljp/KRJAJ
RlQA4I73lYborh2cV5cUZMDU2q71O2Ioh8oZZSKt9Yyfws/6S1Ha1tqpLAopKUizMDB2na8FvyPH
sm9tXTPv1OD/rgZB/4Oj982kQRmtbFVWMVDAIVjRTJ0FSexyq/tDC3GnKlZOE0JyL6gAnC6Efq6C
4qvs2rNUpG8gtXdQa3WgaRSd5tW7HgOrBT21cBkj6JTn1ZZ8PN+eHu1TFdybR/MNC9kzSlKHjXF3
sIcGIH+9G8vQXuiKP+Ic1Xw6eNnq74cyzJlTbJvQuA4ZfTp6xZQfDT4s8sKHIRE8GUlnXOsNmLnT
Q33S3+Gr6CKDghWoJ7v+wRwaqa2PmcVQRU2DN82adOegjrkM2LyLKhzyLZiZ8W+L5AxqGpCvqcPZ
eKAeDGqjN21qSH/s8JewF6bgD6emZEdOKs583wHKd9ZP8jnQtDBcoaPgeyAqmnL5T1Jq9Q4TcGt2
ydNodFdecpGaVDSRCKhu5WhQQcym6LrNgFyent+5Ev+xUs/40MOFD2qZHs1BpR6DIRnpaah2Xq5R
gC/4QKfqv50e5FCjeP5I0CC6Z9OO1D9pFGOU04yNb9ZI+lO6dfuIKCJ0reAmM/UJQVOQiF1L27lE
bnZzeuhj+8cCwm3qPs2bT/rE0NQHIwTMMRdJxrW00OyhrkIhGA8dVEmskAhsjLBaPj3svEMOp9US
MF7n5hRQclpff7ZZLOU7JQq5WKVXSbY38u4b2LxpFzrsWt9l/54e7tjZt7hjdAEkHckq8+NwYV3p
huaNDIcS7kNlVgjzB3CVwKGcuWWMmUj86cswnRFk4Fw0+gHR2EcR/Z+1dKa2/6ne9+YYtG9AFYaF
hn4SQlEOXH5v0l8jnKvRsqQUf/pzj21a5L0ApwgLs4lPh8a1GpQG9HpnuaG4s6GTXcuQK/b0KMcm
lSWc21c6jc/3Jtcf3TgxBKIVOVfP+y3QobeyxPJ9APabyDPrd+yDBGpn8BCoymMP9nH90gEN7REO
5K7vK2iNffnieOXL6c85N8bBpYafuOnwUNc7w2wQJ6u3wsvvTg9xdHOw/+DPshVnZNjH78AXwutr
s0HFm9j1Omx1c2+WBY0yrFC+YxvMliy6WXOJNgsUIP3CC1AhO/1LfD56SOmjKOdx/nxKFwc3msBv
x9JKH/S7AeqkgZi7BNtYXWUaDotgpIrV6fE+zyvjoVDnE0eZCHAfnL2KtMpDJ7Ta5cVAgOKMd+BE
3DOhxOe9iIqEh7YApV1gdYca4X5oIC+RZgC4GkRylCzjZSm7K5BQ/0IlPygLfODrfzrfSANghTcL
XdsWPJaDJVRxPI2jV+642rDl1NQlIm4Psk4eT0/bkWUyXGHqBmvFzfUuvPfH6XJknlp+7Za7CVOR
OntFkn2ZpAWmAsH+9EifBQg8PumPoQ7eWGpUwG0chmo7n8J9IbDV6N1/BLvaddUh3TkC8t6irBJg
Pg7HYaXXVfDskLKuGxT/1/jLFFtTUUbLa4sCeI58+d72EgmJH23AsI+m6yAjDxQVosctxiFr8qpm
nZkoyO3dLhtu+rKlgj22TrakzAbf14mnMx8qjM9rR8PdZj8CkYQ9dHD8wKxrll+0zKmKmicfqZEb
o/PuR8eJX/OpBV+LwRF8wOC5xntr4yImR8/auXAcsP42nVljdl812295QGKEhwb8tfxe9t71FFBY
ysu0Wqu0p94YQ38J6sSCng5oeVF3sBkwwG6XA7IvO3rb/appPHPJOMmKEp57lQqwDEkKGGngvl75
Yb+cXFBJqLllPrNlzvbBk9J/YClTnHm0juw1BGYNEBy8WYT8c5Dwx14L8q4i+hiZlwQ2R2f41gWr
PuzCpIYdjqxhvzu95T4HPBYmFe+gWWAvcMg+DliVout6mZc732sgjcdlvq7gFl45lmy2gRc2VxGl
1wfI/+E/SqR/c3yJ5vRZbMRDS/zw+NYh0K+odYodZa7xewes+6Wi3/OAZE/y668/EoAHtxG1Dv45
DB3pi5Jvjm2xy7uargjCIzXlWrgTWlLUF45KY2+paLCPi96kaH968CMXInEV9DggySivHOqduGiF
UXYqip0KMBir+uIhHEKgHslYn3lPPo8k5kvKcEEYQe+b1V3+3DzUgFQInSTbmZ73NI4FTp0eUME6
s6y/3qaEGwCmAEaRfejOwfGViHC0Yddm4ArafoVCClqKyZe+t5FhTp23v51AoVt8mGkgPwOc42CL
hnEmMeKo+Cw7t3aaHIuSHiI9HZVZqTozh58PIIMR2hAa2DS0D5+vCmxI5LQ5X6aJh8jSnqrJe0sG
6yHsnTMxyHyWP8anDEVa6vBp3Pn2wXdBL4vHQgOIYclsbVEr9XFAXbhZNyG80O0pU56LRo+P6BOK
+jMAzjt8XuAReuU8YmV0+9SXr+VoPFg1cnxt5GRIrZhnjDmO7UgCbyQ2iToY8WBH2oq8owncdAde
cj9m3U6IFK6efmaYz4GNwCiA1BC7AqKPw4JC5+lDHPOjd9AlNcx94L3LgRfx9D78fFUyigGnlpsZ
gtKhGcGgmQOEOCPd1RYVLSo9yyxpf7uFc5dUDQ11lG+Rdz1zS5qfX0pG5eJA+N32uS0PjhrQ6MYn
7Ut3PtJe+LX6lOEwHJiuB58uPfbpaqFG5HyglQkkCFGWwQYWzZNtM1ThRUYfGcFz9wHXsureb3EB
D6UkOJjDgqo07Utgcc433+ydXdiof9Wm/9c7/ujCzPRjmoHAtg8XBkhClNHZyHZUp4t1MvrJXhuo
c55emKO7DFwlJSW4iJ9CzlxUPCNhiVFO40KwL7udnuJj5DbnopYjBxaPGWJb7iGo1QdLYbuZVciq
4CKCKguQJYgQ+9GHzemvOXYDOYQAHowSPCYPMaJToptD2Gop4CEMGWDIzqAY/BWUyn50CaT908Md
mzw+Ceo2llU6BJmPj4bXxA6iIBzRMQ3e5rmrY+cur4On08McOzyzrpYLJJfE4HAbDwru8FRyePAj
927T0aDFFthvNFvKTR3a3s8+k8kF1UJ15qk6dueBiBXE1VTKPiU9lE7xmhZdugvRtmkK7XVKwo1M
HmUyfeW6PjPasQ1P2mOy2cksPxXJMr7RRZw+3clQ4mvg2GibmYm2Oj2Z735Gh08Hk+iaPEcWMOeD
e9VvzaG1KbnvvLbXH+NILzeQksGjJVaX0Ztz+2+J4ZXLtmy6L9VYpDd25lpbyDqINo3SobEMhcao
AnSderwporZNzmW3xtGZd8mwOZmWTfzzcWfVgdLtPs95bQZBm6CpXo0GxxFQZeoidr0nSNLQE2Bd
XGWFFT+mfacuAr98iUB0QPxu9rLPxQVVJH+ByiCOoxHfcXoij5w1etqEoMhNUlw8fBAzl98hHgi3
+2J6k5PRbHQJmDLIwK+Mr6fHOjIdxjvG2J4LtUTdH6fDNJAIE15DaB8YbzoFh1Vu669qhMboon8N
kdJpzkQYRw6dYdCxI6LhxfoUYnd1NuIXXPJ5if09ikNtaYLaoY9RTwvLHKtvVd1jZWgU3e7vv9Uw
qGJSkSJAPLwpBaScGDeXckeudlNBeqcqnd1RjUfjIQ0fRxSW/z5uY8C5DICGn89VdjC7Dt1GJapy
p+khJsbY3CyKwmru+srPd7lDIn36C49cm4xHDDWL7hMsHpzAHNvnKC6Z2qEL6VyIul/pVVmtLBCx
/5ehfFQ2PJRUqfPPd84fOaFEHrnJC1I0wy+LWzS7pkXtNs5l3BrGmevr2B61OFAzD2Gu9B/s0Q5I
XDFRGdipvH1oo/KXbVcPmWL94rC681pYtn8/jRakC9NGCZII8WDZjIFem6mmYjeZExg/t7+v23ol
qQOcGejIxUxJHeVZi8ozNI55Pf+cxKkHARaQAmah/RQOw9abqocz32LxMw5u5Q9jHOwJX0OVQwjG
ANBvLBAAkntlK/vebJ0AZ4JeMYt6v7D7WmI1koTfSvzpAAvRq8WmJqX414KGLGI6vQK2sga7at17
Y4YMbYNJixDRnekj7FGMXfAcSL3Y5gpwFtktTqVdGFxEtkeTQh+GW9vAE3SBKIJxP/k5YKvCUOmm
zPGE1bGwwoMA6OgXdH+IDkusewpk5b5EgxttjVqNF5kNRLOzovy60+oOY1L/IS5TtWSG001OrQgP
B4CCO8CJ+aLsJ7kO2sgGLIxTUimsGPOnpN2cnt5je5NX3DXYJxZ9ioO96VQKUrnD3gQm/FoNzasX
yS/C0jbYm64DDbG70+MdO+HE3AR7lO9pCB2MZ0djgbPAWOxQfptrTje9mV70TXEmeP3cVkOKmK7h
XMukTOcfDCOGNIJK6SO7oad3Us72zL33s0q/0YS+BpCybG3zJayLMynToWgP7bx5XKq0zCjJ9WFA
5su8QknPpiZSjtP3CO2NhVcL7Q6ii56twcyQ41R2HqybtKtWGdqmNLcLLvLK7C5sUP520msXlt5q
G6MRxTIAGMqGk1v6nXSw/eSHjXs0TklAAVN3Cld+gw15jOjiKjSCr2Yq1NKbbEjPTSLSRYOEzTrh
91k1mfwF58O4RcUHLbShrzYwuvj3ORaxkWqStau55mNl2eeW4tiKO7D9XZ82HAsyL9UfdwQsTTsv
UhRQ9OZ1pFO4GHsdJ6rmnBHqsbvoj3EOA6NOdojb+H2x8+xZeIt6wxJl2PXp7XsstHEsl2zVpN/m
eAevhl6ZsqxEXexoOnnLEfszkvGnMkXAMVLjGdLZ0cFmzxkCX9hth0mEU3MZFRlnRYsctGjLadsJ
uQEBCpa6ic8czGMXgUPZn9cCyt6n4DcbR8tJQFFhJVffmcpFLT4Yn8qs/tXEYBYi58xMGsf2xdzz
JoEFQuAe9mkmJTPmlzgtgb4My8s09lhI9RcmtfhVaWkRqqVVsxykb93HehDtsJlX27CMEfwIPWzT
SjF+c6EEQc8I8BM9Mx9Hfz0uRMpI1G9pX3/ctliuKC2NCHP6Sv6y/PAxMruvmQWO5PSOOjqO65Ep
kv7OlLmP46hOGyMJHm9HJiqp5jSvxaj1q7Ktzzykx8JWilOANvT5D/fgHFq9D4MD7OWugTMSKSCu
fXFXlza6gsaXrKwe8sw/U2Y5toH/GPIwYE0mkYHR0/MdstNbVD9/+SID3O7s67I7k3N8MrWcb14y
UppkhI/kwgd5UTNrY06Dm3PNmONLE8nffeyjs5QZ3pLybbjUpBajKa0X67iauQaaMSMza0B/2FU+
CYoqT0HlqV1rwliA1QbPKGrqr2h5lSuvwBgHaxJvM7i99+jZ3JrImqmZvq0GlJPn0mZp/tZ7HA9x
kl8NUn9JyvYGKI5cIxb5K/a6fpGPVrzGFsX8KgFd89hDcT+9m46dYn9m6lLiYN8eNmCzTCoUuCSR
n5wu8C43Fo0unmxpX1IzRWpt7M8MeGyJZ2YWQBmXYuvhtMvECMeKYGgXVz4KQbKt5QbxLg8liSAL
FmrGpJ/+xHfsxEFACGLG5AM5LqSZBysd4qRElzTLdw4KIMuob52vIjK6ZWFh1BiVWfYoTTzkEgFy
8p0u4EU4seQt/m8NkL6thhpHdGYajsw7wcZMgfYhBn5KeX1n9BBGsrJd6odiHdWjc11EhI1jUqqn
pDZw6MQy9MxEHCligkqg6jPf2igEmh+vjnCwJ4mnEFfHFABltUKxAZBqbVRQqy0uEdaCnQJy0s7W
PgLbWMmoFOaF+NfV43+tR1pH7rCZFw4cAylFGm0Hv4gONMLJcZiEt5zgJ/rOa4itbLoDW13Yl8yM
e9EkoJGhWCkUnCkiGxpeLou4jrrb3ur1zTgG+vdIEHibzaR/JywutpiRvjOm0EgbfHsLJP/XCBib
K7tbCyeJ1mCFxarWimYXOYgIDFHrrrzw0ixT62tqFcMXji0kNDxtpqfIa/19prvPejumZxLzY99P
BwwOujt36A8LR5Tbkkw1Ft+fpcPXCFjabnCG+Ck2tGhzetGPDQXwGqwBbHSejYMAhKZTVSEKne/8
EvkyWXkzm2/A89SPsvDp9Fjv63Z40ubqr0X2yjN4mP4XmpO1fR6THHR24C0Q0hghe03C2GJM2a0K
NzMujVIPbpvB7G9MUwvvzEbzcS7N5Bb7ivqfqP7/yzeckW+wcGBnof9bSuCTzOlTrH6WhYqLPyUc
/v2//su+wvkPyqRUBOiNsXFoevy3jpNv/gfCPjcq5VWAGB/0Tl3UHWaMFeUmgjTX4tf418BCmBhY
0Gr2bcRS37FLf6Ph8PEdmYsjpE1zl8nip6G5M//3P7IErDOitLUj59LHiHpX58acbRc14MARzHdT
K/tM4fDYgHSQ8eU1bBCzh4oOKV8tTQnXi4fRWxkAlLa47w63qBTOwpnKOBOgfDy4/3wgrxXzRR2I
NOfg1Zpt7dDndsWlW0bOa+IzAEo0xoOykeP5Y+1v/zmgf0J4PkZ670Ox1Kw1zWrilMM7oo76iO64
IS7TvMeA3k3qnd1MsVw4ZmjcNNPkP7oYed/U+JHdnx76yFfOQhkU7zyUPdzDAl5fpd2oa7W4VGYi
LgqQB7TQ7AL+H6Sl/Ez1yfj4AL5/KDuQC4puLzHfYTY2lDAg3CEWl32JNPfClbXeLfoEvtGya9wk
RKoukdE+HwZFssZbo74Lo8yQvs5ibambhX8m///8+Q4IV0ISUOQOkKODwhvSPkGb4SQHEl/wuT5S
OFtdw9D6/zgW8YZNRs2LSyb18cSEiaVn0TiKSwg2xk0rNPWGGsRw3yamfD69qvOj8j/vwDzPGNSA
LLXnGM/71FOPG1lrsI/FJaJqvxVgjnVr5tqZ1Tw2d1xCKKww2Gfcnk4Xzm3MDJYoRM/LxOsiicKK
1JbGlMIxPv1FB0jFfz4JiI4BhkQwhYclUnCHRjdphnWZmHGK9WDHmGh+4yqV1Uo+e1Vqvwpn5JDG
/nBPq9jCGB5v1jO/xucd7OiCa0+fj6og1f+4iAFQiSBwUnE5eI25t2jnaVCffe9KaoodSpkdFlhq
1g5BTDsa1AI5vLZU8ZYbpP6rMOafORF02FCWZaU/JQ9p5jt4M0sObxcM94DMehg6bXkpZO2vT3/4
scV2HGCGSAxTdDwsA+JuWJe1W1mXsc30+n7IkdUyhBwwWWclTg/28arn+hYgQeljU6FmuE/bV0ZN
maF2p+0D5DswwNVq+VwQojxPeMbedsXI7XB6ROPjFTwPSQ9jVih02M2Aeg+eM5AE8N1IFvZ6UKO2
5hVatlC1Gu6dXhvuYxWwrpYNyTjyEvMhDjlS+dCUl65WyH7lxU61myqev/cbBJVgiaPqZMbolEXa
ZKxiGIZnJgm3uA+n3ObhR0YJQITj09ma04qPexG5hYQCuSX2KtPzjT5h8F3GjrYJKXK3i1LPKW4v
syypERNBK3B01oB9nLu61rJ8jfcGv2OQByxkYIfN22TlzdtgQsSjxThxrsxK4+bV6wSdDtvoU+QD
QzTpqsgb7jOnqnc6niNvNVDsCzwy0nqlEtO6oM9bPTedW156obD2dcIELsYUzhAIJq1eA9z2Hxuc
NpJl5AeVQX/f5kcrzBZ6SOeRk0IYixFtCtsYy8OsqBiDfiHixfB6q4rmPQKGAnHhNoZ+r6KSHSKF
IZ9nY5dpqwWT7+zxKygv8aTN69VYG0WEcEHUvKX4mj67EqHAfW7E4z31ieFWIwLuUETA3PnFGH2W
zJ0sZxZoAC33iJkOe69Jndc0NtntIjHt1xHp2TdlyPmF7jr7NR9T8ycUbnPXVW51XyP6gZ4JpEQ3
DgXSlBQs7EXv27wwxmgYD5pVcUgHz7sSQaotrUEwo0EcPJKYxNvAstRbrQC1aqVpPIBnZX78PnDv
lQqROehs9SZ9wTrlTu8/GlAU39I8RPHWsRp/PanAsJZwC/xHONb8LS0YrQs/KPgpWA0ZD1PDvIlW
V9U/L2rBS72RCoMezJijOtmFAlmkxei67GwROWLEpX6c3H00Bybvgg1hlftXmNAP92hsODT+dE3D
+qLIjBuUb9g1KQ3AV9dJmc0xSWSz7EoPqdlOD1xnL+f7UuvQ0t0q0VXZ1oScjXeo7aKVVDe8i04Z
cf5KPcQHN0eT4CYi+2Qp7bzx4Kl7Vb9yR8F706RBkC2MwmIvd4nmPyodFd8tbDtKOpo13ErD4y1q
yISGzUgmbeLSTKl4CZh9QnE+m1A1iHP7tSsr+xVepm8uqMf42ezjQS3JmhANgrrgrszQES9F1+HB
M8XjdVZh8FupAe0FJBINb2PEer2H492hlI+4+EJB/VnSTy/bla4C5wGsb4w/huNBr3eRgL+hRKNf
5kiJyEWe+v4ytmGaDrYmlmMxjQ+pr9vrtoyk3Kc6WVzBnoxQmVHFXSMVSO8kaPNfpV03vz0xlRe2
6bY3oHbwCx6HJBiWbcrNhPYRF1evYxy6aLRRfneytFYbZY/Oz2FyjZVqiuKqVJi9bqiSuOjvtzJe
oTtYwNZtyxsfmli/hJ4JYx2xHkRHGnk9OpGzrYoxuDTGxq22nuqdZxnnzQYlxunFAWK8xxkkhOPc
i+mlyCp0oW0Ty3WjYxm9AG2dNO2Ll0RCF1wVXYSPml672zkYVQhnVcpc1XWurStiQKhGZr5B5h2x
gghWZkECe9+mCu59WmGqU8MpH+12/BWEZY+6V6zdjX6Zf4/TTuD2haWzLGK6gHiDLbD1grIoOB/x
pK0CM8eTpauNTY79WIIKwA2SWTrXvxXACE9rrHpWDninssHFxwfesagd1wvxxFWD7K+IdL2daRmj
vSpiyoViJsIuROYHiBaF0QU6ZmqZNSpaTeWorc28bL/J1KkkRrtq09rpSNtD/5m5qvyObRROPb4x
bJQWWKs24/fwgya/41VC02rier9yYMcvZKizom5oJoiz+MWt3rTylmoGm1qjXk3PJmiMG81MOBJK
kTGsS4naziXkWwJs0xqaaslt27yFNVZM6IX4BrZtE1sWNqD/WAMGCVFTGGx9jTTUUMDIqPRugZtZ
NgGc0MrnwBDDLbpc2tIdMzhiyuc99lrEWRBEEuVlWWfzTzMGyv9p3HAFcRsTmMmS23YgjwLRRQjn
dJPx0EnB0adrWu3EQE13B4FePkvJtkWQpisVRLoiezZLUHzIzOBBCL/cLDnzkZL5i51Envw9yk4s
VOfCCsvcRq2LRPS/cq+vwqWdavaT7wT+RR35aof4RYjezhDG7QL5reiH6prXRMJRtUUchktEwyr1
HVh+q31FJQiJes+MvJuuTuKlk6GfEEH42SWaM21Gr5DfJj/M8ZVwRf+ts+v83gnlbzObvg+mML6k
jdnsuFddbKF8LAhFK823sInCtymO+69h67JynPgESkOK4o8I3dmVKooxDqgyhbKHjfwvtjkZngLK
4R5fpq0Ke0i5g34JymO8rqhi3cNRi7VFjSiwsXBYhWRJsOM/akU3FOvBaLLroa7Flymesi9op7b3
eexVS2Rj1E/RaYjXNZP1A2UAVPEciYEdlscY2WOKGqNBhs9fj64MRt9VxnXhB/YqyT3kx/ruRyC1
/mvfhOmd0bb6dR2H9kvaO2m4rLOIqlJSYNVRUee88cUYX9eDbe01v/edRdSF6tWMe3mZA0laFzHy
swB4tGAhGvRStgZX3kYjmO1WA5CJADW6wB02ERCpByeVctcVFsA1pMuu9LFF4Azs18Lvwv4Z2Zaq
XetKiXg/xMgzoiaoa87CC3ovhYGu99g5R63azfbZVwmesN/0uDb9JSLyOYZ+mqunu5bNc9Pzwv82
ukpdt1J224GH8LJIVJ6tpB8FalEapBcRl9s2FYERLyWRhQad3e3uQrODdFEkAdZJiivvGaFBC1uW
zL4aYpNr1NJHv1nOKjCg0/O6RfG1KM3rxh3pU4yYoXlrL3MFF6LR/ypNpw1wyqhmDbNQXAhRmWs4
MkgotW58r3Kj+tYao3r0slGsu2FCvR6e0SKl/rsQeoTf2DAl7sqSvRvTJZyiNz1veIcafeyWAXrP
2UowVbcdCjVbdHRdxBbLIP4Cd2X4pte9dm3HDd4c8WzT4b07diDKBCNduTaKQ+iOAN1g7/4Osmh4
kjQ7f/Z24L71ToPsoy4dBAwhGtoQhsoMAepgdg6hxouJSP1uKOJiLWLPHiMqme1GMBtv9ta7CUkJ
A34VvVuTCLeu0XSBRa5hRo/82Gxi4ofE7OG7tYn+bnNiI+iAu0KL+4km3O579G6J4s7uKPq7UUow
e6YU7/Yp+ERqdxGaeUvebGWIHVCAbGgfh6iCS/hPBvv/a6FnaqEA0eY69f9eC72OFRXKOv6zFPrv
//RfpVDMsn00bCn/AaAkNf1Xz963/4OSLI2lDyq2+n8cMGmODgZ61rCdB/8fC1/Ahexa/gJVUpCp
f1MBtQ9bmHQPgNmBS4dNY/H46wfFgBqKTtVWYYQwmT5UkL9Dp2sWSMog6ikd0T3rvA7YtdjlfQxf
A/d5/E4rL9dRmvLbZG24syIkwmPjGnOX9EvkNaiuO1qBJatbbwc/tvZNwa2edzG2PLY3eNaiDHyB
d13auxt0DKPLLuvLKz30kUkozexKRnV6OzuXbHPdj7YBex7B0UwgyJdryCm0qbOd4qi+SKnsXrcK
a5mJ6I4spB3BM+W9Z166Q9m/pLkzpqvBhUU760Sj3cNr1hVlcA+gAj/imB7xRTvL5k3lq5tmcM5S
i7ytpjKy5i/gptM5wwYLH+dLHwxIUBuOD9AjCkr9whgDscMIQPvZl3X1250N2fDh8y7w26l/hQNe
HFj6YNgWozaD0IhV3wsl+n2SksO/p5P50krMX4le6pg1zilgBqUTld/QuQn1IrxEI0f7WbwbxBmy
NG800vOLMa6+d/5Q3Se96WzTyOu+RbJpvvp+M+SLTJvqH7wz4fdaS3EXbW1SH7REkxYmij8tWq+4
yPTUjRcmTwYwMz918Vo06tdqHPp2aYr+iTTdZJKL7AeC+83On+JmY4CB+znpbXZFjvBFm0J7n9aN
3NewrS9lkNEJtV0UzgZvDnudeIwWPGpmzXqG6XeE9NCNZ5Zafhrd642prOxyxPWJJzx3+NDBT+jb
Bu2VEdsaeqZ6tB2qIHsoCxE9pU2M+25fSKh/41CWa9DYiNph5Iz+UmTO1KGYvYciKJL5rYDRB1xa
nz0xEendRBPZEzqoOl6DqohWGQK/IUY1Q/87TkzMaORgFSQnmQKjlERovDuowotqdK/CupxWNnZR
aL14+bVEYuzKBMxHEIOHrIb21+iOCL/L8DFwJ5OqQxuKHxUZAxxHaTtbN0NAqpSgEeiNk4F1qFau
Sq8wbqbc9u/CABdcvBXXMkKUBlfolVPbyKbgaFm4Vnqh1wSWaItp0apT7bjFGWq4hAyP/k7iNwU2
0EnwXcudkDITBPxkjbyL8Vb1umoXkd7jyIW9S7DuxtR4bvwsKJZhUbVEOkX1Uo+6uUQu1XglR6i7
JQan473qkdrZCSsF4Vh7PqhfbM/wHCO9n71ootkW1rAerU6PLis9Ej9apwJuhpH2GC6Rv4MeEhbe
S+Lq7jXyXaN+gRGC/4BlWKktx8TFiUpgMkb4Eapy40VF/mqHkf+tjsUPjbBm5cjaukanafxly3qs
2BNGWawDLyi+J2GrDAorSYNGaVbUz7gw1ni1uYmE0l02q1zrMBttIN9cRebQrGRT3xmK3jHUUc5z
raPUg8+ZICyR0zIHZL2YupmTIUgXRYSh8QS0fY9sp7u3deXin4P/HPMgsGlsW260Gloy2jYAyztM
lO/NDgWhMtbx9db8JhBrnnf92QTBs54El2ln6lgw+EUeJ1vCg+wCZ5/qhkhrFqotrea+9mLBxLp5
8pTGSUXIbDQWLLwpaC+CcChISbRevnTuKPFT1gCKIMwZBgv0SdQXof4fe+e1HbeRte1b+W8AXsjh
tIGObGaK6QSLokRkoBAKQOHq/we014wkz7I/z/Ec2QpUN4BC1d7vfkOnvTeOhzUfNnfjjWqVxuay
pMGm0fKg24BNjogJ8Cx1JzV9B9OYXpRdG5dWn8XVdpjwGF0N7nBPC8i6u05VEBeRz4AqctMJDqqp
TSZOcuI+KQgChDqKge6ak1OVRRu5ROfYa4YOgQKQ7NdcnXFN2MnXrJ3GsNv9rFcPSe3Ifb8m8mSf
4Tz9Z1CPtmb2BAPpPe2a47NYIyTZcU33aSxZbfXPyJ9yTf+ZSR4hCQjRoAtjGW62yJ6Wz8Ag5dl1
oT/7qiBmY5N2n8lC8jNmKJ5jbNvWoBIjn+LdsoaXuFWp39GHJqSjBESbrCEn1NqPjl3Xdy2jpTtp
9DEtX5bHj1NHQIr1mZWCneJ0StcAFf8zS6WfeK0wiaRplXN1Ax2m3fUJ8StDVthXtFJ92KzhLPln
TovBaRfOlcqupEmMS+uviS7WGu6S40z7LN0CzuVn9stqX75GrqIUhLfrklm65qzMg0kkdU12TLfG
yGCE5x4xBJvwdlpTZtI1cMZaNHVda4nEy1VrG3zMVHwVNELcL6zxY8KFv4usJboRb7Y9rTPG53G7
vBa0qsgzWjzsE6NUu9zG04xWC3X6gJqkGBz2I5kZC3FvC2ZehMmHxO3dtKXsNk5rWtcxszCbTbaI
76YlPjZubtIgNQk2ngshkcqXzU2yeNl+vZ8PuGUZ5yBfMIOwNQ+TsU67LopxtLamOeFUHVDTEy6Z
HbJZA2/t2lnwOfqgTgB36hZ0dtoHKgiOoyH7xy5uqpvRcMYD75OrNswMcGsUXlCRu5GMUAaU0qMh
r9MplFbQ3k6Yv2MalluYuDJE3KZOhottW9rXiHpjcLRgPvYcjNlGwCuoA/9db7Lg3egtE9cyXL6e
MwCNV32Ki2NPbvG+tlLNxyiPrYbll5LiapeWE67GDbtszIsbFDDTq/C8KSogzNL/Z/ieKgxRh3Td
NOHGgZQuSG2XbUeeUHNfq+A5M3GF3I54/4kLeNLSCPWa/h0ntil4ybS4uHdAbtsbt+uzHi+SoNU2
mCAWDhnsRqufUWlmnGOBUevthtiuTIQc/Nz5xlzUfdcmEWpDTJCt1PV2InC9MK1xYg/zZLoFQGny
i6FjwnmQg5Y+O3jXZG+myyseAo+D5nXTggHdpnDJ8nAvDWOeRxz5kiLT5Ykla3YFzgO1q8HrjpcX
yt75qSi0+j0fZ/MxGKT3YLQJtqNt9tDWntpWVlsdQVGRD8mxwtSdaUW5kL0pMZ5O3/LBffHkJL9a
TU8FYXeoTXpHvngw9A/AWOVNa5RbfMu0Mw8Hl+EOI8m6GNoPa3FGcB/Rrih4a+EXl8msPHSNGm4t
B1+eUEo7JfW9C5LkwXclwcIoF27ThXoHvGhyKu1/3dP/LRAMMRTctb/ont6ADd7qbz91T7//0B/d
k+f8hsPjajGgI0xAZsIc6Y8GygughKAGQSWPNtlYW6s/AsGs4DeP6abPCb+SwOmj/t1FebBPPIj6
yPZsihH+6B8EhP06xApWseXqMoW0B8L5r9yHWifaoUoLIjQSw2FcNtr1GWcA9QVGCWa7ifN3gRo/
z8Ydrhcd3udUkW/+Z23igHR40BZXHeYZ4jRpV7hEu5BJfngI/4HSEfwym+NT2AlXFzTYNiBUv8zm
BqdHYAKkcSDSij3cnNvboqFSzDxbbHVtAsDkZI/IQNPWwnH+8tcf7wQ/D6rXy1xbYPysbd/kF78K
KjjM/WxU3nAgi7skJgrHk13ppZjqY7lBDGPanQh0gneIo2ZlbERsAWl1IoNz2+uWc98wCk5oNn1c
8Sd2wk1iYG7rL1OxYzfj7wKlgtFaNE3jZhbYzIMb9oqz3FfqA41KcWflPrFfGNseUhvEn9FPe6L7
aJ/xpVf7eKzoLURiKLQzLSw52C7ectDb2XhgSCiuugn5MqEZeHNbpI5MpCS/+VWV6TiGjuojJSRr
N9bl+FjKWu37fK7PsUH4BR7PvhFOjVmf01hHSJkp8WIkOj84zVlw7tvZpBd1yWUavYoarBd6c+RW
gYYn4AZGGDOgtvYEOXKZuteTgoLR8YNqlB/RGqfXDh6fCHwC7IrwI8ap1cu626YcgchGBHghVba/
6V08ZhZrzpC0VFNkxVl3KqTZ3vbVEJ8W6c17lw342DLg2xrWMD7mejU+tvni3vN0TAZ5ukmoGaiZ
5MR4V83E++DBm82mWn3BAq15kfrKEmph7h0YBfIOTR0+0gM0GdfQsgNRnepjYgoIiMePKFqiJxer
z3M8AyPi/mw8yHKB7zpM9ZneMDhXFbTYKMhbO9/YFT6wRAgvOhh8KbY9rSqN5Ghum9Ys7oRLsSyN
BMtHs+ne7ZhfJgVWU0SKomI7aLSzm9qW7fvc8zr72qD2LmXAsaFKviIzaiJhPWdW2FtYBW51ty+P
DLZgLS5OQUKBNu81Iy7uEsygdi6V+JWNlU5YBsn4nYmYvqmxbEeFxTw4Ho3mNZvb8ZGyYbkMmM0d
hZWqvahgQVJH+udg0sRVTMUUuiR3XWuJPmIOxrW4dh5shiCtwhFjWsJ203r8bhSZ2hMQal8nNk8i
xoaI6F2haJOYa0XElnBfSX5988rACWdcPPNomLWsxqQ3ju9chpDv2Bgsl/WUqi8mlMx9jZF1hDsg
oVlFPXzTc9d4yGycP9PVFdjQuLd9wnPM5Xqr1yVa1vP4nel1sVtwzE027cKTsF3cSG2D9d9hdPJS
Jl58KvviZdJ6eUqzjiRu/0OXgT4C0FSk9sJcMI9p77wSW9E+Q16Rj4nJ2gTphuZk4q8d2Xb5Cuwx
fiedXFyJ3GFRzuYYzikPCmv+YRe3trgWUA2ug2FyrqWKjYc6g3YjHbd5xf6Y1eoRtNCZcfNq4Ul6
kTMsvJ995Qss/n3Kxnpq3hIfL/kws5SGt2dQrKP5gkaWl6Bveu1uVqIeopk440v0fv2TQNBxp5rB
8DfI+srQIFb5NJd5FbqTnh2GBrpQOMdztsdvv3tHnkK2ms0YhPI59dtnI8MynuwJDwdSk+ZxgE7n
m0/0YkbhvoxNPQ3vWSftlwxv3yI5jNZS2xh2LVq9pRKd5KUi59E5TYkl7Tvc/ekx7Vl9MXw1hKSs
EnZuODMGVJRzO9aho28G08SUtZkHtiZZX8mGeTIe0wHhkcXNoPcEd+vlnebIK7sSFdfuObdLhyrJ
8WbrigrtPnbiqwq33EhHLXZIzCU9VmbxpXdsYytLegtpq6+ZXzFOGuW3IjWro1Yn74qC7JguKItr
Q4pzU43TtnTGOURqM3wzsr7dJll/QQcT7/CtM8h9KILIUB0JO56TYIeRZFf2YqtLWvRRhR2G9G7u
n7QC4DEr2xqEDbrGEXQVvztttkOceZ1NxZC12VRl+ZGIZfDpiGuPeB6bzt2u71TtZUw9teAiJwfm
ErHnhPcxLyzhAcZFpnA8lIGfHBcEmqFpjPpRr7XxUHlY1IvB8rfNpJG/u4YVjvUalqNjeWVqlX4x
OVlwkIlxT0hhsGPs2Z+NOrDKrcm9f+/FNLmhg8ABD6yFZwiFfRgPmMJ7O9eYXgExu7PszTKsTV3i
BhZA1IJMhdN8vKbkxv271UxynzgJZx4HuL/Dk3wELsMiLK/d9g4CkYE5etHv8P9JZ+TcGpitP7/6
zohVmFXMFwwZMakti+IFv9vGC93ZVfsgG7MpxBvBjwLHx6dktC3wdQtVsWH6O1sCQh9RrJl6pNhE
iNUoyOWjqyIZwi57cUGvSIKKqZtH3Df6yEpT3qp+myS419RId2hbDOck3G7+skxWHnZrCgZy5sNU
wpnTmpPRucubKHUH3Va1PIhcNFAg+uAwL05wrGSsbrLCWqIxlsA5BGmGrlkyi3WLcVOS9r7tbcu+
9XrEik28+lckHZ76uvB3rTai1iWOajM5lorgIufPnpsQuKCraWfHCn/vYNR2LXk4WK5Vt6WhcZYT
M3bMMmu2oPWMUaIlwSN5Tca+zFjxrtUwRh/neAsBxr5s0JAx15q0u2qY/SujXWhw/Q6zdNsJSMwh
ibj6biftFUaW3jkAAXBDe5o6QpphWWP3khaXol+MI5gh9JwsdbuLcomtF5nDJ4GXMWH0Zk5lf7Gi
Fn6YG7n+XeBJzYAMh5s50nN9PC5tG4Si0rq9NErnZSplliEpyvKzPST9e2Xlrn5pQG1By23URuK8
4Cqt471bwEDQoYXnG22ui52XOuPXJjeacCintS4Q7S3mzWXkYnbWbEl6yS60eXWAw+M+J6IZusIR
J8buHLR9Y+PVhgRtMzVOhtW9H/dkpzfOtTLj7LCktfhqCl/rw06oYn02Ov07JVKeW5xDOHQAFPf1
OTBjJqS1GL75WTwJVLeIMXZ60XPgCHbhDxQZfiSUFt8J9Ku8AwVlghfrIo4SB5aNl2YE3qfCYb6c
aXca2AmXm1npTpLji1k9muKwoshLI9udxddZSHTSKbYdxEdwOmOw155+L77aDLoTsQPQm4iC8yPT
ARjbGFDUsOJWytxShrr3c9FSlq0FIxEpo014ZmqWRySg9bkkQ+Rg6z1EsmZiM+7yJCfs2yS1IXV6
DvegarS7OgnkY2ZayTXQUxHVjiuukuXzWwQtyNUakBO37bopL5X6GEihg5jhUZ4EbWvcsA3W3yzh
oqfQmPdwao9slQkb0abq+Dpresk+NTT5mGY6z85oNb8O9apT+4SRygW8Wa5fjlOUrM7iDcXWC45l
TPjVWv7iQ/viDXN5NHsuAYkQFj7VrD58JbL9vMQN7IYs2BjZRDaScmLdBCO3SuyHwWn+uokw/lMP
YWCvQr/ELI0d6GeCYWcGRZMk2nBINLM9MXcq13LYq8MWAIpsp7W8t1o/grIgXnvVET8w1dxsOTh/
19D8StD87GfWbwLh0eDr/GrxLBurqUTeDgegjT4NMbN1rj13MLfJQC6RsikI04A7OyT6fOMlGPjl
vUNkxdC8JnHNwqyt9tRbIzP8SbTPABj2Nfli85eJinv3NzeO5vgH/vXvzddKk8U9Ap+fP/lRI+co
vFGzIBlklr4Z+9q9V4IXTYdycq1B/Ik4ilhgxsiKJ3YK/0rOqVNRzw1sFOpmj1iny7/+Up8t579J
4euXgkGHMmT9Ulgd/qpOTjCgNwOYq4cK4MgKUT2s7uqyJcZeG/ddJ9OIrXnZKsvi4IklFVQuaF69
dH1N8Q5iama3p0/igYyd5pvISu/Wh/KyDQYi/WKta9pNOzh/5/ODKu9P99PDTGh1UCMvy8WG4OeF
6EgNcziF3e5MjECovEzAmakCtWvUzO6UwaIIUsv7GE01HohfS3aaYb5h9/lEypOFbQHlkuZMSSTx
eLwcO9N+GQURLdliFRe6XlmvJq5hM6bEoh4vSEPxj7FrFJFuZ8sum3mhK7aSQxIQ26cbKfEDc0W9
WsKCpIBcdvVsqQucUKaoa3ECbNYdxiQG8W5MOvdeczz1UfmJjjV5bTP6snr2WLzFqXunpjxKyQa2
jkVppH0EdQTu8pdAgVkhHclmsLbWWn2ul/YWusm6pxDYENkkvT0HFQI9W8+QVFqF2JpzLK4Ky/DP
uYQuMhpADtCmxscE4B+/TscsXzuLGfBpgOYxntt4SrhJWUZe+NwTTO4kRaqHUlhxSRIIwdWE3xAR
qfV2xAXV5mMTE/3XtxZYoecuZXIsKGmieFl/I6agjyO9R3ESxhkSEIjDVNwXaOXROpTWTB7yRE3f
6WleR3GccsVJHTTbmU2YNL2ZUt6bCVLTFEU+7bSOPzaNSO/b/RNsYzckrcQJieomZ6kKBO5vHY2b
n9riq8plseuyIdvLkepKLyZW5DLQUKS1Kx+HrHz1OvrHZTZQC0ylBfdEZSNNJfcuWEMxTsuyqhmd
VLvrcpjMBgfHbUGY9z7GGawOfWcoj4PjN2+z0po3WxnUhmYJ75bXtthZg9/d0In6Z9XqxABNNP1u
WfdPdUUvM89EuOkwxl+Htber06BkwD2MU2gv5TxuMJOWO2NJqiOZXnQtjDA31E7ebWV18lE3pLk1
a7N5cxgC7bFyVhfCoHuOunrhBBjgcj2ZOYBSSw731eBlhHrENrvJEKPlsfyBzii2baIZGkay46HX
Jemos8EfDvrSolWbuSvVAumd7nDjZDZh2mg0T60gwp6SiCNnDtYjNK3YLh3lAQBVZvuMqZ5/NiZg
ll6kwTkxBCxY5dVnlznCHvW62te66YTMbcdHRPW095PK9v6KAKF5F1dVAT7kZbTJyNuXD5+3dNlm
/iJeCpchxeyJr4McaLd1J7k2aptgpCnF68DmH621tXBev/VsB4BYPlZEXdhAxz0rayqPxvqqzuv+
rkM3jQRgyatDbPiO+KOcYBjU31vC1UFG1uY1m3Ua+HS221u97ngyTU4p8nkWizqp8fpPTHVR4E+U
rkUvuI5F2AnAKldXeupiSVx1OY+ga5/L0CSZHdf8utUPs9QI9UpAPKxetbefiE9tsXxwNS5Dlzyy
DeFs5ZEIsuzAcLQKSzjZZxm7WH2s8ICWaNwGu6WzBXDk1q9A3pIxiigEgNCUph+dv6jLhdetDmeV
UIxMaxCsn4Be6WIu7lqBVoABchGswZ0OQ36C91oi2A+kpPGIk0kvj/PCFeEAAZcUwhRVfzABwcUu
TOuECUYopNZsg5wlSCSiMW1rkkdDMh0IMy0IY6Tg0RmousjzUQ+DCBIF1z4vlg1Q5gxT+07ohLnt
GUt9qQlR2sRmVx61FVzBG5ltjY4+Pn0iNXjj6xufUqNjHJbxL1UmYE+7sMVZBh//id98HpJzAXZb
N6l91HTtu64va7nsaTy+sqJYanusen5fmhnQpbCBhmqYe3fMRuszxJAiah3bP/tD3z43Bhia0Sdg
ahjB1ecJMto1WgP2rUQf2Nw1s/+G+3HzOicUOx1ynzM0f2QXU8othMTavesk0hIQAxcT5+UKKAcS
52HIeafX9czcjm0YC9z+ouxLEMkg86h5i44f5xBVF+uk9yFdUW/qkvUUoEF7NXyWhL3I/pts4+Yt
NeLkGu4osFG3rh9isMi1AocsXS4nXtGvz/LWhy69IzesuKumERTJ5ph0UVg9fJ4NxgAELP0kvfbY
8sGdAFGZydvXXqI5HBUTJP2WkeNli7rhYeqgCgYViZluQyVs0w6HqZsbD8K1YJBIHiRhDuVRlXp9
JrG4PjsmRWy1PgOoDyTgYJ8ldt3SUJxPBruZnYyPaqJMFgX4nN6U5oNW1Wy27GPP5ByKF8xY4xP4
hRt+QoLjAGjpExZ4ShhMRvlM+dmzmwgG/bg6Jf7MCmlmkrIHmp2KF3slDoGCNiUvhdLH5rWEexkO
E5ixlcW0CgOFs0V8RmQCLm857Fk8n9vs7HE3QI7URdfYyRNdvRIbZVZrP9HPoFAd2oIO0OYLM8rl
oEEVUeHYj9xMmKv7dOQ9KgKLU8sdBT2exVrToK3PE3iZWc5Vdqxtpz1N0JbevHWrxPrX3HaFVVyT
CU2MtJs5oF4kxVptwPmQApnwTnag09h7qksvQEditZ787tXxvGduWW5qCjwrzAKaEIFs5StEWkqO
tl/KY85MdpPBl70mLvYVzQp3bfE062j6Ka/KWHAPBrhNcPGn9pmqJLc3clZko5E7FVC3SCe7mog3
NRgIUk40TUwFqUYVjZIHrmAEXBYmkPrnLz9fTFVB/91ohuzenYkzVXCoHOtlmG/IOFa7Ks2zfTM1
vNAZVWXiOWwyqNaTa1t4kGAXJ1suhbvQkU2eIm68+JDoHNxt2tPAfgLFXk8OF3nJd9NaBai5pSUT
5iL3AAlc8XT0ynw6SN9+Ye4KB3+dxAwAKlvpeHxY0Uj/NMTDH45Z/yN6/h3R08Lg44ee5E+i96uG
fLz/F70VzfD207jy9x/8Y1wZuL850Dx13GXpV1AAMlr7Y1yJSSWjTBct/L8l8X/MK20ookwSV9el
VZzJNPNf80rb+S3AYoJxvm7+zgj9J/NK2/t5tIfqEoNlPCNwQMICGePRX7piahjEUrNnnhcci5Nl
T/iWGuIIUA6/mP4SNDzYisojPnT0nbzdkCGyvGhm6YJxZsahH4V2jmGsblWrVTvcWBpG90t/2ST1
IaU4PyFv8iJUJO5FI2vtvq2Z8Dd1ol0MDLbQulXu/eiL+Qu4+lBvZJNre0O0wLB93oZuDy7Av2fs
TIgCNaT42IIvgo0/3xug0kkOyDouXavqTjhIwAFs41viWq9npAZMfRkxwLs8wCqwUPP6ReiV7smw
4yiWAMZp0n6TjjFFEnlJWKGLCDurVpdxl8D3HPRoHvX3VHOh/Zc9YawI5neIS5a9g4CDzE5zT5RX
/cTOkTNPKoDNStIz5+66K6CuE3I5vBFHYjGprPxQQGM7WJXL51dEBXOn7Gio/eCgepndeUnaRJUB
kCXoa5n3KWoeiPoYOOfXnQr0sO3JGUfRbWwgELl0SdgVp0zDoySDgj9VZM+PsHBOReZdpkYQIy2p
7gKGdVvMuvdBJQ/CnqgmSAWDk09ladORRGas77UsN0Ks8R6dAax8HNaLEMUQDZKeulQSAYSjudvS
l1+rPoisea5OguLuAh2WCi0TTc7i7TQs3XcOvNSIhkzbYK7n4TXnHoI4OA0KYqtfmGKTEWf3iA9R
g2hAOtu+EZRLcp53nKDBBsxVHc0mzR+g8i3Hnp4rgjUDr2o2HKiimor6WbfJhXSwu/WT/SwRBbSY
OmwDI38VM+phAKqjquOK3sdqI8lcmkDsZJ9aEmkLDQBwobYt8vah6d1Hf17OuTl55JC79k6rCQMx
0CbtPVG9LU7+CkRj73MAdghZ0xp8mWun1gy+24vGjGwMkI9QNZT9vHEnloTfJZjM5qR8JtBKzHXM
UyTIBX0DrSW6VkB259iaufGq7MUIEa9dzFrxdVH2jH2ML7Z5lquDU4OfLbiAb7SStZDVeRt5ibAP
6UI+p52qOdRLfq8wumetH6qo8IiWww+K3rJR7d7weYINQuudm5NoFVv5l850k0sCIqud5X9Ngl4/
EVfQho5wtQd0hFDVpJvakVdm2V01ghXXvUsCeLFOHbOge9BrkAkExcXdgitM1PfLZQ87aOfD8dua
pLcz1ZNV5Jhk19ZEXtFKajr02W7Z6thTbSFfok1zCjNCyp5vGi93j4YJ3TBLfEYZZkIrOpoXPeHS
kWam4gujA+4iOnka9ZxxQxJMEcbD7UZ3CJ/pnVz/AukaVFSjOydgY9nhueWFgVwMCHJFfV9olrqJ
hdRPxtBPziZw3RQLS0zVtq7wmdYOlRvKsi62lqLe4qvKM/Jni7+onWuy2/dN4V5pdvE1G0kigc1d
HtHDJvCmRy3ymE1diqV3Dl5a5jAa9Y85TlFpgl+fBKy/Te4O97qfHYlWcnGWg2YNZenOjfMWAaNF
GQlxe7NMJcmcCFSRJwfvcijvMjXfxIa8gQUwbPQ8Mxjcat9xdlc78OCLbvDO2cTfp5nYTy4zvBrW
4o4iFwgB5wCmPWO/SUnYgYmbvbVNMm0Sf7nvG3M+eOiyNmXhaYiB5RBCDlAkEDawtOuWJZW43aUy
vZ2szLcASIQGNF9zP3vnPjYJ/q08jBcYduq8anv6yu9jX07Ii+EYOmSx7PXSME4xM6JdXprjlnQX
VONDIaIpqPxDaunXVMWvrtuf88TOj70zP/pT7228zB1QNlou/PusfiC08qmMaf6F8L7DPqWei7Mh
nJLywTTkhWcP3ZXwzVNGXBuE66a8xI9rg9vPTZnG4DBWiqi2bT+AAPWI8hGO7CKbvW1LgB1HAbWR
7Hhe46729tz5xJDGwaHMsVK00tcAy6gH4Fd4JrVxsbgYnoLCtaT8lmi3fD6xXpaHdrSzG1Laz7nB
ITRrMQF5TN3CwkjKXSdJ+tYr514UTAlcyrQL1fZHQtKoCEdL2ySDNDcIuPUorVr3Bc+m5ymW8uAp
71sjyY2lSWbeYA4TINmMAL4Ga/WqMbgeyvFGTwBDkCysX3y6FG0fh4NjCuzh7tCON9sJjdLcIs5l
QwMzSLUnGZDW3WrzN4tAc/ZCKZlBLR17TdZtFf4PRF/O2Skd7WmfoFLDnpa+QkJzZ+BnWntgRWeH
mI/AaVQJROwIY594+dM0Zs5x0fwHNfQXfdF2G6ElH5ZGvDAix3inoUfe2MI1dk7j+VvDrvSTL1aE
n6DjzcKuuoND3ETMZRar/lq6fT18wRY57okW9bUW+9R50jJbhMx5/WZ6HCDZeLyKrdvnJZ1AOVX+
NZnZwSQ2XoqenZesyYEQrUMLxXI0MCJ3zfiLJadVb7xRqusRbhDHye6NEeoiJgSuNTOjO3gQntu9
kG9fL/WJqVTvBci7YI6R2p5j15LSkIhu6brfcez/ldd/V15TTTJn+CsmYN+/vSNd/D4M/U/19e8/
+Ud97Qa/YXmHAspzHMsz8FP6V33tWb85OlU3dhiw1lablX/xATGPWkl/+Ep5DuxCfzU++UNVZRu/
mdZqeMqMyKXJh1/4D/iAPxuNALXwCQirsObj//l2v1TXgaVIdxaaOPhZ+ZGCpO+JR4YB72Nu8sPd
ufl98vGj69J/+iQTPRi+/FTzf6rjS84Be0WDkfguWD3q4lXUzbyZ4lSG//yT+IwA020GMLa/fpMf
vLKSAVMKyLWCaMVChrHUr/uxyvEQXh7/8QcxpzORpPFxOp/18weN+LtRpy6CCrn4KMriI9ayj5z/
/jcfszY/mDX/mVtIzhiKMWcWjHymYBv4cPd6wJqwmLP/4taxVnGyI8kJhuqv/lQJ8h+7SbmiEWHY
edYl9XhjArHW+d9clMu9+XE8xsLzXeg5+ARbBGX86k3ljRUUNTbGAwcoIjyp7lQyPxqaehTj6Ed/
fQfXgdWfPswiPoXIL+aDv9rNaIbT8G424sAknxk6SM0h99sY8Un2pvsUs5ndWRtUcv/caZ6r/Ayt
/LTi/PX14vRg2AQ54MBkr7mXXWuh5tKKR7IWrb95v9bF9qdrZOLIroA1EW/1z4txkblUBKkJUo8w
i6mgIW5zU4/v//pO/oe3mFTTf3/KOjr84d1aCcyjBmfuoAWzc2F28yNs//pUd//drfvhk37ZmSaK
kwa+KQuklCpy5/xtaYDY/w+vl/7ni0Kb6vusDEyQyL9b1+oPF4UI0vGrRlT4OJpNJPRR4ywWQGeL
XaltAKs1MgJsK1qI3Qcd2UiUl8jordauT9COiQ2YgPe3Pgk6iARrAsBXloaXI1hHdGPspFd8KHCJ
Y7IY46Xw+hjq76fnT8AIF80dXXuKzIkpmkmfY1G0z211q7rAfCo8E7eROI9fxwr8b6pm54CADzqQ
qoP9lLOe6a7cBD6DhD/KTBuCQAt0OwyEH0nsHLbYi9b36AHtk04E/Xsbs8sbg8t3dw0+JcdDYvL7
EYcgz0+brbJL/SudlUakC99HA7Z4q2IuuhgHsWuCRFzDk2uigTRBDIStOM43hiwD8qYxxNm7McBz
q0M2Q62LqU6HRVmlc3VLxcZV4UASwv014SezuaRJVm9pfGRYM4lcWyS8P0as+E82Itw9kSHYjukD
DsOrVZwf4Krmlbr5lKSjczEntNSJ35SP7sTAtu0t8dK6lfkUc+1UXBOjR1HZcuE7jfjWpJ7ABcCy
FO869gKMizRGJY/95DsXYNrVraZlw2vMrblI81ZcuzL/0A2eqcxd86nys4+5n+L7wcX/ZVq3xrTH
i0uVK4WnA81dlZpBmd7kmTvf4QiAdYDB1VIUZvsxwe+HMiAD4jVlfcoSAlo32JZkV4klguvcTeoP
VwuMK6PJuYmyxJQeURtkmM9lX/aJfVr02D+nLrcMEQuXKdM8XGi3w6oVCUY55joB87LiNVhmjth2
amgo0hwG7TA2C94jnVvuM0h4At3iKAK0czGSfXwlgi18QGxF6mb1EHIZyJ0J+F6efPCjB8hT1Yfp
pc2Ja1TbGlLjBj4+FiK5ETxilwA0XjesHwcAPAs72OcF3jHpSIM8M7PvZsAt1Ag8giGeC2czmyJp
NsBPWLjlLi5CLVW2sPVFC6nxUSSqwGeYIEa5ccpJpI8kKCXjHkFw/hZMprYLat4jEkvp47NgLPef
hmxTF4zPC731nojbgYgJrTOzXS7wEdsucOPbTYebh9y4c2F8XQLRfzMX3i0bow8jKien/4KliXhJ
ctu5+HRaqZgzY0EDG+KE1iODYzdhi2gUPAknTYrXNjHr0xwnNfyE3gQsyT/A9wNo8a514osYOyOp
VKSpHrg/hR18laDn28qkDJB384SkxdEnLXa11GfA5eDQdZ+PnSyiVMzp91oEzqEuXMbVOAAtZ9uQ
z6JX457sCZSUgWQhYNFWnyY7++hh+dNEDVD8jHIfdMn3QXZelPbzfd2asHfHrzJV2alCGriVsXCR
bPnebSp5KeFyzttVvXg5DljZAQuKHaFB8cYUXvHkG2K50IN5V2HgxFBkxl+qmgqaIDh42cYaShY1
uyJmbSWc7VrmiMspKmHB8dYXsmRqMYoYGkautkvH7lZNwwgIxLkrbK7brPK3rNf8a5/EoLcSM8pb
a8RUB2yAYZ0dW6dZsqJIhY1fZQBkpZeqQcvJ5Tv9wmtU+S29Zy3J29a6stskPXtOahf+reF2LUhk
+eY4bJSrx1HokrZ6u2Qzo6euU1HstcyaHUv+f/bOa0luJNm2X4Q2BBAB8ZpInaWpinyBFRW0Cmh8
/V0o9jmnWTVWvP0+NsJ6rIeNTCQQ4eG+99refVhlmuE6Sesk2fMY9r5uDrDe+m06pyxiVl9tsadW
W83c+5i0XhdYQozfYjIhoFyUm7VvxROMj0An+a1dd9U+Hm2PH6Gob9tmrauB6VxyUGas5E3cJ5tC
SIIquDtJSAOpcJhjPq+6eEA+d5knfpgjqxWn8jxQUINusrBLblI1RfthJlTBHakkIPZ16iaN1L5F
xwT7S1uBshdWxK6agmFxqg+o9f3bxaX9MJngRoBhYjXkF04ZOGlNDxfT41BHIXjBsjyHS1/ctz1r
jxGxeow+L302FNxzv+r3dkp+RlQOyY0dWuZXX/TdhUkm9WjV33pZmwPhMQEYxFDkCz8yrjud3NqJ
PTwaadrezlPcXYfp8ikx7RF1OC4PbyajlH6jOi4A4VBrNMVtbejwLs8+u40utugbf1bRGjDeJR94
nz/qwYyOFrGSuzgqmqAzbVJZZiTGbIs0XR0s2qrCCu+y6a3I8ZORxPnHpmTl1SUrjll4+AFMUAXB
wk9a/1pkHdlCZ+c32HP2Glfn4OoMJWaE8PGpP4Kjl/qAlmRjoXQYN13r05WZ4VBUm5RDXsMjkvpA
5yITZ9+I/3nj4VUh5kavYDx6gHpDgyIp0Bk2nYn6eWyKTV1YH9rCKs5Y/4ozUD2T8QM6MZRfbb/t
BTj8nCnzVLnOZR6tqcAda+aa9a9wx/ChQSxCClSWxsZBJkMRn3HmYlLeWEU4eGdU61W5CZ0eokZA
LQ57fLOQK/2znWE5bbwhK37g/kc5m0TuaUIigpdn9vU6CAVJBXiLdX32XMjWUIa77q50aDHqVPY+
OdtelMKMj7VEmNgLTJGtaL94mZkh2J/yd2NqT9h1BEyHtbhGS1y783Au8zTbJrX5VXr9sU5T9Lmz
jVhCQQO34MdsWTiGe6VS41rY5drHdouJvdqaD7ynFkyOlKFLn3vd0WrIKIS+8JTFKtu5hOXsrNVj
UbmNeCw6a7rp2aOR3kTa3JbS6o3Az+3lhtc1+hblLoLqTLQGCo+JdkpuGKdkAjxCv7JgfZMOy7eM
qE44LcHgGCUZEbT9Yn3MEBwhhZrV8Acn27PK87c6fvWyeZTwvkLRSPrs78VouyyR7FszPzL4Zb2x
xuGaTHPTXQ2jrHKUljcz6R84ShbqiszXKwHMUpfOLhB/C/9PBzXsj7+fK35569aIcAJqX8WcQj6L
eAf4PLoQH3uTEX3Gmgra6KnM+4dwZpt7+4jx6mTor8lAFlcS1OPA3F/cADmoImJSD92RIqwMeyZF
JeCzsoyriyHn6vT29V4nrawXdNXKZPZt+1VuXKkpcKSTkbDJKBBiDP7sbdKWQ71NdfHUGZW/y1pi
n+A6j3fP287IwM85xNYo9thpjCDMcvVULQ3YqpZ9/e3P9zo+gM8H1AeTw2orfXUor8nHNjzZZ8e4
KOS5H9riZ2U3vFMjXASz2ESSYjuHPArqPhXdzbCyJUXGJ64FhTYupSdKmfLsWYiHZ4uTZwsUANXT
3KsLCEz/qtSpRjADZbUbGuQ4HYLTY7QmR9u0aitgEUX4zpamfGKShSrd578OniHce6xJbMDhPJH2
lSTpl+ddsSxN3wvGJQMb+va9EOsp9sXbAfuY8GL8tQrPxouHI+oxf7F7ZceOKLONMtpq002kl4y2
fGwS1zgiXcUHgkh9T99VBZH+13msvr1mieIn4yfhMX3xCUgDGx3iSZKjz3n7oIyoujC3/NMy8Kpj
wVVoVIBfZiZPWNaLI2mf9EPoMOU5OpLi2YGhEJQ1Ywhme5wznKwCy5NyeEBgNjy+fY+t1/eYEgUx
gLdGKZJt+OLaQBLkoPORgKF2jEIUclgQjDD0vxQ9pXGL33y+9Q3lfyzl/DHz5+anUSumuPOgoqCr
StArrLdABsAveDaK8ZpyUmb6SP3tX8G6bL83oQi7kxGSzfir+ffffvWf+tVCrCL9N/rVyTfCNp9+
i0CgPF3/0N+tao/EAmGx5uJMJ/5EObRc/paC+OZfEiuuj6x91YpIB5XG/0hBvL8Io8T77KAVN2kk
8w/8v1a1468R2Wvr8hc27F+0ql9Gu9LZEra9ikFI25CEUr54LpvJYM6St+JSoisEqzlERTIdtaJR
gLa5dDA2x3NRXaWZMEZKXgK50ZLHoDlav4aPmwylJTB6pWt5pAgcmInrlLlML5EFfHnzC9qL/gOb
9j/u9N2v9emfve/1k/1j1QJ3zQf2uLUmC4di2fh9S/PafmRiuOgLiobpQcSACxVl2tU8uCY6r5mT
8dsXZGN+dUlpMnSAVC5pbHHPfr8kYge7NvoqujiOf1V1LgDofGBvOaQSxxYe48ZojkKb2IfGxme8
2kuIT0ffYeHZAzoS1Sl0safDHXJZceBu0EexOme688oEi2dVEgYRr/LJ3BKAoGVYQqWHi6VxPpbs
EaBWtLNpdFMsgZp6DFjRWHKvDWcAv7ywFVliUU9dWVcttFiPS8F5HKKddsP10KFCqKYjeA4PkY0G
LlV0bd/viR2bIeJiENe4uBsWfrZebVMKzdLw9e4Zt6w9+hiBGyUAjdFSQ/mhqTPdQYGCh9vEkfVe
oBZeNonb8t1ajSfIQLVwFznM82hPJN4EftyqP1vDCIXaqawmvp3igk/kz8o+UfTE0wcNcQAAR2Pg
KrHSWLQk6zCRuFmAxRl7x52d+tFCmxmfO00+hxu1IF0Ny1XDw6JLCy51bk2faqjYxhfb6rhzSTvx
eWaObdVJ17jvg0Fn/KHQwWDB2WGdj9d9xqez0oEdfFoaNP2GmabxqoWHIl7pcrV+YYlMgjQr1VPK
Ev6xnznzDL3mjyMx5kDVJM59TJNpCcy24SYls+RXcCSjrscY03l9lIsJypj7aPeBSmxuS2Lk9DEm
hfnk3bxU/KwD4HpxIQEsj8/L+pO4683xmzUx4BkJDvGF3kqSdwaEqmEYr+NoXO4Nz8TDSYNsOq6G
Kw8VfSKIGtczL2GOW5gDhuMiyqoGK9+thLhtriC2oIuf5veYkDogfz5nsyINEagvZA0+RWmnrmdw
dB8hXYubcajzO9vOoieL5siRxrH0Ang17lMZZcOn2jbTCf0/j2w8YmAaxgHSdZyuNX2Rh9l8tiYH
lC9zYf+j4YB9vQcuvzK3B5fHZtAut3dMCkffmh2YVQjPkVESgdY3toDBLb14sekaSMP6RseW3y6x
KRJ+zunc15/5yyL9ScYkpPvCpMXhEMMUVBHPSIsctg84OQMJttZfPs+MZmWKj/y2eCwgyS8uiHTu
DC+Xm5a8lFldQY5qTaNuH1cA8QOSOl4Eg2nzdEysekXvISu9QISmKxpO5CJEQ0rPEnDidMfwojn2
YEGnK7vsufVu1XMVmmRQ/gRvm7+D3MF9AY6PzL1XnDfKmMiF99myGMZHo3eX5qqztKHv5gnb6B6l
BMvvUnCM/JBIs8gewiHFS4SDs6EZatunZViLyGUuuJecKbmXcGIpO3/lHDCD0scw98BoSFaV+Fw3
kD+C5wc5mwx+uArbqwZovL4UnUZHDPgaBw2LeUVYQG+sQHbhxc7jhCTMuk1DtN5o80VWfXNtwkBi
x6N49PKCaxpZBAYZ7KJOv2ih8edsVI+H2w69LvukWSFEjOt9Ufq2KsAPedQ2Rujv3BxJy87KiM7b
mDxO57YBZI+qV4ubFMLv9Mnrwyb7odzSsuhBzQ2spMIcLOu2YP9ZGkS+WGxOYWl5BZKDiuQUMGY2
PQJCIejvG8T2QllYkHujQbopSdd6VAPoWs4e79whmsZArIRrOBnIxVbqNQ9GC1cSEra9MrFpzKMe
KFZStoADqLaxW6gjnR9njctNGyOhjc5Rcy9pAECMq+o5LFlkqlNde+bHVtVWYBfmF8DGUIZKtNqg
0LpNEo+TdxSZFX3N29D9MUU2kHChS9QfzlU/6mbeZbme7p3Kjb4oeyh3BZvUlrLPfmDoVn4REpmX
VZq0m1zYghuzc/WdH82IH+uM04m1ZPl1Ukf5BytFfuObbbdfjI4WwADkvdQ4Vhg61bdDvhRXig7H
rsfYcc+yXn9J/T5+N8j8bnTNKT3oppX7Zm4mpEorYz2pkncRjOgPhLy30V6vOHbYVvR/s2Y554YP
IMGmTzE0Y7n6PujeJINdvWfTqR9LVdTxNl3acu8lZvUpdpz11haYdZiZQYJ3gHnf1M5EmgKdmG0U
uu3PRLt6m2N/PFpLGu1HDEw3KmpduUUbWYJsnykHtq22BhqyRXXw8mZep1x2dXLjydpHStynYVUf
TOLbtprv+Ih/ge4TyAjnBBReDLu5AEaPEDB859exczDaJdsrg3RHIzUWj+w4B6FY3DUXFuz5SGjq
fBoN4ROAiDhubuH8drjNgqafU+wprfN+SIblu4mG7+J7PqKuckX0v12hvGgrUBKRlsW/ns/4sGFf
HKOaqrA9MjHQ9nfITrNybeuOoLM2EpbdFt93dQl5y49vX/XFkPT5qkoppsBUuq58OY+VwJjdeFT+
+TloAiAIC0PdWdQYb1/nxUTx+To4eR3KZQuak/mi+hriyulb8IdnSZ+cNdXUrNmr6Us9Y+H//cXW
kS+3U6AMeRlDB2K8NSKKwLOX07WuVnPOsz7ASPo/5dK8LmTpkeAboxY3yVR8OUhvIt+tjcl0zvaa
/QMvnBMwcDg6gR0BIGuy59tf7T9cT3AOETwmpgMp6cVQW3hoVcu8UOdlisOPv7YgGP7sGKpcpypt
MnN7377mi6M3vx1fjjiIFSfFj/eyWJ+LSHa+7uQZSxXVlWuYFD8sqOzA5URXlbYgfyowioG/Nulp
T//6IWUQqLjPJsBjS5kvvjQcWVCTOabRvk/0cRzxjUxi/FOgzetXgauQx4iulI4KJ5PfDwh5aI1l
mLTOOcKZdJwTvECu98f80/90FQ6UHkk3tDNe9WuczrYaZfBdnpUXTrLC+Uk3+vePCbxq2yQwiR8P
2tjv3yVrmA7X0BjO1honlOiYh2KY4XwhH2SQ1NXTsPzhSPd6/WJNZw3ja0Fu5rK/X5IAinBGHCvP
RhU6jwJnF+PZgVKkJ2V7V2KoIyCmXXhE3n46X68shFsimRF8W4LdXn5Vn3a/udTKAm7F2x1WrJOd
g2BmSbEwvn2p//AVeTiQNlGDE833crF0UaByqcLCfrUafgpRXZaWCWku1wb4eoKb1qfm7Yv+p+/n
8AoibFO0+F7aPQYUtnbsO+Kcr5lHZYFqIje9+MBB549v+nMX7fdzOS59V0mJ7cT1Xr9p69jVZD1h
Wtvi2EpFocaNcs38AYm0vqngZTE8mSmTp5G6jtnf3N4MDYCUPU1IyeGiYmCJhfc7+Rg2VedSMv/3
MqfO/3BbXi+EeG1sd9VLoWASL6VmJDaMCVQQnvCCFnaQhHj80slgvyQXjkft/yPu7Dni8eXdwXxD
U9wHbOe97ANGOf2SkD3ubHgGtS58WM4PHciU755GLx/Edbg+72jAb5qeqCd8bmRvPQfCNa1F0FAT
9Uuzp0rCCIZ9O/7Xbz3DAZST6NSgweND+v0VNBuQdIPHW/+cWZSa2CFExLC+zVdINvO3P7VxXj2b
iArXt4FWDo8o7KXfL9gk7Vr0z8t5kKF8arHIp5t5jSFjZ+c0/i9fBC5G38im0e2z1LzcBVBz+GbU
+DNGCEbraQlcC6s/pxxl1hwX377Yq2V6vdgaEW7a646n1m7SPxRQRWaIug3N+ewgV3YoXzueLF5E
TolvX8hax1e/PVTI4RBLsiPw5Rz6Yr9fKbfjZHJqd6SCIEnozuQM1wfgorvsQ2jgy7rU6UAnREa4
hAnqZPCX166t6SWv22DVTA8EttAnMEYOS8wbca4vJFUcCR2hlUXXy96b+dr9IGuTw/HI9OquKyEZ
Ff92IXaUoLyjYeoTzPqqFEpKYGtu0bZna2GE/RwEiFU+OURkjezevmmvXn4uxTMgGQXQ0ns1oIKx
YnXDhH9YIyfGk0sE1qapGn9nWBPJZuX0x/7hixqInj/robUGNnvEv776lcqlsEWjlTw7zSR/kKU6
nLUM/Y/PDRHHbenqNEuuPlTTZP1hpYPY//sjIleRJmJNmyuvQy9l//6IyByNA1Kb9CxAyhULFCjP
ySBnAqGxrWCcQu8rtJBMbskrEi0ga9QYpa2j5Gh1GKs2lpXOD2Zf0EVcoCQvNCHd9WBBKMayebbh
6gKFPjgpkdy53WyU/JPGRB19JElMqsm+re5V2iIzWB8vaNdUD6Q1iPo86NU0gn15ulPjRGusDZkf
XzIaR0g4mgFuvhcxhb5WxJrqrSmy4n6k23Cjnc7Ak5I4d9UsjOVQuQTC0MUG9Ga68MdAYadmGbSu
6v1NLHV91WUSTJsL/x3CCRnyHKCX5Aw4QwS46hVc9l7EeBA2fZOojt63OcD8s5d0VVUTtkTzqK9F
Lr6P2stoihsp74s/1WszFNpWfDfME3/tknNTnZyKFiWqIT+Mj86QcSoqm4W/uzTu38XnkIV0Xvx8
rWuamneNKB4FeZTU5XH1lazS1lmD0D9FHhGO9bQU8R1Cpby6yqJm6O5b9D/FFkURb3clijp7qEjZ
Elvdd6LZMxEm3Q5H6VXkOFX2gA6h/T4xBl/o8KZq+WE7ZS+vdSPWVtSY8zPDj+AP8tXVk4KDtLyr
ETYzqiVZ92pYyWF0NHBp7ZOsI43OqYGcbOmD0LkiD5FGuFfMjr1Dv8g/EXNZiChstMtTM6WkUU0Y
rJagyRZ2Ld9EOQDBPLdb67YcB9U9CAwXhKjxuMR3nFcxK4rZheeFglCehkG3brbtu8EIlnoNrHQs
lnC1RDxBZTlwkLDcMXGv5BCK8RRDjgjZVwWKml9ZXl7dE/Aw4XuzNoxn6TIiAJj0e1EqnQPzUDxg
ZYy8+sZINHvDcx1Az56nDyoGrYbYYQp3hjUFJyekEeLh5Jqr6affLeEdzBuUrc8tOJX3fBg7nsR7
mZK0mIRxHO7avkWX/eu1wp6yUqhYe0cXwOxTqRJab0wAxXsxiZgpKLtiQyg92opAO4qnqPGcVe+W
K+6rRVoSlp607b8iTh6H/YQ28u7XaEZ48ilU9lpIRJLazqtchKYiXTuxmvb8pk45/sCnoQP/vP25
Tk+TMaZ35V4pl3nEJjOTKd0DxjLbC1IjXtOiNpg0EMzEjZXQjW3SJ6wouW/Lhg8iTHon+zq32ody
Ec30pZ9cmzhKmIxZ9uBV/tRfqykX7500LSUWozCZf3gGk4wdenFL3s+ipgscz9TGNu/f6Bbsx4wB
4moT067gWZFMc1CGys52P1GYZx1Tat3BDNvkCVbkdBOG6DYClnCVnnPd0q2fc5qSwCXKxfucSARv
58I0J1ptdMg7jwbZ0g/p+GvH/++c9I9zUnaVf2y/r2zzaz7S+u+6Tn5z9ay70f+NShl6mhSCqypj
9c78c1Qq/uIVw8xjUT7+PSO1+cu/Z6K2+RezUPoZxCMA4HaV92/sO473ojagAkFULBBZODaGWfNl
5Za4SaOyus1ORQqL140g64BN4WVcCo7ZqoM10jUrW5op3SrDAi8i8WFDa65kNX+AXo8AlNkD2Cv8
pJBjfDGznGXrbICoE9DAs0GJVWcaz2ibJv1yCRN37nfY5IlFY/R37buQo1bpc7iZYzllN89QX5CC
7I9NAtJLx7bPjI/C8IGBkBtoAjMP3jiyDK0koGd2MGjO8FypiffeKYHB8DHhcYUk6TzZfrns6UuB
y0CLe5ppU5K8F0uygI/5XEe9fkfKWm+cvSkexWY26O18HyI7cvaj7xrWR3MIo2RX9NGk0w3CdvU5
Nn00hyt1pYsvVWez5W8w79bjXWO5fbxxI2+MbhbfiL19lc0iehgj06GyzIpGbpKoQCNmtQMWSSNm
Jn4Scv1/RqCF3MdJZ3V5cBqTOhqQmNo4MyFRQShaBlli9BbbQ0TsCAJ6N4UTYpdCchR9LZY5uh3c
udpVUHWIf3BnDJkiarzHpZ86Y1eKcdqx0UF8dZZtx/9a93xwH2kz3LhearZBZkb2MaeyQuCKk2EM
kXdrEk88Pz8UujDBZHpsIP6+1oOXBgNn7Isuxn0jm/quYarDA1O7mJb7pAoMMlbuB2eePpAPlD2a
8UyUal7GJMf2MDSTTP0wyil9oHZH+o9bGNe74e9jjPenDrDcZ4iXBBqwNm4TV5enxC+7swyRWQmR
P+BKzu6HiQY8HbbIDdBLAqAenXNblSTxzO+BEQ16Y/h++1WtBKECKth2gjBzyiIHr8TYFRdO6i1g
A1kEDGLzD9UAuqgxRHyIpsr/5kBpzTc61OndwBDvKRqQWQVIAswbbLRLvOlSYZzhbvGnZrM07/En
z4cRvvBH28rfp0ZtfXbg7UVETWXfElRJHx2Pl4rpqtxDyZSnKCsGfGUTGDF7/BGGrfe0oC7f+XVF
IN4QR/AVlnaXLmxkIh7lJqvHyyBjdZujk93bw4Lu0UFoddRsgSfGfs418FrxebJ6eKvkuVDNjt3J
TzM4SnImJIs57fuWuf6tParqmNmFfQF6Pd0wL1uORVSre/SJ5N0PdfrYlHH6mV80P0xTb1/6itCj
vixB1i0y/1aj+g0DUBLuOdH2ctdAV7gqcLJumYuJYRPWnvswpx1bnGHYLCvA1a8JOrbv/cV0UJ/x
ShyBSRBgU3tJcib9y77tvb69GrSdfKJ4A6Rjz6N5XWdDct3FWfO+Rzf5Lkmcmix3dPMGgPjPlZxT
BL1Od+lU5Ru7qXfTs7kQUrUXRVzc0SkNTzWOhkO3mBGnAd/b62ZQP9WAPpujzPxpSiExRf4aUVsX
OPXDawaeWK372FyDoKedKKOT5deXWZlzEPr2ps5k/70vR4qTrMyPJmfsTalqjD6ihc6YlO7eis0J
nr7TfIUl2V/MZkz2OcGagVPK8T6tFNzbzJuPle7te5qB82OPZeIbuoXhnhsS3k7Un5/IgxGrq6HY
8p5026qYUuDAxDTVMnXww/RV9qFOKOv42XlbDFgSvpvV3wGjdocFFmm7mULT3k0OuVZNobs7mPSo
+gaqV1DwQwy3S1k/Fysm7I6Mxp5HGQmtjyYBDtlwja/orh46/8Yi3uyRCIr8AHm42U9gwYcN9CTz
2kky89rvMv/GqArrfp6Gno2indGNVKuXIJ9u86avYcPyotKUjpD7AoArgnDsplNC8X+uKwiDzCBw
f/R2ed03hAe7NksNsngUH5Q6ViPFO2culBWYGDSDtnHmb0zcJ82X9shL7ts0PbZ4Jb5mjrubqNTO
7CW0OJvK+pIyaTjlraKnRLrbe6HT9iFyO/eGEx9zQeCLHIfmrPnQlr1/Myl3uR4wATzVVW+yo4nx
IU9WJApvj3tVjuP8HaZgSjZa1GCxKNV4NqJiOIQkJt/ggbDPgAbXKV/TfByxDhAbS3DfDGL4YCdT
fM/OVn92/L766nWl+3PmiJFvnK5FXuFH38dsSle6lU8OWb0fEXNf5qlVW9zBXWBUfM7AN8hT9kSW
klHd5sNTjR49R0+BmgXWqkFlGMvmYwhjYVe5TGQ9VSRhoJw0+1lKTj1EnDefvKh0nJ2souKrHUXe
AUhCeN2L0LsMXommeVpIzSMy2e8zhPHgtNhPSCbMbzpp4jjyivY6I1F613ttdW4qA1l+R3Wbykzd
jLmLsGQo+08eLi+MIP5AqCgpASQt2GN/Tyiad7UY/vzDtPu8X80obNfY2aJLPnbG+zhWzmekoyw9
mVHJDcD5FDzJ2NXoz5cw3HWmV4FCK+2bxAxLliXMbRmJqgR8h8o7uF31/EyMCbJ1slhhGpPphAje
e8poSu/NxH5i7lVdG8R2vfOiqKW4n+yrsfPJFY1mi4yxxQxg0V6vPyDzPlsclq5Hyl8ma+KCdY3/
IT1FFkpKHZfVXRVZ9gfX64bd5Br5vmkqdTCctESWwDGRDoTFkDhpSYm3awRAZnvvwiv/1sUa9JDo
6mXbj4P/Tqi03pf0P/cmp5j3OPdiGRRGLe+ysAHwZQ2Tf59HcNtpFlUBqI0rD5gEP3shzevGFNed
dKaz31kQCRKj+YFLhChuYx79Y9g17hElV028a0uYdTi3d/WS13egLIhJji3rOIGED4B5GcE4Eg90
CIV2P1ELWO8n209RzWNS/+kVRv+5IHJkH2b1o2pyd0cK271tAcPk+5kddQeOQNT1YxJt0i7FVFBr
4+SUVousSjo6ZNNulm9JrSGeENE2nq1+2pIuOF7mzIPgFsl2X6SZgnACvEQkbNYkiMl0P3raJVes
Wag/JhbhGxtS7hYH2EcIGcUtShx4CuFiygP7Xbkf0D1jX4NgZiTCPRJF7d26wuU0bbrJZwo0p2XK
7VGAzOGxr9MwiJDEWhtXaJGdVB6JgCcbOUBVD3Gg5ZQSqm5Cg+IYjk7ByMYHR6+hy4s9nhxzRsUA
nI33hPYkD4fvfqfwjXfIV61DRkbANWNDiumJSpXIJssc3w1mHn0wsyr/IMmu3suoXWSgAHzcgijy
L0vmUK1EKjyZbk3mX4T8EPVdxQ6G+yI8IfTVyxYRRXpOO99v0BsI0rKTiETDorGi9oeNZ7L1UV/Q
Q/fqDQToq3CAaczZUJ9VHjf3iOTsayn1fOM3Wmz9LEGHGzXTOS7HZRdR+D8ujndJpfM+cnCL9FZy
w0RB8C3luchc8YWcHGtD8lEeNKFDT8ktmGktg3WaDbfcDGNsb5seOl5tL086JhHBNe69WkJRhL1H
TKWAstjAV6y6cjyYtoGpCUPQxBHhkuSi2OVp9IGfxd6TkyMDv/X7rZ1T3Bh5AvExsa9bJT+LFhYK
IV1A7rMs32aZR+BlkXNjCgKx8wKbjmeDfaFPUJ6jmHDksvf2cVTOZ8J3yASU1kdbI1QJvKkqAtMp
9V4wYQ0WY0JDl/X2GgzfgfcoGHWi01/gx3yeaaIeUtLHQdx6BwK33dvJIcOzdkq6LDx+T0br7lDt
he9RIDrHGr/gWVmteR0XebIlmE8Gi6fZ5to4OSW1i+Ci7ZaAfroKZtkTIV910U2Jem7vZ+l8q0y+
XOrlu2TpCs4Jte4COuLtH/rTL1u4CHUBSIGQkChmPc6Hv3dR41DOedID+EmLlmOdQbTsWS8eq7SC
f/VOmmXzraaWKtmyIRH+48j8HwSvLyYlq0rYggxHjpWnbIACLy6+JKV25qVOTmIirGZJNUDGJI+x
h0FoevtSL0YX66UALPOf9fT7WpKQNEnqIM3kUrUFo553ZEYJNkfVj7ev88qYs16IFrzPoR8ptPMS
6J1V8yx15kanvg7nPaNDeXL65+CYpLtrNFmNV4Mfmwk/evFUr74ZVhV4n0YYr4frMObTvf2RXv/E
DASZR+EPWPUKLv2Jf05terPz4o5TBj3LcrlGNjcf7HRVsEKzo0NvRrH+hnWS31kQVPR87f/2j/7Y
P3I9xO9v6Oyrsnsqn37vHT3/mb9l9jSO/mKwAVcR1YWJpp75xv8QF4UDcRHDFUp6LEmwCP63hfSL
uMjfYvSIXI43+n9bSlL+he0GyT5KI3QWSJv+TUtJrtiZf47omLvjMuKttW2EUoziX4zo6qXKCC6a
gavWhDMGuVHQtmTcpgLVONl8dBEFl+RNRDBFV2HrNaFcRpAnUfy9Db2lontSAHxC5dtMhOQ0BRE9
ret8W0g42MGc9eQKPZyvqibT+adkkc1V1S7m99SOJqIW+mzqNyYiyDX/CSDVITGc6oPbda51aht/
GM6TnejxWrNC72J6+5zerXxGnegQN8IyEYg+7DZqNq7Mfq4TWAsemStpuVjbZtZfht5CuGnFYHWH
iePgnGKzZQDbq82MHnnve7ywOzpPKg4kTLbrnOnQiSLXPRq616ehKtJ6wxFxuh8a42ClvQWN0od9
P9mH2Mg7NMRRtX6qeUk/TQqcpN3b9bZHYhv7glZAulCdiC2Ba2G37as85ZDHjFNRR5Yrfr6iL8ym
FWaw4vjlucvm0hPObSXqjMO3vSNxJ3UuI/Cgb9wRKNk4UUP9fnFgEiKIbQ15cXU0ZbtUrwTLkSSQ
g/bqmMCeyRqvwc0S95IfXcptYZZ7h3PmgO9TxsDvjiknHOasQZthwHcvNJ+Q/y2BaIWApEisSp/G
WMAijQLxJIpM+AM1vw/1gI61YJj9PAJy3XpbY5j9PNiWeGhb1PU5CUHTd7906/Snn4r250ycxmjf
WGWrCjStRSj2RIKuszqmRO5jTdTLeub1hyuScLKzU/YM31ydhXEw5316SqRf2judZ/dCVHpnJrji
wzgbb9s552yLH43Hcsqq7VxnEcp78G/wACvie8xlT35KdsiIlxNJPT10Ti/Br8EzBMnGeSDImy46
e17nykDa3O3ASr0Q7aQ5dLvcntWpmEy9p8Runyqrzr9ZXSNsNngA1BvdrM0lD9QcLLVU25uy9cW5
tbtxA9Myp54BaHmUZf8lTuXQBUsl1Z3BHVTUJnX0JdLSvMAhKPbQPozDYMuSJDxTX9Paqw9iEdN9
WXXiEI8ZucNShC6wBw+0QWaZ2YX6tMGrSntyixKlPA2w3G+glqVE5oLOvGIcuZzJ6TVBnJkcunqy
S7Wd0mEtQJXk0Y0TE1u/7aVzhUANP8CUhV9iHft7NP8DueO23GVNVp574dYfGJPekEKl7tcn+5Ym
p7l1TRuoRyOuF2J+NtCou8Cza8VxurY0d6A2f1ZihransugxqhMEpo1EkzxgwWxzB/Jz4kSHNB2y
AwK1kHSYldUAceBQO9p/F0mDniqOmCtiPz4ulnlb2pBYXSN0rrJlUFQaDbnsaTt+Ug2ocCiR03g1
Jbb1uVAzfZ4e9wJ7c27aDw66V5pDrf3TgH1SBB13Y58taXeCIPENEYgf6IS23tbo58bfZDDr3tX2
OMWB5Q7VN+nN0XuVysikea7V167AMln6bcs/ozZO9OSQUOPD2TQ9lPD/x96ZLLltpVv3VW78cyhw
0GPwT0Cwy2Qy+04TRMqS0PfAwQGe/i6kLF9LqrLL8xo4yuFSikkSOPiavdeedKe+yCG7bDxMz8Tc
sVA1q9g7KNtZYaqV9IIR0M1usGMArO44pJfCT8YHesx8U/D5PPSqveWyru88YyZkD0aLnUMH1AAs
Y+Y2W/fC6zT0yGTHeJ+VUyU3fuGl0Jzq6rOb6n5Y6PgK8Jzjr9zOtUWAlS4I38juhrIDS4oyPcy5
uu8FyUIlXeBsMD4wo800LI+enmGfUnYMEtFtwRAgEAoYsJgf6wKMY5mMGnxJYWVABhz7FbcsLFbg
EXe18tON5XbTc5701J9mVl8ZEFwRL7nqN8KZ5FYa5vA1zieNxqElcqtIetblhvlioEW4XkTqX0vS
Om7myq53ooiHG6Prmks4Dfo9vd6SM1Dq8nZX13287etWf2OJ2oWWGus7DKNQZWaaGCweoxZYNERf
1cL0spKV+4r1ZtHChUtrC3APFgdGRieA1D6FVc3J702dFriedK6Mdok33JEmXZ4wHlHnNJfeZCcX
td81N61IZDigU+OT9ZP5Szp3w70t4zbDtRkRvKjPBVtk0TM4U5g6hKC/Wrp5Hjesl78QtWluKZf9
AOdRfaWyJtsQuNCdcKlMt4WrwbbM/asWDXcauHOaRLDUtfwq0UUbCqPNPha9BDbfF82V23jzvT4J
sK8auZF3FtlcB+kxratVlDKNiSyoleQHXHeyyZ9L5jbPsVd1NxWZdxDio/RyVIjmE7YVj6KzZkC+
dbafOzlvo3loGTRWGA4s3i1DGdrg4VgViyS2wB0fse4x/E6tvgo1hkIbxJMEA+iJftOyATG3rhfV
F9WkWWBE8mm+tLO5zHEpA2T3asvkcxymF0sBNrQlavZZlXTuGRnNFyIVzm8Gf7+2qaMqvUG5Om2c
TPef58XuD7q18KD3yLhdczX6dMdg0zm5bPoeiFvsyFxB2wS6MSLKPvQmdRrbutuxPkC6/9/iuBrS
Yf674hhRKq3gvy+Oz1/k2+cfa+NvP/K9NhbUxiZxryj7kDmucMM/auNVbvfdc2qAH8c84HI+20ii
Vmj59/0q8ctUsB4QBcpnUnP/ER6Rfe5PxbBDd8XL0Geh/aPL/6mTTQZLyaprzCs36l0SFCybU1Jo
uHSWgtRACKltqJr6gia4FUEtWglQOO63qH6K/Wj07YnQsNF4wSqYn2u36JLLVvFE3xhNq+xw5OZ6
MqUlX4YcSMgQzwRbNChON770JG6/ISOj00kq8EfTLO5Gs69fKxnJ6wWxjiKLoVqf+0vnInNijrhL
Sys/uOQQol7IASi5zTzsHXQ/ddAkmcrJeEZAEULcwPs1z66zSxS7zgNt7zKGuL5gf41MF4NizvPP
LWO+6zS2Zcm6p1TXUcT5GmBl4r2TqMlGEBtf7h7rubMoqcRIodlTjetEr+AfukAWPbNYtNv5iEHO
zsKynBWLWn5BhGvRArGsbgnIujW8pr71rSy+W7JcXreAe0mlK4YQCSA3NQB3iDJT5x5Kv6jaDcwy
4jqRR7Ck9sack8bqMJJcmbnxiN18cBeovnDbhvYQCTsd92VkxKa7Z/yRxzu3Q0MNPB34dKVv8spT
ZxMnUiU2HP3a0epFDd2riVuSbzL0pxUQ5tQrtEI9901h4WOSxHwEHT0UIyk7jaQ65620fBxeRdr5
THzirtw1LAvBMWNpxuUO3CSLqI9mbcfTWMDfsXvE8XyYo3SHE/Y9mYQxS2O3PhCpJyLgekkRha3V
y/XCIfZiYXjJGk5lUKPy0iFX42IYxrHRz+T9ZQMiya7v5bRAgZuMqRcvMY2MsbyqtJir7vMwtUMJ
kRjfXhHd/vfA+w8PPB/Z/F8deNP/HN7Khtlfx8DpWwj98fP//3/v4so/9CSu/gGwB1MlTrxVN/L7
PMA1Ptg2E0qmO6ut4T1L/vsRaH9AGox9g7ZfvOtN/jgCgcdiu+ePk94naOH/WWL8z/M15kr8Rask
nyPV038ee1mao9AgcPnhJmb3v1Cqwmp/+tOH8h/MC99fBIkrahbe5y9Wg6GWWoMInTCZHKWdcvsF
t6J0N6xph78ZmvFo+PN0A7QpkEc+FmT/uqv/YjCoQRm2WWwuByVT3IxFSsdkYGEED1qSOZUOh1J0
aDUX2yK6CTnGX7/TXz5Och1xi6AAEgKR0M/PE6NgBDs5BuuaanowSvfZY6f01y+xPpL+JLFemb4G
qiCDBA6+N+aw/P9/EnN3nTaPeiTagy2mB9zJT3Sf9WbEZcUcoeUq/eNy/hffHD6AX18OKTzOGwTK
NET6Ok7608vBsmJhRc9zQBdBskxeCgBWvlZe5HZUXhTSerTeQVdgBwagVyYEbNTcPkbX8h2M1dcR
Ba0RC4SvYPqOmDmBaMla+u2GOFbgWj3jjQoCvcD2WILf6tD0HY2sND8ZGUhw2Q9sRVeAQDfoxtMM
7WEVr4D7z+Hln5N2pA9JcjOEXqSeZiYlJxrMKQ5Mw+2oYlu/fHBYFT2TpFYTWorCIYqJdrUHspwc
m+GXtACr4wqO0VWQshOX2GtXRhdafLvdyXFZjmy9rsZMkzuzLL9abnFXp9ZvDFZuh45dxGR5RFLo
6mOMFICXyBwCEvk7Ca9dwrxZ2n3erujESoR2n01f6Lbbo0t6ZQOfmYkE0w3LIFVxqifnrJS5bpCd
6IJn2pNLbPtFlkCgp7wmv0JKtLKaD7WxT8NZZBkypjZ+GByLZHsCRnRfxliFY1YtUySJNSuibYa5
9IopzGZMsLRF2MAubfRO+ZbWZ5hJqZ1jH01PNqpdiiX+oXVxHCUUXxvDQ8faACDQoXIIBjiV6jrn
0apc7TnJZXdN+hd/j4dO/KEWOZOiLh0PVJHYmrsO2TL2sOQyKtvuqiYlmdQ9IttZ93CJlG1209YE
PRFsIbZyHo2dTAv9yarJuYWmpjZakhrj65jqrYg3+ixOeN7jhzShgaxSqF8RO9UwgcaOsCJd/a4w
5U7kIHa3zUKzQx7BKfJn85Vl5PBgjWZ+aLVEXAllOoey4logaTzdjUOl9lVpvia0+IwZ0zHeZa6p
wOOk/q0O3GwPdKi7WmKtvllph0Y/zlcokJp24xP9vOsm+BK1Y8fQKp0G1Jqy033nW+Mli1MAy0vi
3OAz30WRiUshGlyBZCFG85AnR37sWckYHGq01pnTLfHCj8zOaGYkQTRWSYAmW6kcWza5CnKMp1tg
AWJvmKl+EDhFDnM5WEe76dtLMk5WMW9s19flzHODK5phM3CBWL81o3Z+69n9rsSB6iTjjPyb2DEA
QPmEBBQaONKsRFrLFtsNW73l1eLcrLlfEAdtSG+IdlGT4FbRvOjVy4dqE3mxv4+jaLpUjDsI3Rlp
1lDUQevUCe/NSy0ArY0mIxrVhmhgGl+nmC5QsoiT8k1vF61s0LquM/pEogIdN3kzI/PZF8sMVGjQ
71I16wdDmh9dvlfNK+L7vNatQLh80ma6XAxWzcI/yjuS8bQhjIhlC1sPP7+zZFda3za3tJVFiHb8
Mxb73gtwls6BF8XyGGkxgyFNv1XzuBtUHR8yDVVM7TfTfgF0iLLAaR+RKbslx9OkhQ0M092ImuCt
l1jl66Rxtr3aAWY1H2y78TeVyBHBVa7sb0atMd84t71jWk7kUoiEXalk6Jwk42rwsZrlHBX5gDgp
aubHmryUEwfSwjbNpy427NeunrAh+N6alBHVG3zUBvOF5EQTv094AASlZFAZxDG2hKIU1bkvvWMh
jce8RBJlRKLaxGyPoW8y+WDSHEa55l3FUf4lUj5Q2bbfuqNhvY06WZ/ZaMrrxupLHxwr9x5HgnOd
zpk64dMrjhB3yQ3y0jysp2V6qRXSaKqh1RyL4mDeFA43ULBKBZn6asWzwJlFQ75Yt5gVHPbA7BhE
UWZ9UNuFuXdJntg6rOe5Txz1mYZBu87bipa+r2CsutmTDXDzMPuISzZtV4wbYSmLjoDTo/BwnY2L
a50IHJ3awGwWeV32nnZggeZs2tb9zRVmTFQUGNGwjezs6GWeu+bjiD3S9nLbGda8ceWMlyS3jC3j
7OSAGBLGnhrtgz3Y9rWTClBsWhx/9OwtzL15X8wJH78ECSM4uQiEQaHGh1Q8mEAnNrYu0E5pQ27c
W62zdfCKPA/IWz8qclvODgHxz31lhhBrpjTImq47j6IZdnlJtsdAEvnBAqdAQh0XGQ/PrxVh4YxE
OyJt46g/8nycjjIzOTO+MSIH8U6MNFZ65Puj/r8rv7+dagiHouaPqugXyfj5y/Q/r3WX/1jfv//Q
73MNV3zgaWh4fyJh/VHj+x9cVuUWw4Vvmz0K1v+r8XUqVbx/GLUJOl0XvN/RWgC5iIy2QWFTevmY
WP/Jzo8O48eK8X21jVqAeoUq/OeKUUinlboe10eJ2SGlI47ta7ObmvNSTP/Qq00cA7N5n+weGhSL
nmddav+pXJR0uliHRXV8R7EscoaXMpr+08wncEJ7+3fmuZ+X5Lwe/jWo7us+lcfGz9WwRpUHz4TX
K1ey0KQ3nEyZgqU7KMzF1RAh7zIVPNhpRRj96Tr4F9XxL7Ux9jUE3NzwfHt4mn96s62m96ruOfcX
ODefy6LsHbxZksBcsag7sDL+Ewzdv3vLvzQAvCqflgmIYKWu/awLGHqWTpPnokouhbrJOVA/Q4vC
/OavdqF/blCEMIY7gixAXpGegx30j99ppmuqMfrO51iM6kt3FUnPycCy1zNBW0XSef3rj/VnFBxN
nP3e29D+8uGypP7xBeeeELQ4UvIw1qqFoe1EWLOWdxqWN1l4cecxFWeP0JGjO+fiDrlw9VQ1+E6J
Uc0XUM1u794Ns2GMQSftUQaopvsTz1f1Mhve31wFJMf9fIO5jCkNlBp0SrDyrJ9+3wppESTlYTzY
LitmklcNO7rs40Jvd3G9Kq7bWEwXAn5dAY9ssImpr+L5buUcHQwdhfpF2nvmEQmU/RabPRZdAkC4
lvoInvS7/VmlCexfqRvAm1DOi3Np6HwObb56splD4v3QuhSi2myAhGlsJc5a52LrHpHDXTbarO7E
ykiLUh6NwdLJ2v7kSROgNxlpSm69vDWyy8601Y3DKeGEKexg/4DNTnvGJu9DIu6MjkuOADETAVk/
Q8YE5ZMI8YWrVCEkFGyuFPJGX1q3qpqnE3lvOJlRBxMG5Vso0N4Pgo51AAo7icdSQ2B845Pc5IFg
apvXMTPwonS6efxmUlRSNuRom/JGB/Nbbnwii1eYVOZvM9HZb14Hbu+bp66UEeStZFB3Gg6BB3sg
myBdUryDIFyoy2ZfveKCxDiDvoIN9DtJa7Q63ilDCPrOoscV6Vdp9GRkOd7Okc3PWzHyOb4b6qIO
FN4IxehugUb+NLWw7RxmJ3dpDFa1Ra1v7rCcYG7zlYaP/h1Z/+1aTRhHAP2iYhmv0lz1n4uMYJLA
snmzxiybft9PsI42WM/z5MJ3o7Q8rvi+cggcasBxO6A8fE7k5D95DedpyBYT9EWJXMkJZOVYb/V7
vm/ccPOzTj/5JEs8NZRcFN9VypWhcoDpFi3LZaevMEKzqdXNiHhiCiUhx+mGu7t5/cYBi2vQD/S8
7zC5hJh1UgjgaE1wj+7SCUIyqzMMue+fv6UGG/GDZ22T3HVD6tWk37SVr5/f/8wQRdWmxPnKubEk
B433epu4gwyn2Pd3Y9tzASNF8Agpy3Ek9n0WRZfo8yFky34aw7xVnn+HOVuwYx+guozBULClPA/0
fI0deGVuqHtkIjrLn4jVl9wVrLyDyNTWpXyRCv04icEFBxmXGo7Jvh9SbT/rY0a0e4yT765pKpvk
iJoSPqiScYhOxuLPaL+N6bOctZbwaTbg6c2EjHBiOgyVfd/j8dz3BuLLYEEYGmieZGEFtIYFlLT5
nPuHxoySrUpnYuMrf975yL7bVS3DBMVibpyZZ9tbexc5HehQFa1YrR4czALv0AW+dm0+W3buYBhO
xEuvG21I8+UEqOHFNSu/4W5KWppEEsnsj4OVI4pJzH4iZ9xP1aUksPtgeQjHg1FHbRLo9XL2ujH+
3PYcm06ZuhdVmjjnRq/I6RwXaz6JaiqRt6uVuAvIijV3swyffZptKDwaORYhF7ePv2dQFS5I2aPk
cd3oyaz6oQqFZj0OSUykSNe+VcLNWB6DGT20k6mDinRXelv3TviYc7v/nACmlAHnsrrjMce1bMCB
g4WrRTylFxAvKCxhKYnBfyrnhL4MvxY+SVtKdfdOClqNYOfGEs0r0UwwyGU+vanai58y2+HAJIcc
e4+ePWfdwo31znSM9B50jAuezmt8nURucKAhj9Ga2RDUvRSDQ8/biHcQvzwb4e3C3nHpG/Gx7DRt
OS6JNXpHs+xQEm+gKbDb70SHasUwzU9LLG1n21X5ReE30WnSmvgGsXWCWdp/cJOkfSqG7m0u1Xr6
p+KJXovUAYwwZ9oxznm7EemFXzfGx1GL6KMLsIVXjT+593TwuRsCeTvCRtdkaE6t2PiJcFmv1J1H
VIZRXavRUCOJ5MZTSYhnWKse6a4s2XBbs9G6yHAtWzKMiqozgxvrUyFM/nzDE6t7JJXCiD753pQC
YWibqN4tHubowIjzEZlvn2snlh4jH10ZwdFHu/Ayu159SK0KqXZi6mHGW9q7okHEMBtR/1orj1qk
GWzvZE4o1XMh+VpbH2hhWvQWh4VVxN258/qZXVvmnTU1+09dyeAw1Ejh+wyYzGettpIqcmfhYdGO
XCl9rHthTNghl9JIZnlIYq04m7gHYHQ6Bmd65vP3SIPfxhnI6egnvppNUficgyUYk4UtPwCkFGdO
HCT5Cn9SJsRip2hSaG5GznmPJ+0wJxLzC7DjHss8q8gTUx5tk5GbVqw5ABxazLjVTWPy8o490ZK+
x4kQ1wxPO1qst2XOOPDfj0CXjr/DhB/zLrBKQY8ZpsrD1N9M1mkaR51+2AaW2A1a/7kygXpDnOu4
IoylBSla8HzsU5tzunw3ZpNujAm5GAgsu0jZU4J7ff+1vjnH2ySjkoi0FU3gdpz2bQE5g8mauhkk
tW+JYmMrlgJBtTEZrPiRypSWugLgDztA7/z6dTLaJrk27JXRkZYN73WSq0e+ImnXvbPapsAh0DhM
XhimJ3GbF0wodOm6m1hZEK3yHqkOltX5HtqH/eokgoN17rTshMNApUGOrmuFGIr4YXJRa3NuQhW0
FtPrORddcV/Umn7RjIn2dehaf5+ME3Ed/M5UOakGrdNQE5eFV3Q8yVt/EA9mtxLN4xXyvutcCzN5
rNL1E21xawUwDHisj42HSYx54FDdR+s3miFyelveERIF+QFnTbR0DYOx6OQIoOjTUmYNLHbXwDKL
RQGPSne6d8xUG++loxAxbdIpiRPvjoGJ7/CoavxlTSyN2zndzXmqxYJAaapl0iqmAU+CsKHi6rW9
TXUrwi0KnDIcoAaDwJ2Nfan51CAulrSL3OqSs1kOcpPCrN3yD4NB1KEXRbY0DFGT9q6Gf37MZaK9
KM1PL7SBYa8kQm5jzV55YOiHSRaTy64Yp/eZiRNWOtYU3fUvCdGINi0L2djjSAeqMe6EHkNpWEQZ
dEq1x1piaY+HQtxV4DmZkXJIBJnErQPsYggGp8y/QkFA7iXr6OADioUe2RJlwB04EbRWfa06iOHF
fO0razpyXVMYjK1+7Q+Nfm2XswylXm6cfi4PzFzaLbVxdK+ccd5lPETDrE2mrbKsa0sfrCuMktUt
3zbP5UoVFzz5SoaiOYIdzUR2Vjrb2C+uxhxOLKEJ87WOX/gRD//ICM0wzzXBgPUGKjMFpCLsheUy
XNEbsxR3VH7VlgQm/SvqLPvCZEmfktdi+HA6gsqdrMg7aNnyBU0sX4g1cgvv2G5NSViOelFTaGuS
PQRPYFJmsa9xgiTr/JXnFafhwP57bA08NSY236s+L7hIy4TTJnU6rsiFwCqUbwod1M2cT1m6kZTd
4V+3UWvX8eOiiD6K7EcGC4IRxM9tP/6OzOeJRzqd/V70I4fFBbIiZP/6dX7pfkALrcAy7LWoMmjc
fuzWgIoMY1YPuLUrh8N4RM/+0PYdFBtLARVz4IEmF+/H4V+/7i+tP6+LxBpJNJ2pRaf44+vSkhdI
zQhOVFnhEOQAV7bsFVzZyU04v+C5zneEj602dblWuX/96r8sGnl136Ar5gbnl/gZ4T/3GdMT4dSH
byhrPCLGg7eeuth5OO2HGFFqoDcdbclaeRtAg5vg/Vf478Tu7yZ2KAOZ8/z7id013rofpnXffuD3
aZ2nf1jZTrpuwHVaBfpM/37fyHvWBw+9kWC9/j199Y9pnfjguyQ2AOdDMMQqGynRd1GS98Fck/7w
4nC44tb4R9CHXwJLSEURK0h+HQoyVfh5+hFNpKEllW0fuWGbKDSyJcdPD0sV0p3cIN/sn30Wi7sG
4NEOTkAEGZR6mXQq9WhXXvNqOVn/jEq3f4655f9mw/3zXcdvZ+i8fX5BA4zTu4/mTwM+f/Q6sDa+
dcykVb/ZECFuUP9Vp+od7tAiRtn7jU4UfFODovjTt/gv5m3mz3ot8I+4FoRFeoGOkMAyf5q4oXgp
GmdM22MURy9lG5mbcRpT/2oNynFCp7HdE8vsyuFjctxLZfnpo8i69KNaquWzO/atDJtlNi/iAhFX
DiJ9D9J5zLeUC86tS/U8bzCo28doKoeTaEyiLfTGYmBCTE1G2t1KZ+rL68SY6VKxaosNSXntHCDW
d8NxXEoWTFQv7CaYtgDvc4xXljYsjOgGgqX3GJ9RnG+7mnAdWLzVrp6tCivuYHoQ9CmSkw3nabYx
U0t/1lj1MJlxH0a8vsXGWlqOFNdpqnNnqZjaQJsodGpTHmatjDa5tphBhgt2DhZ3kqR4RSTHNwlM
h9JQ80uFJ9gONOQCJ+IJIiY/8/DsTWCMg1QvJj1gU7V6+m3POXhmPu+mpHD2yjfSDelMbKQQt7R3
/qhltzRTqQgzBE2vRa07wKtcvQu9RPnbaTS7dCcZuaIS5VZiDOrFRK61rcPgyUqGBzHWCTGD7jQe
V3RFHNLDDHek3XrJRpgTkvDUEfqOeW7kBVU05FRWttMIDWzcYl6ygtZJlY9TgwyvxB8DujyLrzXT
rIMNgBtrtOVgO7ftFzebvW0C/vomJwZo18ctCvURrV5gdQOag1gnlZLtdrfrhsm+IetR2y+GR6Oc
GHIHfmjnD1KG3Kn+kQF/ebcwsGEWUY/ZBZmDWejZg/vGTKM5LKW+bP2iGWCtdvWyG4whpuPIDHz8
aMcUuZfAtPaYkgWyZg8LsCdonzNjPHhTslpSXTv5Yk26vBY1K+QARkH5BcgxEwaaATNAQFCV6+a4
TYNZLjaxMW7nZCH33j2tNzOFkd015XYWIR67Fx3pGU3QukQ3biL2v/EmUxHqBq8Z8s9VlkSpB109
2xt6PX3Oc1kK2ugEMW4A00rqVzhPuvSNlTwZrX4lLeO677GZLeOyIjvNTL6sUz9CLpAzvy2UY2Qx
+6PquCvIKfyNYKesCDt/aNnHDkSub4exq7RtjfzgiilWNW963R3EdpTakt7PJv67A2t/6notqqjG
66orY/BhSdx8tPwJjyOb69WEPttVh2Yh1w9Li/8OaUR16hIA8+ytzfqtr2GaCcyuXOpKr48zPewd
Vpr1MARegpgyra6zZQQuMALZwzfi82rd+t5IabXvu2gR07a1+6gPyKTvn4fUySwMQZLfXsUopdpa
LQdwV80rU0R6JmmAv/Ft2cgwmbiRt70+Ko3Zixo/6Vk36ldZ2tlQSaKJWqQxmvqt6wufqDGtWBgO
cZT7vHPsSHiNtgN9A42SNsizSo3lqehJZ6g3+WQuWCRUBLFrCXkSiPnNHkcSPi48mer8T85UzeI6
AmdjscoWyyRfqlgVaQ/gw67exnmgVp8hlpAotjjnthf8xghxam03YUbIVjZ3s289o7ieq4SpmVOn
BqNSkanbMY2NawuMfUeUoVdcd3aB0aGKndom309K2I0uC2220kl5IgrAxVLGb8C1WzbWsWJRJM9W
26ksWEw7GkNSWNyPAAimOeDDyf1NES+oY2rPmfWAJEuvC5LWnV5rnAoA/Wf2rp6T1UFEdgzGbXyZ
+dTXn3oxPJpqco7S9zN7z8Rouh3JxypCLYcPtvcSD6CP8FJALkbtRxvLzqKdwBF7lZgyWrMV5+qU
gMJ9MPJRkbmQjPZvNlNVVEGmSHb1hMvKqDWiGmjhThaz28sokcmJXISup/PxiqNqvcZGA9OJS4Ic
wbmgynQDLiDtIec5A5TQ9Ama84GSA2gqXYOZeI8cYaxBGRIH4lbzvprMmdNPOlmHrAkfgh3b1k5F
HPh9afbP/y0c/yM9JzCLv1z1Xndf4vrHDKVvP/KHgN35wBLMx1fuk9ZurvFgv5eOVGof1t2nh1QO
tjd/6v8Wvc4Hg1E9P8eWUv+GDvu+6KWq5LYElk81A1pB9//Jopdy88eej6Hq2u9RnOkGz2kq3B97
orwfiacZ/fQmyzlY/I0JNoNk3Dh3rv2osaxby2mB+CHGwj1P6BflcTDJ1IEIhg1SnVtzFT27GMDW
SWU+mHfJN2W0zZQ71zcOmr6gkVV+4H7Vp5uhaPXPpd5MPJLdHvPnphOJhwZlFHWcoJMxck/ua9+K
t2XSZhdlVomvJuM7lEV9633S1sZMOeC13dxqycmIFxwn6OuwF0X7eKmX0PQL/TrPU55jlemMY8BD
vMwDwBgd7DzT0h5dXfvkoaJnSoaar6JWx+QGUSZdluykcis9ugybP07r8Uo55zsBKaHJXed6Ob6d
Ws03aPwiH0PjVHZbs+EdU8UtAyd5WzQh42JU/RH1mXwnL0zOp3SSw2OPwCM724bSQnhz7nXa6Uxx
ZvyVKaqY2d6Q5kiQY+QrXwa9PqTzvWsPjMv5JuaXaCa5U0OuB9KHlOF7UM2RH/Q1fMENgcDymDpR
crlMSr0wmRD23rGUfowrU259eKnVRhcZjj53cBKKQny6z3PH0zfGkNRvPFeWF1pf6awnbKxSmzJa
COAluWgMzMLikgBaxeHjqgQtbsZxROBK4c6vFI8tcrWOK2tjUBSoEOyhClN9NHmsMXrDLJx8dbuC
MW6c5oc+tcbdFJtk57QpeaZ14t62C9Up65Q8Dg3Cjm5zp+wu5hr6g1624pZwnwk+R8mo0nJnLeg6
2/k8YUUOFTfNmWHG0gTJXJcJZp6ZMmnXVlpzwoWXzVd6RVZmc4F6Z/Iacjur3gOkkpVQRShdqubG
ytukPi5VKqxAN0mIqoLEY+gSjGXPyDXK4ZcF1AGehwVAWKYVknucmrdjH/NdEeDu3jP3hKLhaspv
npgIu+hAa3yPM9xyCgU9YRNpKuX2oQO/o77I6qhjitzgjy5bd25I93BzNyi8udRO0mZBiFZO1Wci
kNOTrCDSOVE1vRllghcyZ9G1nRm0zkcVz8zweth9cNEKR08Oc0b4+AFyeCGCAZQPHl5UiMMBkoq7
q+I0BbWJ0mCTtJKw4LqLSu7syHMJY27mdAhxYbBMaKJGytOypIBYDM1CzZfwbYYNgfN0L5XWLUGm
VX58wyIt7TddOZbulSLg5wyRSd/DRBjDBNzezBVnaXKTuez/C81N4UnVhcTvEBUJqTa604Vl4U0v
RtrX+wFiHLpGvWdjM2TLLW3Db9riV9xT+L1xtuALs89DbfbUym1SDrt4nOsXFa0SP28ek4dl8Yya
4LGmq/b8R4b2vlYNw4GTaL5H1UuIlmE7DNMoUQ1nX+iJMSGqjcyjWTfdVxxoj/bIsNdMiZG+l7lB
7NWUr8lnHYGWoddoPK/7Xr9a8M7eWtW0JulaflZus5jTzB4ZBOZzm+0XZXoXmebNObYyTanTe1yD
a/YV1F7WHnvPi/ptIeKIBRjfVb2LmyULjcUybzVwdIiGx6QIHT8zLmun8rdEo5C7pKXNmuWVQGdt
FtzJOnlhfM+5FWefutbN3jJIWo9mV8hXOnvZ0TRaFveapWTIZNLclsLRhmMXx9amMJmrb3H2xt0l
f8AaA6FRXQbMM5qZQElvYQSHcdw20E5Yrt3oQTYXdE0KNO7G6B2EmrbTxaxNKWMPWtuZ9TYaygkx
XW0TDHlVV82IB5Uglwf4wuYTRpRni0sYjf17qplf6cbB8Sb31rFpDeMhmsPBSJA54wjXt9UyGFtk
poQ8oyBUd1XUW+eCzG32Uh3Snaupq+urZVicbO+1tfnSDuolVkr6jJxTpv8iJTOKjak+sLbAWjte
YVAS52UW/R1D3qzbYOZU8a1Q7C6QGljFvMyH0oQiZmcbUuBJa2l7To2z5eW/Z9r+dxD3d4M4ODCM
wf79IO7mS1Wtbvy3Kn37YSD37Qe/y+csHC0GgzfUTEip+Lc/qqr3WR0EN58Cap25reOm7/I5g6oK
ARRzPOgwzIUouL4P5BDdrTmyjOIE6pN1hPYPkim/Tcp/mKS7eBZx2yDtYTjo/DyRK6jA4a3qM/qe
Kp9DahsucRtI8NmIsPRufSMjlAyLL7awaXCwkiOX6o7s4JljLC0K8U1S6JqPhn8gYjphragFTIlJ
fPJ/a+QQXU+OM1+Ws9BDK0V0EiwsoQUP2x68pJgh8jmFQZqZyY566y5zMwQGSGuS6LNk2QPZr5+6
fuYpy/rkzJxSZ+e4LI+RoZkrLsZNtp2vN9mWZ1d7H+dsyw46sZBeKJTuvi0Z+G32tPX6FIHdDrWu
AcdajioKx6Q6pO6SftGEiH+bFi29UvzMiz3X2RhCBLVOgJJImhcubS+cC7+H1Wf/L3tnthy3kaXh
V5mYeziwLxMxN7WxyCJLXEoUqRsETVrY90QCiaefL0t2t0RrpPB9uyMsWs0iiC3znPNvib1tDEYq
EKPKg3Si/EPWEAwvp8G4sIiHX8dm7BLnLuS8pdIjrS5IcoloDieHeUbzaPQ+CV1VBfwHpG6uZOk5
H8OeywwpG9hx1GAZnpRYfUHQ29t2l2ztiCvvZq51hTladSsMx98Jf6nucFxtbnMmlx/SGF3pSpr4
G6DMYq8OFwZnU4ofJGNPse7D6qYOiHjfop3EXKBHvZGva8/8xIBPXI+N+0QYoHiwoCuHF4xCSc6y
jTwB3UF9cVH3o/NIuI+9g+sUYled5PNaYoh3g6wBvYZjFusKp/cbz5PDfeAD5W39M/6kkSh2xnrr
VtZ9IG+1EHIzTC4WmMBXLllBja4NnKNlDOOzpXGuvnLmD3LIvXUEEEaSplh7Z2xMo2SOxsvgl8XA
13l952k0DcrzJzg8/gYefbFRGnOrNfqmNA7nG161n4DmzMYS66LI83vMg80P+IIFm1hjeTT7F0XO
fKNyJ4h2o9ls4jP+F2koMMdbazdqeDCaplcrjowd+xUIYqrBRB5yOlkNMA4aalzKCDU8UinsCGx3
49feXcPTtsZb+YCMIV1VYedjvjs8LRW2GYuGM1MNbHoa4pw02JmMwJ7WCHGi1FAoLVZy2Wp41Cvb
9gbYNroKwqHb5BpG7dkW1uUZWpUdz80Zb5019EqCLBQY6CeEkmlklukyvbyGa5UGbmWS4cBI7V0p
IF3yOeZsxwB10iNJa3GBfvOvQDAmLBoWVgaMrQcbMsH04LGtAh57HUXHo4XzR74lxCQ7+L0Z3OHt
FKefZncBVB2x88ftLNK0sNLPFMeX2RF1ms2gH6/ZVQndSq772EkRClmN4T2hoKjzy6mxAZXKZoFi
N+fm4tYXfWP08kFmRCw8EL2oB4LJeTpYOKbMn4tC9Eu9WVC4BkiRvcFeq9aPlo0cGBFveMyS5Lmy
soSQutSiDMbekXwuZ2qUuZ3VYtHUWdmsse5J6eTOvKYAB1EWRbJXInSfx6aexGtQEPTpw+FZIrb4
chTNFXM66IUMdOkq+cOPi8scRNygQDdhXp3qYvSpMTua3rUtehvkw7Dmr+jFf3bqX+zU+JhrfPT/
36kfMxI03u3Sf37or13a+w0aOz9HCxz1Js1W/Bds5vzmBwHzCxAyCO3QsP+1SzvRby6GViS6AwwT
9caA41+7tP8bPw3KdgB52rZt/x9p+UHHvp99sMszk2GSQqi6B1/5/S6NhQdqIl7TfRiqGoW5bJhG
mKTEL7XqrrMJl906/qzqEMofyvX0ozli/gyg3RyyNMGqsvHxDO+lsyN+wIq3Pe7ut6lK2kPv1+Wp
qXX6CCTwyy4Wp1jGcwgPuXsxHdzTs03PBf4I6l0/2ppo21YTbABpG/2bp7OTGw3+u9irvNRmBylt
tsmDdVqfb9I5g4/Cb4w/ijnAjhuZ2PwHIa8RRskZJesxbYJtX9HVJ3N+wDm3DS98GdenyXExIMKG
fHSPo7DxnLLTxjgZrkd9sKT4rsA1ZDiAmoQpYta5m8B25qPVz0zmizT8XBZlaB8GIUMuC9PIvTVP
yXXeWuMaE8EOzoit+4Bwmryd1dGYxUPxu1st9SFh3r7ywsXdeL1bPGHYW289K3Y3Bsnj6zJ2psdz
TkvVYE6P5B5SBALc9jbGXDpgik2IIT2N8SwGTBZHNoaPqYnlSJHlJZ5Qi+yCx3bIME8KfEgu2wWX
zpYlLoZRHUcJtGIERsL+0GUObFWDqd+p7wicGFsXcAedGSBoQsQQJhTWCcWSvsrnLNdUZ+9GBeMz
XMUm6/Q1CqlsPX68cEo4YT3WS8fBcQAiAjG0EEtaIgq3oSdJmAjTCE4USbewjc6ZQFZfwp06f/k1
lCVukfzAWKv5Puwj+IznqAIRpY6HtKMFapknqvgxpw0h5lA3qEK6euFPE9qcZPag+Z5jmZEuRI/W
CL1n1UO2wZNLc5BtHGg1n01mFxOaO3JERETHmwrvpZ3Lbrhw8Q1FKjsPyyGqFcdXOtkN/a3O2XAX
TijQF8XuetK6hU5AuaK15ReYSMwgMCbJubpnOnV5jr1JYknes4cxOHDXHJR4qwQN2SSxxOFzN4jY
TC5Fq6PxkiYXbznk5nUGyALGNusfC8MX++syz+nUGwPhF5bq58xFjBcAXmZfn3y4MCNYLedM5H6a
+ZulA8ZxUXheznPKbVk0JZRyDyKz0XIS8Wibt/iC+pC5OCLZrKTA4APvXE4lll+rr5SPXMdjT30B
L9txcTbC3N3G5bnvLffFVIpwEleTM3wd4NkxeJLAbDMBylnuuXdJTgRf4eh5UoYl3bCN/RFGYWdn
mnHmlJyWqsLwOo1L/5MrcmU8nn9LrNrHZE9ISVYzf/X4Zb3Wh59o0Mcco74EDsYfHhb94GtAqKgk
6TZiKkjjIk9H57CbOpMyzJU5HIWKmkPkD81B9Q3/HSnN6A6jBJIggVoZHmeUn2iOO2hH5+CcICdZ
z61MS+0yCHtfFsKN/VXuGxyrtmxAiMQzwuqiGUkUOgRWNcNOb4t5PQeFmDYispf9sPjTvTlBc5S5
gsHCkwZDsBmtkOe0BiokiocMo3BcN60H0OvZcKVXgw0XfqzqxFkrMnKOYPjx4czK5GYyntUt1n2e
KgExr4dxLtxxiHdgpPOD5CnGASSsdgs94NqUiQfmJIbX3HAswlXYdB6hb80PoW+QEGRjJ7Sye4YG
yFQb49o3XYOzqwrsnpeGqeBagBg6Gy8iR3TNJZMYAmCqsJ8IrH3t8B6h/Kyb0CF/fGJOYg8FsBKe
bJdky3F9lc4j7YOAFQQXIckBq+nDZHnu1pU4f27B6ye0zTGi9qp320sH/zGG6mGKCTE7xl1ttfU9
xoJED2B7Bm4VFKn9MWqWYGdMvfrDDSrnKoYxus9laL2VOJo/hglxNTt45Pl11/vZH043T6fR89Rl
W9XVlmEg4dCZ8bHPjf4xtd1hg5haNGSXhjCmLSbfTKJLRC4Q08torndmWKltjRkeXlVJwRswlcOB
mhtsTmLd5q6qJcYgt8iHg4AFgPzBDqzLcemLG3zcvY03TZpYjwGUTyLhElx7SXfs/b76A3uC1N1C
eZLlaladuqrFHB7Lybi3Kvx2KXNhsa6Z/A/WdYlpW3fHLCy9lGZ0IeBP7hbpSEyhi/ZmGusGsHOM
b2uJWROCyFWdGe14b9X1k5NMKL9FNCzJhRwz57qFtWt/jKHePsJN6B/Kyb1NPdnd43qG9isZrPvY
soKHOhApRecswg8dxhc0sGW7xS/VfErsaYY6HZ4WeJKfRsxsLprZa3pybkmR4/1ogbslQVe8+NN+
brEqGFv7dhhQu/jkQ0OoxOrqeiJrYa1iHA/uhrRptrPNjKvUdoxD7vQ4a4GDtls4FbW5oc6fPsft
XJVIWUcv35nVOFZ71ZWIWw3LLQmp6hpMjU1xsuuCkCCiAUmfyhyar5xRXmUa7aX04fOsJyf/DBu0
PeCdOB6FbX6e+rC7aYcF42OoQK2/DmBMXA9IoDcSadWDinCLVHNu3RWWL77AROg/K8KfupdZmKW8
YzQeJweaAmwdy6JeI3R+stUS36WpFW8Kv8APJLTmaylovUt6exn4/dUIKP0Bgb+/HWwmwysFV6EU
eG51MOm3safsuzwT8pnJe7xJGBPeRm3kQVSfcJcramyVVqYXtEdc/YobM+7sekM/adzBdsBI3x2h
gFZlgDEDXuntUNWfs1Fgu920H2MMca4Ks38UbInblFirzZCbz5adXOZoNa4N5blPZFeQvBEUiuCu
eLC2sQGCMyQusRroLm7GoN+H4yRWRWALug8MRVdB087gAxhCcYYhzgepC4qctPYo2PyMow+V/sLM
0usKzcDeLq1Pce4Gq6T0Ic7ajUvCiSg2NIHlxmolz4HdApHMfsROEcXLJkEcTNPDFr4jcdacibFr
nTuM1P3bMMJJrundkY2+hkkLVYgGfJl3RiDkDcJUb9WOyUcfH4RDjf/fBvp+u8YX24OeUlUPGAbi
1JfTRBK7bmWb2S4ZBmNHAQdB+F63UkOa3lZz7+xoAtXJ7Ht5UIOjCUZ8UPpJc8MKJDFcIjppIyq8
4oWJFWQ9koImbLc9ONXS3adeVcq1qodpS5OXpfjHNdbVCGsB00Lf3PSxfwm/JbxuikR9JPggRtlQ
jY/pmD5BSiHgwLPCeJVgePBRtnihB8Ms2HEH58pvq3k/m4m9ciNc1v0Rirlmp0wATpWJPWkYjH4P
szqFFedXgj59xpqDWRm7I/I0NAJkdV20GHE8tqhYVrKd+4c4b4IdxN8437IdTvswxzMDb5ICEwDA
KAD7+zTWPHimaIzYVAIzwlWuszJTNR7m3m12k23Pzo7PzDdBNafhOmC9ecu70f8SotLYYkHnLfs0
wk6yxTVxrzP2tqUurVp8uVelVGSzuVaFiF+7guD4327zWmbrkCiVm6m17E2sSuwLJcw0RFT2ocgr
eVxQdDkf2d+KG1ETqinXDMKq21yQlzAUXnM/oiXx78uI5Ba8p6J+JUVOWVBP7u8FBtfJLvLrmhfI
pBYsiFP8AGfiIZHlfI3AfNiqsYjmdU7g6N1AGaDtGltWXuUkT0El62azOAj2QUOeE4ad90s84Ylb
JemO1E117Q2edyR9putRpXcGqJ83XjlNKQ6z1amLsM7mW8sTwymdqqtu6g5tuMybLrI71PrN8AqV
yryQouuvLOnFF30SPlKoTbsAFFIGvXuXS7zq0fsUBYPBucJTlSzYydpl0bLAtSM/MV83Zd3kELb9
5X50zPb3uagQV7Lk4Q0LnobKrR65ICgyrouxN6pXJecBG1a1fDBSREZbrEm9kYSP9tSOqgax67PR
jTUZn8XtMp79iy51gnsyUj61Tjmnh7rsgvjaqc0XMUXtzYzZ2CoLeRYuiymDS7LkCisUMgODe9LB
GBlmFV/1E0PEOr5t8OjYoeJYQYxeI+n4hKKowXy2D5PgNsEu7pbd71JU7KDT/ptO/ge0yXekAKiu
cAEctOQYUGEm9d7jKYmmUdkJdW3Q42o+adGLl6X2aVHB8Bb11i9Dnt8LzoEkMW33bLzpTXSMHpOC
b0XgZSoVwumh2dcV0KhIKd0HFuYXWE1AXnYzvjIOd91jIsPRuex734mhg1lGWt3kXg6D+5xt73e1
23+ozmpXw1/aq962EPikKI9l0VAAukutU5oqrRlKTCeioXfF8mAjJOu33Vz0+wz/tGfR5t5L48lJ
PAzwHYbdIoiMGdbEqzjuZ7xDWgQZ4UzDlhBYSK2f0IsUrBinCvb881Sq4Y1Hpv6CErR+cKKEil6c
1Yu+bbbPJhqaGWsOZpR67TRpsCwjvluY0w47XH+hW5zJ74pv7OFQtch2+tTy5+1ghc3zuReu8NM9
/vymv2f/Rzq01mVSAx8FI9/32vSCCjn2B7PZe0r3yx4KNwadVkm79vMDacrtt+DI+UCALJQB0HPt
909X2NPBdWhb9iWhkC8MJ6pqK855jGc11JBp4jsCR5qQhV32+Z8ePSSFAJ04oAZJ1u+16SibrQDf
JyK28tY++ROGBmQGKOpHtNXNDIyw8kVAE2BM5F79go9sAUy9O3eYPhCKyVsC2fjbuU+5h8Yn7ps9
XDp+upwSoFLYM/apzgfaZtfyOXnpKmLcvwoC+nqk8auToNwD1Fqn89X4z3jzF+NNO/B/Pt68T5u3
P/7rcihf6rfvgMivH/xrxGn9xuaIWgbyv29/NeT7c8SpLT4QqZtQv7TpAivev2FIPsGj7//b3+/f
5C6Ldf4sMbD/kYOHc84D//Yt4z1G4ewSAom7nElU/PdLaodUq68iUmMMaFaA92nzEBVoHbdITKtt
ZntPUyXlDWnGuMyM7VNJk39pTrBcm5HIlGpJi007uNVdJKv6thzNR/RtCSmsZUfEKrj4ZtHpi70V
QDQnFmaXkx9M+FhwbEtZ0FpaBNFO/UvkVDd4U944xnRB/lW8Eb1Hbt0Es7yUMARQin0ZzTE7VlzH
dRe0iB3rpluZRrisZg/ONuachyYyb31rcJhpTS+aEIBvZb9VLo6jNMVfBtIDNxWNxTZowmPgzBdT
FrTrNqm/RAWRT5a8j2cvBesbd65d3GD5fevm6mAmfBf98QoK1gsgabNpiDHyBLpcab02gf/UqYEh
S1xCc0mdT3Hn7rM+9LENYXLRDPGyqo3waAnnqZDlS0CA8c5MmIRQh+krIAD5Nvj1fMnb2lgPDF93
Tkkcm1Nh9DUmQcoKIE+JM92H9eyvQ5wUL/syegXgjC6s1N0nCW7+ow1BqWRNNqaBC2OasFKzKzsd
bSKT0IGn6n5q3afUKa6g7770Xf7SLN4Rsa1ezNxh63JCk5t9aYS6dWHi7JQjdrhVQ2d1i6vFpZ2Z
4eGuSBtgKNBwoeyUTCcUteS24TdB1RqJNXJiVqUWuCkx9LVMq5fRQiBrqqVYCQAfrBJoI1y+gTCo
22kwb4U9XYzpcrDChCmoNA9twOwN2vgXp+TbPCu7KYr5ACju7cMGnl2ecYbU1I9LLLCqEn6J251j
bIqBA0mKJ7Bwd7nuSZBr1PLYu10MKDWfKtPbzKqe1nXa4+zVZC+1RLxa2vNr2CwHSeYv+FSf4csa
PGWz+XvYOR8iXODWPmWissV+8cZ+383ytBABx8BO8KA6+6TiHhlmWK4LgYEWgo2D36h0O03cT5Q/
Dv4LPAnzIgQ0w4ogwcF8rBPrNXJoF2mhSIWiGrUCeer68eTO5ZcKWhphRA1RD9V8cmKykoqMYDio
W8ytfQNWL84YzFa47lbtH2GDPjVdne/I/Di2nhvshP4c57lK54BH0fGfsqBXex//mBUI2LG1jfZz
HkMfwDJQbXojlneOz2NXzkm8Vp1LEFEk5B7ymSTozZOXQ+WHl4zXsdZKVbntlrb6AIdOEVqGqyxE
zGFtG6XzKqzhs5K9f22FRastAxsNEgANtPmGiaKzIb91eomDBssxWmHUILnb1Y+Us4/VjMpys7hD
pFWTcDjT+OjWxefeUXKNJn87w9peL062aYWiGnPnFJkpUr58lc19chU2IBd+0B1LI72tGzzEIWw9
NgYDn4Gh11aO3gsuIv1rXWPiUsM63BJnugoDla/aJfJ3VVaNG1s18a0liNZIah7/JbdfG5w+Sauq
4BBK+Kqzbe0YX3LfFK8ApM4YI2VoFjPCKzSmwXgxM8dbMaJ/Cgz/OBKKdhnL/gtjuoPrF19jdV7n
/0n+IEOuJHeo/q96rG6brBbD//73+0pcSwahuMBIgZyCbOSdVJIsIxfziaLZu7BpV87YCV15HjOv
g4Vm+b8oT96X4fpoERuaQwXoWuF7AWjkMl3zVVDvE171DQ515B46KeEKLOj/rArjSFqYFXAwE2b0
eff6RhQ2BcHs5HHLYEQUL+gcipVejnNrUmsHBUFzyVfm7ufHBDj8rvY6HzNk50clF+k/v98RE6dm
VDAQLqiEl269QZ5wHijXhuPuJ4N4Mn2+ZUn6xMDq9vNDO3+DGvX5Rtr8CZ4Rtj+6Jv7mfJF2TnR7
Yb0fqt7Z5E0V3irEVnq5OEBGK/ZmNL9Ow4yIaCLRJieNDqpPrbMIicWERprUy2Gk/aHR9vZRVGEw
MBJbE06HyWf5Jvy9XaNgWHVNfsPUaFd58p5G+NH00oopE3hfWBoEJjbRhcdY7DnBtWmNxFRtfn6m
P3iESKAybfStFunT9js+uV1mEXYabr1P7WHnNgipo+W2WvruF1dUqyf/djddC0NbQFU47O99w6LJ
gsEd6mc1Kt1LAMFbZWXu1oR7xdgsyjdDyCwksao7Ziq3gTCru1T3Ne6SfOkk67IuVfKCAsKy50Ni
oCKj7T0ZkX90enmRhiz3HkYPEKRJHehmG3qhZ6uLitZbW7UQiWD25MYX8+OMGn5HiJ57JbKw2k7I
lw4Y6XyJM6Iy66LkLs5hczEb+Ze4Oc/t6SghUsyts0+Vt0/TOlsnDNeBDudDQdzk2h6XWwKfHaZ+
/GyMcj73XoETIXjrLy7kD1YYB6NeDIixYLORAHz/ZC6B0XSu4dR75iXncmJmZcOrHbRocn4xV3jf
Yuo30DPZp9BhByhC9f//zVvQ24rBOjGOe6+Q99ilXlXNrxbM85v0fd0bBYhMXYJ+LShY70F9DGgI
XzXNet9Est0N2WyvMZYnc85+zRZHXQh0W4Xt7iPDPk5xlG6Durwy5vgTebO/hz7zTbuSPY4RubOX
OZt4GrE6taq6gc/2BZiLxIoYIjuJkPCgEfij21qG6zLztzJsP4bwx1b+EIJhqwyzS4+6BS08brxR
1+7s3k5XTtTZFzjjC9Dy7ItX8wh2WXEj5wKLZFjT6JYoUC0YOh7WyTVUozUs1vumtgmedJbDz19Y
9wdvLPciAtZgHcY53P7+ptR2i5+pquq9VdIoSKLz1pnA7942Cs4ZgRrOvDj1lyo8Vh6MpXjoiQqy
qg8gsI8h/PgtLDQ4/fEyQb21GhiA5hPjP2cDkYO5iPSP8Rj46zH2jinERwgArERtMzUb5JaPpj29
LoO5Irn+YXaoDqOOE+6N+aJIzUdFIbZq47S9IB8SnfB0n3i+VnDyfLotC9/gSwyUDSIMqriMLmxv
eYzaXt78/CL94CVhz9D/QA+le3t3jaakw1plkvV+CusNJc68CiZ+HRcCY9wmv7gjOH//fW0L2YVZ
1iyLzIr372TnOgqW21jvexuahAWYuwnj/Cpmp4os7s+Cymy1kFkOX4RlKs+pAJPyBuxlQSTGFL2p
8bxGw9Yh/VgqXM0HwbA2/H0orGtDhh/KCHYIU3CsvurG2Tjt8Frly/1cwikN9GbMY5Y4xQuJzlSp
k73OF8JoRzx/58ZeU65uGR+HO8EtPbeXCDicTebxjZG2ODIEn2gnuWvjUazKRaSXM9DwuQmK65kk
elGQ+TJOp0zQSIYQW9dLR6vnLdOpFwkxRC6hRY5EZGfddkaG3QbVmoWwINN8Wv2FUfE3WAnyQLaj
3FkueLt+jYbZIx5hOvkwyrFzKQzeJ9zMyo5qyYzzG/wBw03Q8t09tLgu93jFRNxdR9782pPIPY1c
YCgNN4z1cJCbKcXd0n3KU3kPfQadeOPtcU+8wm/5aiHtA60UL7AQ5RVN8UUVs7OAHvNg8nb4k7hB
Bvg5Hab6qrC8I2SGjWP3aq0bIzTacDLwCT6EVPalcJ9sXHN+sR/7P3i9qXUAWPG94Iky31UepSIM
i+FytR8C9VoP8h4V7ZH6govn8Vrr+uvcajcisnYiotI7v/N1KnZqGqZVl/Mx+HqbQtT5NiqiTSh7
J8BUKOnWRBXU22ge1b60BkCUrACoS9DuYtCbvHZGGd20PYbRC35cW7FgslSzlq+XACK0wRqTC/Uo
Hcots3fatW9m43pOBHSHkMo6oTFkP0ydhhuSUGYH+XgSkhW0t8V9H9KSRmN5I8fx3vU0X6hkRIo2
lGzaaTngZnUCRAo3lWUsCHLUqz8QFN234j6gO9gXmX+UbCI0mePJgYClq3kR/LW//mfC9osJGyWZ
y7r2/xMIP70QglEn4nv55J8f+0Y+yZLr+b6nSwea239RCNnif9PUPc0r5Jn/a7gWEffD5q8RDIbZ
Z6uOv4Zr3m8e6UAOXTkqeHCNfxSL+f1rhWstQz0r0olE6JRspnnf75roDDuIzqN/V8myWtYgWONd
zzLrr+apGz5/c2F+0AXqH/bvmuZ8MHYe3SZFLlXN+y068WZNyRfuXWpArqld4ruVkNEjC7Ge8GhQ
IcHu9iWSef+Lku2Hh2a6aGrHWp+L+v15ZkZhzaKx3LuFzKDnOuoh10k14cEHwGqdnHAGV0HoB6mN
aRgspJ+f+fcbrz7zwHYhgYYYO3Dj3h/edrKkjiA735WVdiIODVDAtSlGwJ2s0YebNaHq58e0v99+
/zwoj4qLNQv2LM673b5u8SJI2si+w7yNwTyWg5d25cMbROQbPbbaqI6Mag4+WiNgDW5G4s2HfXhR
Gshf1h0y+IsWXty8H4w+ibfLgskbyRyACrEnTesgSQzGn2whiXyFYyAQ11zWMMV+fh7f2yx9PY0z
tRUCrkU18a6yD6fQgSCU2ndwAnlWRtqkudSst3AAR2D+1hxm7a7486N+32X/eVTqSSi6vBj8+f0D
A1UvyGevt+5yzE5ONV4NF3hKpF/MfO7uzjbH+NlbRy+IIF6eza9+fvy/v5gBUKITYqId8dy8f1fQ
9deIkWeLFHTtQKpfGLI/cDqVv0TM3tVp53NFScSbpSEl+tB3i0CsAlGb5mjduVk03xs4pxRkUliQ
R2PHGd5QErsv0vT122lW1RpPOF4WIyeuPi/IavznJ87An9UScwrnb0+tTaph1JmxeTeKjpfEDeKy
ubZFZUqsQQij/vnRfvSSBCx7vJf8DwH5u17OanMzMxxp3/WDCDe1SuEon7mRozYQrnpNjZOwELsu
4ymPMOQ7VjKaE/J1LYOeKF+ag+Fj0JnAoEy2hWlDbC0khoOCzThNJUaitcp5yzxm49MVUdpjufv5
SZzHZ98vrDAkuH8IUT1U3u8L7bxM4jFUkXUXxzlM4QW8G1dRnptZVO1z3zNmQaDKukfU4nWl7RCT
bGGIMKio29MTQiLLkKGXF8u0lP3Gis3h7Wwy/PPf8werYIBjGYglA0YAondvsoGrnfRj17rzaNfR
Z2kKqtVCQbXI9Tnh2vgrLFjvoN/tOAhNeKrZc03LM0PI+N+/xZVI7Jzwi+Fugjt3gIDsvSBL1/9y
II+OJmlxxJ1BKY2zGOwcpUhar6ZJRQ8ZrjItXAol3pxG8qSbrACmwUuQORCsXf1MnC8RSlo2LyvT
zpsygK6Ku9W1gVXgpR1wQosam180Vl/HbN/ebzZrYH1I/5aLMu9vuryFvPkAsDe5Q4isSGNRS7/J
AyP/0AHLiH0tUzmhV5aE7Nkemup1Jqs43UVI1/MVUwXHXCs4foT/2uT6VSLYybPAOvWH0WKAmCiH
/BQP+pbpLJCMzHQyPrZGlYiNGTQNJkNnzTa6BIhSSOZ5M3It6GYL0NruHK6tG7b13ahV3+FQ5dd2
FTZHmcO23IRNT7/JVN14slRQYPujylezGKxNSR0AZqOWBUERySFvinrXvxIqrTeZYP++QtXAXKxz
cnJJz4L0+SxOd7VO3QswPYHEFhjt41iXeB07cRA8RDTiJuU/VhAU3NCNVpWXoP2OfPyiseixw98p
8LHirqtBFKTRodhddePo9pc2rpYwYsD/r+1kBNBuZXyFR1j0oCaJViCAFNvfMV9Cc597ovbQOdoF
rlN497S3xIWX/XqO3DTehDku1kk6su0WPCMBPCTUyY3CQpsCP9lSGkTbwBIQsVEOeC9D5FIm1CGr
DSWgFlRoH+ohU3wM8grOpLEDcsMYGNnADAMu0KnBxcjObKUWDgHLV78ALCAxD/CdprtG1o+lQPLV
X6DN5vDSTbL0iNu5eA3rwodRjLQQqh9OLICdyZHMEPyhgDmajkHrZJrLkzWEAHYyREVOHfA7JgcN
BAvI9wFmujt7cZrPVTR4T41jeJjTtukbD8r8RzLGuRZmJPXGHLk96zQWKLaS1qOrCeSaB6syHSi3
9TyHK4U3zQqY5M3tCDchVChpT5g5EGgm6xC+8lVd0/efAvIGzQj8BSAy2FRBRcYDYAczQp/GH+dH
mz8tDF/pjLHCMMCnMmUoH0OdworaJyOFWsqvW+R1v4HLW4U7Yg0ofhY0cA0MLKwcNFJoJiHFECu4
+0IYNfzpAZWFghQWlx+xjeaOqRjlRKUUPHMZaNdd+M7ZRaZ4KvFgsNhM3brjZwCx41bXD9xZ31q4
qRAYjbVp9uFmIvQYJ+4EbcxQSJbszE3uxgB5wHpROJ3HcJJXSWZSr2IFzmpU4dJ+zlmAqDe8DXCq
LiEPsvC4rEOBWxFS0AN3QQ9MIfsTRcmPV52WUNBxYIwfoA8YtfVmoarmQOyjfeqYsfNNTQlzSUjW
Z5Yz6IKlG+FHZVmCv0mWmXOSGYUPgAh/sQSavR96XJzeZqfGqNzhO6D55Mex7lhiYK6E18nZnj1o
5vs/nQsMVtTzGkkNF17HHpvomb4fN+HwRvQ7lzLSqo9hGPny/NtCHmbO4wCo3TaUncQ8eZm6xSuJ
L4vSh2IEDR4JQ0JIAHCXRVdMZai02EWixtueZTljRrvhlDmBwrHN9izIntqcvbmVzbUnY4aT4pXk
SEUqh7es4WFgZjK8yV5Bf0IkgoCnkHjwkw2/BSwZ3lrtNtxFSfecFxXV75wN6v5cKCwE/BAdpV06
7Zn6XocYP5OiDtBqh/kbRFvI55n25m6I1DjiaIago4nN40D4e3PNY8S9g9RK8d50bDwDBvRnA38z
NynCG2y8wJ6L9jkeNayuClRX29iOqNLRbWOO24CWXnZDz28u+YzEZ2ZSkJWNHtLXucAZdamik8Hf
vjY/Z89OleMGsWHmS7aaaxQdfinIQ92bCRUqqmfPxfoNf4YLth1+wdae4Y3pxNZ8izVB/DvIJgev
z6+QRRgR+pS512UQOw/mHNNd6E6kAUQD96iNQ4o7/jNKLDbg2vVY2xrdquDJll1YCskOywDJCNzp
Yz04wSWn0xwcJC/3mRqVWhlpyW8LT77fQ9wn/0Q/nl5dWkeTuC/s0+AF9NtcUq66aEvGm3ZKjHRf
pSDLDCVxdliB7SOJ0FSUaxtrM2hubsE1E1YYPZKnGJzyggimrehMrK7PzttnzldaYVu3mltmjl8X
ATAS9LMZ5izkjWWYoyh4deTw8cL5+vDVhCDnrNsphdU+5xYJTHDSMatml9rj6shdzWxy2Us2cq7D
RAl6zmZAyzvfzirxX/oQVKYAHqq2drYQ45DgZH7d9wO/yflJdOG8D4cpYwnwLGr07VepFjGFyXAb
4aNG9Hejb1DegVvv7Cbu9lUPwTATy4zrBO3oAH5P+hoE+JEayJ6S6oE0A2R7eW6dbDQ0DBRz2hD3
HC/jaMdbx1aWXLHOE5SgskhLllqq986aSLrQZ8hORI08+KxAfcPA8NzwLjjGPy/wN08yoUXNWLrN
1URLexo7/rIBUna2QldpC2J5fHXPoiW9barF5IlqS6g7TnjWSRFGdl3boQELyK7wzxvpZPRV61s5
R6iVLezjev3rpD5nUWSx+9KOgve11gpFJADzvbkoJ94EzuLsxqFE8+ORt/3GNJaXC9ic1TEdegwI
Ux55sPkinu//j70zWa5a2db1E2lFSqmyeWbt2gbbC+goDAbVUkpKlU9/v7TZccGcMLH7p7HXDrCZ
0kylRo7iL9LM+OxMiOWgf+jBl/Po5Xkf5m5CrA9UMuQzqxPe009OWAa1rZ4FZWs5uLhdNFazxyB0
Ks+r0edfl0PqtB+ZS+IYX8YFCw2AxL7O8pfYNzt44zUJcv1MXMfElOSupl5BRaa5WM0CvMYiU7iP
xlPkJbB2ScCJ87J342TmWJu16k5zkC1fO46hu5f96TpDfMxpBBzHunWLq2AI2SKhAEyCIcN4niZL
F/7cENVUhT9UMBagszuE460cbZfyxcMF3VTAIaF972O5zNAESzYYBDUvcltjiOSZbkPRG10/YNo2
4ATvhS+40t4OWocmBCMaGHSZ+UKvwEWGNoCW3ImfLSRC3Y54b1/DKsdBxgQHL/WbaWeXCW9WELec
MHA95aFRbBrUmYn2MrNv0DxAiidd2dQC1YjB0KS600sEdAssqndNHLDYOn7hlOmcVZLBZJpBHED1
BuGXBUGhURMU8EAe40NrwV7Y1y/y+vlAv3Uv24XrJmqZP7xalChKtcfIaPwnXsL3HpYRgbDJcbW1
y90OsQuMahQKPcj0zSeNBWd6Y8PpaM5qwuh19+Ib4YXaMAyzht0u7Hjt7rU3kIQkVhE9ikkZw4rZ
fN8gmlBLcIKPQzhXN4ikfcO0CBMCfBZOaBaKTWA0mqciyX8kmG1vAoP+kD4lNZ6kkhd4zpcPOJ5w
Ii3ZtG41Lc+IDGXxH4t8YZ0zxQNtvGmdj1gGyoOo0T/cJG3DaHGcq7NMqfxKYjJtbzk1qzMq+/lk
+GBMD5Wqr+IGl7doLskXfIcxt0uSafQnHeTG5rnX4hxAD6TMPGaEjNVDSk41uMCLnLIuz6zGoQtD
lw1R6xLq2sckd3g8XaX4bxvZLJL01vmWDiDoPTkRcMDDldAhyXEqk9K1aTh/KBLMCsq5tbZDCwnw
pVAuwPBeTDLiVY3SFrCwQBD+Ft4XzSanIT+AKsedzi+HSZwSt1cva4rvzYu6eAHBZw+tDu1NK48f
YwZcyealMEwE2ByQGDnemJ0mpjX+DC+QfhqAdPi4l1mUgEpXkX39wn61Ld0/O+uCL4w0rDy2E+II
vsP52YGmPg1VQrRajZuX8fnbvsTNKC8IjhDT5X5pa96J0uSbKo7Cy6pD/nGHCJZ9P82u+lyUDAUa
TdzroHxea+wfjllsFec4Fhz8xETmdW04gajt0pPjpdl3d/RFf+GpgTdOW3CHvaKNLlEONRlGi9S7
4Z1WOI3jRxVAcD6jYJu1GdFAQRiG7tjofjiULvMVahWouqJY7XtU1WnZeRFRiT4PSxIgC0WvKXao
JF4Q4T44+vuUjvXuhQ6rjK1TtyYcRq8psyeqH5g3IJECLVkcMOcNwr2/aOfAldP7tBvmB3BY62XK
9PoBElGx63lDiM5UO+sB7vIQbAK/EqhAuMq6RRQfaS5sy5Dpkh0eqA4o0m+Dkt5zHg3r95Ks8kdT
zv3j5EywLcirHDoXvbi0jeZXadS/QJMgBDa8iIK14NzaPXqp7bkHRfIaECceHrmf/VspnXzEuXWc
t0OFqWphpMaW0FuuUbyIH1I0Xr417cIneS+qZNmLQtn6olYGhB1sAxCQLt900X/cx/5vwvO3CY8E
5vNLI+sPH8R7xJy+9/33778CqOXrv/o54Antf3zs0WgkQv3gw36CpyPxD81+iW56SP/9VeDp54RH
+v8wecF3HBg9W+NlJPAfFSf3H/Ia2gikN4a/Avbjv1BxcoM/IEa0832bKT4wI0E28aa9G0Bht9LJ
q8+skS6LOlLWoTkEOXCanA2N1dDe2HgpTJfawde06lsm0/0sj9SIwamt3IwRa9yTb3oBCgGt69/P
hSj2fibqXZL4+CtPHapsiT9/qlC6aZH78eRTlNT2maME9syRN+EDlbggToLnoVb6bJR9ckTYOdnh
89NCVqRrsqLgfVxGwVEVSRc7pmjuD16K3G5Zhygf5cjkuaoNn+qur86GOVkPIvPJ1FAgFxrM45hn
yY3dYWBRL1l576B0m2EQ4iIkAH2j+ZTaQ3t0kF0+x8uWaS5MWP8rsoEqZfwCHhxKc5LAO1z0Q5Hr
8JKyRnwYps6hcgnuxsGOrkQuaWBVmKTiYIGZkiywmg4GKGwZxynN1+7YBUDzpgwPISChd41qgrMO
oe+Db2HCuw6jfVMH0XlSFztiZXGLrzCuHrFDr2KZwj3y7M1mKFrvY4eQ/X5qXbFF38a9jPK5Pxv6
1TrF1mqfuzTezwG6qH3htGSACOMZPmhz1fopqldtaMGLngCCoQng7hFPCC6TuPKOzCyqg9NKj0/t
1zs1Ov1VkFnxBnQ2SVs1f1uKAXbrhGx7HBT93VqgcTUtfnnwMSXcWWpePrhZHnwd4nnL4f5FVFl/
tJXMTwMUcVMexY9jmDWHPI/9Z4iwxQIMyMmvEkSamIirOd3O9KX3IazKXZaG4an3u+6AlxFCUQJt
rxAF/k0SaihjSxd9Dbt6+pHQkz2sokZ7pI0rNDewibxzmeyXl0uuHlKkhB4Qm1yeLJ8Z0qZePXFl
NRhzh+bYalBqpf0TwU1WSdgzaowx+l6L8DwWfn0j7REm6GQ/pLMFTgckZQtPtinuZuryc7h0440D
oevCbTPE7VXporqX2VYVnAZryJYDLR3aQNHgFsV2HWjyo9x3yGsHEb/VsE9TV1HH26h2g2t0oEAP
Idpaa+QlG+Axot5yHlU7OeFcgg8Mag096JjN7KwVTRJgkigpbVLaKVed7zw1L2w86kOYeQqOnp91
wQeahkfU1W3rrH8l85Va5lD7xmiqo28YnbUQJmIogKshA/aDE1bfgGXCEXRhC9ahHh488sjbDhH/
btiXaO+7cQ9OohvsfVLW0fnUoAWwieKeQ0vR5f2gZqvKcb5ZxuSk3KDoHhxo6cW88xAZ01gn+UGD
31rvhb2FQG3uiBsCJetejWo9xH4OvHOPX7v4vKbtpLdCWcl1C6E6+Ffg4t12+95b7Lt6job4OY/b
nk7jGm2IcJsUPU4gkkPzkZ3rwWqNqgH0FA2jYjuPxnJG6Cj/Csl6sU5hPZJSew0s/Q3m9kNBq8CY
/MVzaloaSWXM1vCfLJiislMEMuJndgoPeFO3VIu1DtxnuLG6OALvR0oTOGNQ7+iPRbQbbaSE97Vn
RgUr5l6wdk1xJ9HvrfAQK2kjveToxD6uqAuSgw2i6QxKMVjOJZ20qG5usOdyGt9o6qRSXxTl5Ild
04xAz4M5SPa0hfyb2cgHeC6tYgF7nfPfY41pI8bLPV62Dko9Vt9tiqZrxXatognAuvSv6shtz2hE
8N7PXrzzitLVYDJlcBxsJz3i2h0em7QrbmunvFwTGpSbzvaayzk17vVQYw/NpCk2SzcMjERmptrd
UA+odWLwcB4GyAdYNUI8sJ+JX4mf7buE3u9BBJn4iPYAIm8OumcoMHjWxrfqGjLH0HwI4dJfa78d
P6NK7iwbR0YXCynspmw7e1fMbgK8Ua89+ehQik3Vr8u3dmm/ckZ116CDfJxuqG0y9N+pSUUrPiIh
Ex8wyAwfPHwI71x0LzkcqBtKHFFvGh3iCmUt4nzEEerb6vgesGV71wfwVAid8anioz4VASRyLOrC
zyOSMA0ug4465V47XwRrsF4BOQypd2b4RNOSf0lRNTn3EMm4pitx0FZNI14LRPO0pEbAOkq6+3yJ
11tAvAgQQoTpy1o9QAXUZ4s/Dke7q9ejN1YQ1XMbYbm1R2R2Kpv0Br0pIE0dTcKLTBLiI8q5neoo
REHwzR8ZKXgbh4kTHfs4vUXodEJrLy32bh4h2cYXOCgyzHJjT25KaFzdT1K2EKJHL1JPY+joKztY
7e8jhJyDp1FULezYPpHRy3+tmes5UZPslN0nBwpChb+fLq8LMbWPA+/h1dDp7tbDYOYSXHy9RW8p
vyzSmfk4fO1rhAxgZkOZOJXr+AVtouxycdP037gZxHWMcAgf0vtkAtVq1KgasW0qScdzpomxzXjz
bz2aVkc4h90TsGgmKn6xkwxlGNB6c7Vxq9A/Y8gQIa9sGDl50XydMLjYIDQh9sXSiLNUJP+CX/O3
NsUByUOAE6C1SMhiBT0MYeMfVsdi7zKAuPKyTKBe38NP5vTHcsySCvZiipPAbOsHyxmYCg+0gfqN
S5EfWUj79yPyBtsWkPx2Rawuo2/vAIytDFZ/I2CdJ3waIjK4u/FSd6Omu4Aj60sLeHZTyuhA5ESC
Dv1/yEqjv6TBR8rVEPsxHDuzJL3v/UVldy9J6//l93/J722mze+l9/9TMlN5+jW3f/0X/8FuOREG
SE7oAw8Al+Cb9Pk1vUcM/x+YkUi7AWWCcfKL8j2sSabA/DqzWw8kgwH8/MzuPX7kAYAKKd+Z2Dvy
v8rujWfTrxNubod+Fzpzvg0jV1A2/D7hRvB8qXBmc7+nYlX5D0BcMd6UZPZWC/VL48PyCDwg04d+
kWVFP2vxvG9zXKr60m68pnUOynJpbxSkjE2xwRjVyFCGJW/0QydQPV/ovil/9fG/mBMcX5GwaY0d
Uwn5ELBsPmBRjUaoCjpsZZQ1PYAjot9e0rLk1XGXKHMgKA282UeSfjwSNzMqU1G3LdG7CuNDPea9
YnjRpzHjj18e5O3rRPxX2pFt5vu/DMqx7Y4ktNaQ/+EQgG/T76vT9AC5db9631U/jfQYKriKJVxL
V8riKkqQSYJMYmd19aP1Aa3euwYa1SGCMnR8n9qekvnh/Vty/rglKAOk264XvjrGv7klo/pUNX2X
PENJ94oreIbJC3cRj9pjavkZsOUqyBigMYFS4cA0fWZmvMkFvlJQRvsFrG4wIPh/jmpbD7lujZMV
Rlo58yj2GnTq+ph2fmzNe0xEW/96XQubX6sit+eoEUk/BNFf4G0GJPPLMuPtYPYgpaUg7Pu8C78v
c5wWMwi7sv4uJiasHz2kjJoPqOM26+37q/cGlcWFoFsBi/RRTIH9/hbospRVG60QBJ+BCDu23Cua
5C6uC4I3fJZB7t7gjuLB9UKHobT0VtlJMH4oMq/Of7x/JxT1b76yJAs1uJKQtPUPEz4bki5cp9x/
Hvuw8689teRwJ0HaAGk6Z86xwpl5/4p/LLIHS4hQAupD4G74FgcHQ9AKmjKQ38oBsPWyaxdFQb8Z
UfKFnPH+tcwm/P2BErhc1KXZ8HQg3rKuHVKnApkQ53m2E6wOvjsLwM30DIg6+w4RJbPEJUK6CMW9
f+E/vyR7CNQOvo1g3kAR/L6TmCr2HT3N/tsscFyDmRKUIaRnx8pY3fcvZf/5CMHkImLgg/oieL8F
B+VNYxfT6FTPPT7BFHNYxNcPJdzy1lhYJHGibuZojUV12WSkE2LvjWmxPuZ9oJTc4A4czzSLAWdH
d1AXQD5t09Ek0gWokHA5DZPrYs34/k3/8WBwgYPkEoQ8HWH4+r+vjx0VISZAov4GMKnjLsCxFvmP
0V4gATRN5cOCiKuRLu/fFuvPB2OQ9yg9UIGDZH3L4IwtW8wYj1hfV48BCq3ywMuGfhuEKu3E1kbD
vy9PvCZF8ASGjjndru26DvpGBexrvM+qdYJSQA9+1V/pDOXRQdLbXi5wRnUZeP5llcK3z5YbDEjA
eE2gSP4J/PKSSXXV0DVfMcEAc7DJQ9T3bnt/7thU6yKSZTxGver9a0vGGW9TX7suhwG80YVgGeFG
sHxjA1b5D8REWBmOP4Z5kLdtt8l/vAZgPBqILt48JP6nHheqGLOzCjFBjWq37nk6NUphHMM1DQae
CENXE6ItVKm4oLPMZXgHJUjPn9fFpBCbdl5j1sLJ6TK1GwBnPhoFjoutMPwFnL7mW+W7efXdn5B/
tjdSx/16y+sfeZ9qBjnwyNcm5x4BNUaU9TaV2qeib9DB3g8odK2Pq5YwuMeu9eFP5PzNhCVITgTZ
pIzReGZOCuybRphMM2h6uVQWL3oc8hmS0jjP0+QAGAvZ6g0dIoff9PEn4FcyP4B7TTUzp/pOT0HF
Yba0c04I7hGFQtAgTyIubWVTxK+v6CpzNStBg/mayUvWfm7DzBtPsTu22VWJx/ZynGhC1hdpay3D
+TAPuJJs5xDNkQVb8MxeLsKxTzksRazNmdmGMT2akwpbQ0ls3FoVxennF/BynfJV8WOIjHGciC0W
1BM126+fExPEyioQVrVv+xiZxT3t+qXKcXIswKH//IxWgZrYyyxGQQiBgxDThY1MV481GLBb4dKz
opQ8x9CN75S8rioNIYCHID/VwC9Mk06Lc/RZBpiRdhqZK0orIGtbFFNkZrpL0PL1CPRmuzQRTJUf
smhqNg29tLz6UGuvCZCokAZivlE0VXinxjqK2DWJA2gE2vGM3v0PYL52DMMeEkoozy0Xoue3tsJV
QmFDMTIYo0Sj7xt/DEsBNX1HDxNAyxmiYCNTGSyOTO6W27PkZwtaveZL5BEYtKtWxmOdIHJvVLmZ
Io5EgX23gseo9o0Tm/3bAdLhT0koWzmeRz1qdvmuWRqXV4HJIbxAnrxmfgweD7oOWD++PX85Dbm5
F5TQDEEJ4WVewSUEBI3QxOojdj/6oeT28ioLTd4WI2efXfeAe71PdL34A1IGS8Bt5S62K+W2RfIj
/0FDDpntzYp8K59UkgK6p1zPLuuTCN9sUZNaj/cqrPlva2MqqjEwBABxTerIlG3vosIxfli6ZTXB
IwXy9JS3sjOvtBuZD8UAiWoeuAB5I0NtZUP5CjLgOBXOA4Hql9M4iz6vrsbStfnAtjM2wduVXMzs
apllqD2oIlpt7zSHJVKsqLLfR6mXReMOWwOYPsAUSkrHgy+sA1OsRMmDLpbEFTv2NliRZBRqvfWW
ZWb7hz08fHcfVWg41SQKU+Nf+0jvF7jLCWNdtfXjXGY3jQ1+AbuBfDBPuM5G+q8HGPz9aJ1lvQBb
vwG5o5t+O5d9b00XRdxDDKcF3fNsWpc2L7rOvV3zZeo4RyXgI/IJsVtfN30T0auFCuVO5Z5ATLjZ
axSmFuaLamiiCNaBH2K7CU5Pp6dY5pgnMDktCLP+t5WGEX0ngu1iXALzGWFd+FLpnKbJZdHQ7g2u
9UwXgM2T5SakBHpaYKYWS2z2pRjmnj0Uywzr0IvG0FzUoXXo/IHI9SShsm8BE9KMLHge9WYGFTC0
1/3kO4TcvG4HnlIN+pazAFIp3gHwOYWJggOLz84VmYr1eBBaTfwmJUzLz+DkmrhUiLGa7yKE6dhI
KfKGhCflzj7rp1OL6DCyirwLtqN7NtSI6QwwLZ5+u3gXISAf9xSW/cqN048euLRrM7JWB8Ilx9G4
ID4ioYkylu33oVuaQ1broWU7znjQNEApwm4hPixhark3s1g6JtCEKM89qRakf7oHgguId8WGhusL
ayqWbxgPUI2s7mDqEKK+WZypaSVE+6IjqgIZT/MJgbghX9cOGfxQJrs2nup4D300bj+CveDL43ZR
Eu0NtYY7DvIJP8cDllYBL3Y+rKTTpxDxQlbw57aussn8DLCkZOOu2WwSZzTBTbjvrZBDCy96Jlt7
GXSI5oAOLhPB+2klGW+uG8YMpTZTCrTy2oFkA18+KjrNSGW1F/8LoDTkUkU1l/e4E0YMNbquzdpz
v1YjOIRmHNQ33Iha66JLKsu9irlTjKJqlbVfMmLueigwEi2f3bxcO7rsOHo9TatdTjdrZNGanPA9
BNwlvQm9nxAcDGDT1gUFAZF48vB+7No0ppXIqLmyL8F0ZQWy4nq0ty3PCGEOpBvaNecUHjt33gLP
GU1Kv3bTAtopwJg12qjOWvRnlLgG96NfgnDF0RSIDmKPUeksGE0owKPItuOglugznXKSlciEl9O6
7qKsXAWGdw6WlLBklnjY+Lq4Asxrq8MYBQlSwSRo6z1wirTh4EMz7LxfGFBspKsde7tgKN0sG1io
fbQDhBHkW7QhHPzWvDI5AbXRu7YR8BRjjJDE0Z7s1Dkg+mrXeoOd3ZqB9ZWedauKpnIf8CHGm+so
VLAoOL2NmOf7Wc9SX1m9rq0PtPX79VGDJ0AFsfP9jnYpyDC0frUf4NEZzh4Q1I0YwSPuonkti2Oc
aQASa+OGFdZ66CA76TbA6xOPPbvKw/o5xXd0nFF01Uv7PQKCNCDyHjCWo+3ce1ocdVy3Hk2+QngI
vcQQtBCrsQOrKI7Qcklr0+8pMyB4pdsmZEzW7NB4XFZ/70stmVkgB6Da/PZn9i0W5D/tD8wVGnCE
U5OZA1VVslLew7R4Srk7FU9dDBZTiIQcZRkDNC76mP4qtM55Mbkm434kO48gEYzCgxcRSHi529Ck
jx0HOK9D6vomwlXoFBBK4Aeh3I92VTkljBhkr6bwAptYi5SUEerI0YOARs4pA0o9cdbjgquLjg+D
15jsD0CCqRyC3F6528UdKzjoQ1tl/ic0pWtuxVYgE6IjLmz0GtTQeoRJr+/J7MMCUoRzdB2PLHgS
5G5w35dJEcvyMDOHBoPmGJa8rMA67Ee0gFZ5ilynJCWqHSp+6wzrNcEXJS8BoIlcatWZgFiVDmc0
9C+X1IT5n2aBVB2YkzNkNMOddkkacG08SYMGIJXrgeTfNjA8+DCBPx3vUo/IMfffR7mJk4UblPwK
tkURd1THqreR9uqgkWfHCGX39dHBrtf/Ok1t3YBTyoP6Enn3kWNRK2VyqVoFJmVB+dSsEaxQX9s/
BquHWbNDgX0coMLZNX0DMLPxzNpGAkxbdUUMX0yK9NLu8fvKnFI/TzCcTVhHvGlMx8KPJnP3towt
FlJhaRs1xyWrKDpK+G8kriHnCncw9FbK9vnPSqwtr9AGyMpKRgpRjU9sKu1X7q7Aczik126hZ4Ym
giAP+OBVc+x9gnBD7+n1MXJg2vYj5d+g78M2Zox1kHhW8owGcOB2d10nxTilt+uUizj6PBbYixWn
VPlJNZ25pKMoTgWOyWKxMTTNp65Dqz89U6I2SYXQ4Pom0G/482lkXlo2S0W/zp632SS6QCMvxhDs
momGyeZH/OU67yRU0o/hLcR7p8ku/TgQ3M+yorzb76XsBF91LEgy70um/LwiLUR2Gl6Ab/iFGJ92
EjUb97VPWWubDSZjLNSdY+sEJXl28nq6puOYcGgOzUSiuoWhTxboIzlGvql9sx9jRPzJrAUrgPLJ
GkDd3/L35rfJSjokwsow4Li0U+7L2aZpYFJDTNYTk8xLZe729fUotMdzKYep4aF2YCx0dSlnOSZf
xnBKwHjBiSvQmKha9kLJbJWcID+4nWv2blk7UX1VIQ3ORCEp+9BGfBYdZElSOzULzxZls4pr1WvH
VxDGm4BmBaAQRK2Ago8fkiDKuqexQ1K82vTFoDTBZZlceelOti6wAfQc9hmwKFME5gpt5Hthz+aB
9G5EeknhyXPWi7cuFxLmwXLhB9Eyj2hJybZ4GlN7ZlHi18ynT8RIrtE3Yce3zeYIdeT9z4o4XGuU
uw5zkgiqrzppJX9KqFkQw7Msa/4mxwHtNYHWmtjCXUgpR8a0S3rmub6Sw72/Yv1noSRns/5WGpmi
G6KUycJAVpoiP8BxgL9MFD7x93EfJzw1jbEf6foc4si4zbrRq8lRIg8xG1bdRNzVbql5z9pA1Qil
Uj+wnXyPy9Pai1cTKsGVjv5JBR5Kc1hwzWz9kx3ayBstRUge9frq1WNpUqvSqgCoQbxoShyZ9Dhi
G4EM+GT6R1YsF7MlAxFO9Y1AS7VuWRAcxTGVjCzNQk52YF5xqmUmVb5fuIZONuXJMU5reNrACdf+
LMQ2rTyFvUNNwcFmueQHctYjodOHRcDHRK5GjO+Yt7XJROECE8W34AJM1QgeuOAtbfMRM9ErEv7B
3/Z0rpxyHyWjqQJfC4syXs1NN+s8LcmWtwxFk40OVypedwxzNjpFkmD3T2ld80gzezC3PkB5TCo0
0YZY6z3DRQMtVjRH+MV1YUchYG8CluYxohg3F32W1UyKs35lMpDKuniSzWwq9OU1coAJMoluZRdm
V77fNfpfekYQYOFnM9AJoE2bzv0vsj7ARwCZR+X0dY61qTOx1ypTb2eBnihxqGXuySN9/5Jvu2q0
qWAnelAUXRRSSJx+vyQGqHUotK+/ev5kpjevW6MEvcPR9d9eKrBxGwIKysCI0dSbzqoDJ20d6U58
zVwMGMg8fVdCb5oJ1uyD96/1lpCKWWBEm1p6KBSAOftjKtULG5ZUWcivs6ygul0MaYXH0tYDTMBr
mHYV6BlIBg1BY4DzgYrHMJYtKmZKO9TddCHMZCOi5DWx5zUy/5x91F1iSoQ68HrOhMBvJ/70/u3/
8VRwuYFKC+8aDTCk3czPf9kIM4ayOpkC70ln+ASikoguAHHY4EHdv/Rz/9hzksYwMD8/RLDOaKn+
finSqMypSaCe0HST6I/EC1TBR3sNzCvixwlT5L98ubcjFJsHAyDRQRiNDjvI29+v2LW9DBP6909Y
BpkYpeErrbdDRmT/kDhwNZZdHJHvk0ws/Pl7iWh5d2N0Nb2z/26ZmZoCE6BJy5gUhaC3O3LCPANx
y0R+oSdB6QjqmC5VCDqOCPj+ld6usuNJwbeVuJAHTJDeNq8LEsNQ2rn9BUnWADk1VZrSPAMjwyGf
OiZrfP+CbzQLAgfBANrODHm9iFf87Q5CVGglmCzdl65mToQLJVArwhxBceG5xl1bAv9PM5DWiFsW
HuyK/fs34L7dw6RaQO2EBJUaBnx15/fHTJWYlrYK6i+wX5ek3jPLWos9XY80wtn3JW0Zu9SkxuiP
mPj9syluAQihvKh8jdPB2fS6OFXumRYPrf+Ft7gBuk+1sJZhzZHQFxOkvV0otRUicmsXmmgdTJ45
LEfIzygwprEwKCJJdCIX0cFA88ieunkCklLQotuHJPOORoF8bEO8hQvL5FY9Fo8EC6uDWEgbOWvN
ce6rjNwm6KU54hXccW4reG3Q96T2RM2icEzSlIfgpDleHdsky3EOVo2uTZ9MrH+Y5B2dSWecR9Nk
qQvasu8v/x8bLoCYLYAEo0Qp/9zaA5VFakEn+tykrSRnhQxlSqAIvTxC78+W9fuXNO/tryM7E2qj
lxlNCBYgeCsxwqBsQZw9nD5HiW96jEOGXfoV2pVOYV2LXnAHOKJGA0XUbMcmKbRKGM9/GxS9/eZS
+q4gchqHMd65l/H3L7GzRrx+4lmmn4uG9ud5VnW6enCKyekunV7/V1rvIJ1JzoxMhuvLkHnlW5EM
oJ5QmFXffxmxNlofQQ6ZbZHnymRW7y+v8+aV5tPR4kAhww+YvIH+fpMdJNMsyrIenYcarkq4i2lf
6uSQ0Eal0s3yidNhw8C74v8CGjbsy9kQgCjWPFBHirYuLRhKHjO/VxPwTfoIAHvJsDN0iD+B2uWt
SJs8NW2t2TJtAET4Gl7CMfRNm7iomI7cj5Yt+XJW4XEW4XBpJkX2CDOfqspGFaU9syziaHmoG5G4
f9GPexNUWANwVwDfIXigWfTHxNTDARbLVcgVQ5WbkzluGFUUKCw2VM7vr7exTvx1P5tnSvACd45C
EX39t/t5ahQ9VduN70O3ebnW4NE6LUZ0ETmaCPWEoNfZewlIh1Wo59p0SX/+qRsH0yGwJsHiei6W
qGagUSoinVNBm5/OrCIfrPWy51VFwTRTVTEdIR5TMO0R+qU8ziCFUpb8HPwxLTJDJAs6Lu/OGoqV
n41NZR746uVcBfsm0uHgtTUx2nRA9Q6FafMkc5usZdoEI4G/2ekuM43lnyM03kj2bs7Mg3Mvjuly
yM1iVxMtkPeXNPz98QWB8ak0Mu+oJHAW/qG/0fINoKCp+Fs5yuBT3tWec3AYj578IlQuPX7E0hJ3
ji6WMCvjnXJBsld40z3iBmvwsOFQMzTFLD2yFoOiTnX7EFO/9rdQY8Z0i9ioc8qi/K5i1PZtVG6v
Nn4HC3PLLMe/Gb24uUhF1l9xIqWr4VmPxc7COerflTnyiDEYxgLgqyPhom/gFY/WammKA6DO07aP
uluXUwk2PazPK1gN406rpd0zEy8fU2b4cK0cpgS50rTzmmJihKft8guoCQ8nqBcK3toKeydVF9w7
nM9PKm1sbxN3fkoLA4zf0clr7CUDOTxmUqbgoITl1jssPKBPDRGkZUt1H5EH70mL4uGEHXt+YEyw
GPE9hsvbeYoy3IfcajzHpmWvpwhZxzDN83+H0EcaI4zBH8M9bO7XfKAl5uL9QbfPclHSFneuXsRX
Z9H9F/CZLshND4e62a/QUu2zPYLk2V+URH4P1mwIxsoEM49UwXVIFN7EtIb2T9B6Sf3M84Kn68Q1
tI7yRaG6E/7DX7bfby/068UQ2AGQhVJyxCV/z0hiXHqpyaP6GXu8CozQLO7tmv4qTkeohrpyoP5L
muqOEWFQ/CUf+2Pnv3xNsDqMbAjib2ETg9dHTeF21XNb1xSussT371BJG+Db+1/y5ZP+/zH88i2h
swE8QOmMA/ltETk7VeGMYGWe7anhnZEOx8WmoeDBnyotgw+1U8Ufsj62AKmXXqR2clRZeRwzz0c9
SwP7Aqzn33R+F53XVhs8cN725ElDqR+riuTF0TUa34623Tvkauof1YDeTE179m50FoyTc+rUjY0B
O1ZZRXIjK6iUGyuofLo3BbM4e4porHXR8pw3iWaUMHQHO/HEk5g19EKe319yoTcgPJbEpAGkQayL
5Ix+mxLgW97Pbrisz0iBsvhpJtOjbPLyNK/zU21H5WdpRfNucBKGHi1cvJOLx1e9e//JeGYz//Zk
UMszVR1gQIBjqMD9vv/sIq4YH6TBczIwOKCdhjvsHCLgtQP9u+rd6OLFFVQaajdOfBXTnqY6NfSt
rhBfQZ60DBLrBiNo9yTXhcYZHuhfKsydvW1XWFfZUgeXC8K8tazkPT3Q8qaxeGgbn8EYUpF6ZuyS
Y7WwDVRkjJIovg/GzGDx8+xaBpAxCzrFpyxp1E3l6dKghvvh61KmwwMK1cWdVYccEP5sTwfp6GnY
yC5L7ieYTPk2bVFWGNMZX8ZRJ4wAUNPIGYRwJn50PSu8zNLF/demq40Ed1FgR/3+4v4OS+IRs7Zo
u5OD+lSzwVsVrYGWMM89iCHLu961hUDPo8rkAr+xrcW1PRnXtPevaP8OfH25JLkBJY7tQA0Arvbm
cQqn7CqOzu+5yt1z2mZWhTnqYl3QqMwPDCI0kR6ln2clRfmYJbO+zLJI3FljJA/v38uLoPzvW4tU
k/DpAPEGiWssWX5tGHS4gCCVDIswmRkwULc38ZcG695x11YLSjjCKehwVA2gb4jAiJXnqY9eNnDY
HX2SKEL1w4IU0jU+rg66HE3rlxZ6bfXpVeFn/amV+Bf7Q5qcJV6QuBvIrMjM9sigQAJQGCvC2wjx
UoTprI4Wy3LIC21dQQsc+YUpwCm0T5dbrE04znK43Idk4vTe/j/2zmPJbiPduu/yz6FIJPyN+Ccw
x5X3LE4QRVYRHkh48/R3HUrdTUrdUuiOe6ZodlUdAyQ+s/fajZ4VlxVrXipKo5oSHBhljaRkztnh
svR8tiZaU2qR/mGQS31Mq9Lo8K0jl+FKZF0U4ALsbw0vq1m5oqhb2GiyVyLwoiTQAO3D1aw8xPNN
pmx0ta5s9CPilLnbCwy8L0PXZJ9GIgS/mZnMGPWAiPqrwdcfzx/H/I0MrZOw9oe5niHZhBbLXHyA
hhQOeHS8Qag8VraGfGX0VM771o/x0a61LyusbPz+9qSq/8MFS0wUZbOBctVkNvDzRYJSqsfJ4pQf
cWWvY/j9C7G3MS0vs9IedmKbvMeWmKTdaqdxpLx4eU3dDsdRioXm8c+v2N8N6L7fPWerqkBtKdFa
/l6xu2GYmrAf5h+JI+yH1tb7e4BcWugw2L3guThej2U7nJRZV8dyMfSroXZ4kIGPXm4zQFsIkut5
usy00fiGcr61fBdOxsNfvMqfe4Dzq7TRu5IkRHiETlP5u48MaNlaea05fjD1bpMnKgurD5gkrv4I
7+Ra2lPBTqnfbODLndV8S/GgQ5TGtzPvCb/ony2vTC4FKOgn2ZkjGxKeArjpu5KPO8mdwGxZ9/76
Rf/XZ/G4qo/////e3qsM3FpPk/J1+NE1QYMieS78Z1Lu0/CW/psf+IfPQsC8BdLn8mzWLSoFDtHf
bNS6bv5C/Ss9qjie34wL/wXKlb8Ikm3PA49/OiwMB3iuAGJ3JkiSWSr/VgTV77omXhHjLOPMHcVZ
RjP6+9oR+lmGXtNdr7x607YiAKS4rrvKhuhWVSagogV1UgCORV30ltm/6+sK3gan6O13IgPkI2LI
VQO067zHqBgp36frat1WSu8FK5VyyWKXUJRZjKQ1V5UNb+Jec1b2QVinJ86SJzQkXqUgQEiyY5J5
OifUl7F241Ws6k8NF3QPzE/XG/ebgbYiGw8zGR7LdEwclKLxMXYWOlPAke30AA9CmA8ag1AZMQKW
ZpTkc4eTysFBcYP+agnYyZ0fG0rY2JEk3qrEJGf3vqtMqFFzmV3HVZXuW5gq5wh4O36sK5k+bkNj
HHhTrCOJ1Poyw296dAGdtMgf0hwvrYVkq2uP0DOSXdrE4xt3PInt7MLJxik6qGjYqwOvIQTTgVjO
Ork+5QmVsQOZopgXGc2zmNoL6WxVrQd5TYJMylZaOy4zXKuwKFBIPRCMh84oRFuRJ7vYVOwo9jJj
A7WfYtEM7YGhUazj0KrOs4Tl3i5F1l2ppW9wmcMGlLKafm28/3si/NWJQM3PbfmfT4THj+Wt/+lI
+PUnfjsSPOMXi12cwdmP2hMB/Q9HgoCfwHnPE4x4DBfB7T+PBMgKyPn5Jzo9SKM0m/88GaT1C5Mk
1m2mICWEPDn775AV6Ockz+x/FX4sLaRF/iNTFWaC34+Hn5/pYmBR1zZ4DmfoRS+TZjo+BumvLlHE
15uutVGq6T10gaa4d2b3qu/V9Mme8vZBNdpDK7r+NPK0R7x89pc2o3ZcmczG+4kx4C2Gb+1tdBxk
TXYj2gNaN0K8LEsm/S3br9XA5orGtPI1WGfOcWPrLa9JFRPNU1+2cswZEm6NsVcF0pUrV3UQjQMx
AfBZfDSMQ2UybSpyc7dtiXCgh4FEap8Y6g+0Bw5Jsvop9RYbGKaMvSFyUmH2uxSYizoNoCNLSQlQ
uOAaFrARbHyhoOknp1nls0miMJb1jUgqnBQmMpg9hfNqHUf0ooINOPkp+SPmbG2cSEPgPgxTvGhv
JHW67wkgGifcZM+mN+pSmmgC5fqzoZiggVwhdy3Nfo8oWF6wzd36YLQ9zMrUorhnB7aCO1B34C2Q
woPScZv8UNFSvS51NlQ+eOrhkGuLy07PtV7XyTKhBSXpIeuzh6Qs4Tsx0rkil7s55HJ+zhvy7fNh
zn298pJDMf86t0rSlwxZRBKtU3Z03OWqMbuLdB7Hlz6p6mAsKYlJTYYgOXnEYCb212GJycMd59ct
p4SRrUdWmHFE7wdfDhUG7N78xJL4C6QnVOZxMT5s7tjDMdCqPfSEZ5JtGp/k8HnfO6mzc2W9x6l2
P23Zs11K2DTZcLGxKEUCl1xjqHeCahxem6oHLNbUhwIoXuhkRrgg+qRvUPaFUshygBHepkjVIHUV
zwqiYzh2IMmKavoADWVfgQuPb2evsf3+HKvtjeeoEhhpBQDTvTmZur9swBFyww6nCaYNED+QgfOU
XoIk7K7cYZYRzxVxdJos29WIO9EhJbA+zvq8bJTTvpqs7Iubtstp6dY1Uq2l3SdqNf06Tz5iI25u
LG14sIZseairtUQ7CBqBMUJ2gFlq+2PGQ8poVvzltTXuBkJhj5wL6a7rpLdL0Lyif9M8lHwzwKai
Qh9JOmLM2eGT1pHVQbxkXxpwIwFiEDTrSQe+U1Q9BvyzRqYekKNB2cMtMDE6wSfs47951IHz+Mjt
n7UyPm5bPeNRJ8bDGrQXa42FbxRLfkpbAiI1/H3fjNHqPo+bE+Q6KScFlAQandY22bAK2q+pGC9s
RNC3EJPclqHgpn1rBpvUrAn3p0Wz54ok7PJpW4OV/LmDLMR4D29vdh5KQIW3lE5VTbwbuYAK4feO
pAk3ioGt9IFejvljT3J4MAh9S/bwkySJJUlXBasx8Ne4sIrNj+fhKwW/AZBpmm5ZlenBNHFZJN5U
6r67LOt7qzhUo8Qx19M4ZPWBEcQ6o4Dj0loCXH9iQdOqQ2Noeto5vW3Z7iVzrHY2+o3025rDtPVB
T7ebz7hezdcYwPpXKiYsWKik023HGkOwjfMqUi9B2KLKlXshibBrC0Iz1tzeg83ilFjIZ2G5oUUW
KiHfUBtQU9UaUext5b5N4gxO3fZpYRT07GRquS5z7Y1b6kVumfAxtjVRRWszaK15ndOZh+Cg8ota
y94xL3RhJlX2DPcbhrGtrOxKdiux9tWI2XXTK/22reKntpSFC3zKgLhnls1J94Ydvr/pEgqlumcs
qD0UZu+8ycrKwqTw2jOTAWrTmKTcxlQyMoqbetmt5Squ7HhlUhwPfcgSZ7gue4S4/J5612hi3Xfn
u5ZENPuu2iZjF0MZJ5ayTPdOOd2WKRkl2dofZhye0o8xf/Is2WDo4uS4m431tSajnNC9yvvayf4O
uVLK2KAwpoPhDp/sNSdURwgtYhp1NCEehgXCd4TsuhrI+DIhGGiDdrGOVrpzAeCEtQBeSi2bgcRz
z+WVznngrtfZ7BY3myamK+CPORk9o0PEzSL9pc+5tcC2RYMpk33qmch3Z3BgQBGAQOvdftUSYqqQ
ALOaxFDP0Mhn6sOVODBvGFjd+/bcWX6iz/fIFWC9uk2BjBKWDO/NO7QLPLq19Y7w8mLmGQv4INsj
9RzVbyQ0EqtGnb4WIEIb5hURqD4Dwv7RwzUQGi4hPC1L0bAf2qOnQbruNPVtYepaZU4TbSSp7cTZ
nYz6FJCjSVojyqt0NxJ5eQKM+j4V21U5xOOFvhDcjmuhheXi1DeSyuRSLnyxtViZRmWDoO617IPG
vNFvFQnqE5NoNtGAjTSX9zxCzfYZHnPetfbnbRMr+xZHBxwxfJbgiKGwAePV1/oM5Z9XvEK5fsk1
0O/xZ6bBXBTfRrv0dovaPpO4DPZ08zjL8tWKQe/psfQRAfPpeckXavQ5YD7W3cYAGjEt6v31bLoT
D3fJwkYkr2xFvimv/TCHrNxhR1n8aTFfqo4RfVX07XPp8qs2ZIm+GpfhWzeaBCWxrQ9NDlHf6dGJ
NlaZ33nw847CldvlVJAZOzvF57GKKc4n7i5OqenFhTccmIPxkGV2TRPF8DVfXM51Oyu/yJoApoqs
yyMbFXsHwnUNak+rd4QSVZfEW80RQmwTS/r6Bfv46k94V/z5LLmbUZ9Fwmvd517I7bYAecgHCnLH
9lNnXGo+MMXLn4Yif+W2L4arYa7dx9ax+FlDrA/deSAEMS8g/AcUM2O6W2uI81cnx99s23PQlMm1
KZv+YIxuAvU3zVVk9UDsGHCn5pNnFTMbYLvzVwCH5hbbEpYFliaUTvQqG4NBXHMTovKkke9sQ2or
XPmefUkHdQOxeDiIbXEOzmK5n2fkUK+jWL7muE5uNmFoeTQBeT+w6zJurMqeIn3Ll5qTVQ2Tb7Fx
86APsU60LK4IUd23qNDuyaLsRcCpqVFiSCUD2tXyW9+xXD/fqAnfKdktDYTxzt4rpVvcMuibyRjv
vQ3VPMOtcE2MB7JzgZ8P4pJePv/Usyj+goTzVM4pxPi8SREIJsZ7CRnsoQZX+FUHnQjJ1LRB5pBw
vxzVDKiGng/BbLhY6/JVlG4ZqmbsH7aZFjHm8Lw6y+/2Xm3fbnZ9ETfO4IQTj4PlQBBSzuVsT857
nDhVkMreufEGK3uxVGde6WNmhR3Wp8jKSGNSjdrKsGsdxNeD0dx3hkmricuzv14K6dJJx42FfQhK
YLhB1wUlvPTrTc0KdJ/oXb6LnXnYMYKgXeZ17QdQO/sccE1FB1xmL5xmxQuPuPETQAPxADksPojc
yY7Cmql449Y+tfUEjSsjm7FgtDiXz4kErHkxaStEpS3tToT4cUOkYi4ilkHeCfrRBNV10dlQ4GQM
7SkR0Sb67m7YluFFuNv4bql5QvbZeBcNGoMb9D7dU2NYLDWcvgH8b7R2WFRnpDfV1fbsocNoctqH
fn5MdE5YZPbm6IWbpwwy6Eq1TlGWcz9cwKOroHPFpf00x+5mf0oKLdtCqO88Wd3R9LgRu2Xw184m
8MIsTPsaYGX6OjmzDWLJGR/KrSYXpgdnfVXWS/YaV1a9g8uGGL3alvI4jrUIczdPXN80C831e5Cy
LwI79R04nPqwVByvpH4/zBW1cY8b60td1fhFU4f44GFLLrqakhQ1RovLpJqqR7K+0BcJR+5ntyou
2bO0u7WCQtUkLaJCbSt7FjbK2s16Pd9h9+4ALG5xBaYHR86U6+NlVW+jb7IABgu7JLdSGfF67zp5
19wsSbpYoZcsorWZ/6Cuo1ioVOqtvUuWspSqf6fczNwx8VmozuZDMyR2AWx2XBvX6fpD7qWV5zNV
n7aLcjHBfPe5HpWbgj1v9CnnKPoQZue9bRwGdgMvEnYnUAeEv86hK7gXvyCTiEMBrCi5zKYpa30u
4S6PpJvMoU2wBgIRDWStnzJTv5wGjXFR7+n3SzvQC+ittkc1mYbTsGqndu7UseOaDMfByC4VC4Eg
lqPzreoa86uoC3PzOyyJ+R4u3mNfeHH2yoxuDCrTm68G7kdSR7fNYobtuh+Nq5KDPVaU4Dr+tqAF
SPa85bOIMpvTOfL6stj1cKDeBIX1xQxsyy/pj1kOiH3Drz1tsh3ulMrUp3Qxq/t51q3TprI5kJWp
QivVDUWaWwX1tjgvU0VMddAW/R63lB50OIquTQa5IUIs86mnioyGZfGIQNDzKOFZR3HeriDXuyEa
S+eoqXoKGxr3+yHJvF1HZMubZS7mAXy88uOCk6lslOs7eNn2WWJM7GUs99LIKpuvF8/xl9LTpn0p
zRtjSb13UXc3sJDB+Q7wRBWq+EOrly2l1IhXkZZ28YEzzhHXTbtTpI9E7VrQ33BRCvJjMvSl2M4i
4l9TuhGt+NxT0+P+daqDhrk6xJ5HHvhs1y5YlqEPNKGtgYkHeNfEJvwgz9FuBlaS92pOD4heyqul
GOuAtT6rmgSHGmzmNP1QeMev4jjLOGjb5BA3Gvduz8E/qjxgy4i8r4NA3RUkajuovO9goHnX05IU
UV5n9oE9lBXJUnBg9k1zyoR+67rV5Pd9vzTBqJK33sF+VzcrwXdKb93rQmvJv6hAReplTEJG6Rmv
3xljxtzDn6+ytHrVVP/asu+HIezuTTivwm/U9C4WHqxuJrYjzmpAVjSe7MCtYSToMSmDtTCYPqAp
CfEBvFkIRqOJbwtt+/JJuTQRiRuuW/te5+WnPp/O19sommhEPdL44JIjJJvSJ+M3PpHUDvuth+RQ
4QYOqJl1EWg10P6oAzY8oodpLxtodVwtvbPXReEE7BKyS5iwxS3zByHC0VxGN5oUK4l+oN7OBSC/
9jz+WdxeHb0Wdvw2M9xNcld8zDUtWj7k06EyhzGctVbe5YPDREB1X4d0GU5ORUyLcAuseM0Ypumq
jq6ymQaTZXqSTjVBZcSJD0znC/0apdhaE7hobnl1rEeMjUFC7vILHvIeq9x8ZQBafqaUesy0tsUc
NzgXqW2A5Fw2CscGrMe8ERWRjloX1tP42dPbq1knAibN5TPi5CLIJ9PcscBzg9ky3Bf2zJVvsKsK
PeFOAOVi63FrCovcy0JekKHEXqh+HZTTH8D6PHS2fjakU/+tVEd1ouqHtJGvYNLKozHV5ntvwfUW
CYnSZMw8L45rfFOq0rZdUrs2SycFj1pb1Ag4wK7uITkIELxJrqP/cePPkyDEwF+mibB2/FH3ra5v
OAbdOGbsNMwzPjUowBT/lU6Ps1j7YjS8e8LMSU9H0Q15L8csAbC4SweNO6GKbFF0J1lTSm7sjWl1
4pCvSjlXRW6pm8mGHObrhdb4Eruc7ttyK+tocsmOjEaRYkRFEnzkP/gn2MjfZCLvkdhyeLhZevKU
KE7Yc58wDs9f4wIz3b7QiiRaiFjwHYcsA6tcTluGCEYT+nPHIyko9UH5ozzPAlVN9pR35hfr9nS+
J6jyMt3aExlrBkkvORKgXEzzIW/GA4Kzz4m7nRYu+AAwojgWiXYVI+JCvmu1Ud46JwWcYjcbhRM5
hV2elMX4r/VEH9SU+gGVKYJls73skukOmPi7qDKu+Hi1CMys71pT1SGDGeeItUOifBzSPb0LA8St
0m5mab5kutlfAFZX4dzZsAVKo96nGLuirKn0A4gILeyssT/W5KUyuRgaEGrWu8KJcTdqgjFcPGMi
bdbPRaIzORtWYwdsMiNz0/hCDJ3+MLtWEdrLOndkiTfzh9U70wNnn/SJY+wCR7TjqWsZRgk9hzSL
y5e0H405S5bJqBO4VDy7vgKk30OANswxlEAqxshJ9OqMXUIb3PJ81L2t2RXZqt56UhteLbarVVho
2/a1kKxnAn0ttLezP/jGwbt1yHngdZh7nOXgQpG4dApaJHi/ORl5WXLqNDOJDDJjvlBncWslqnrL
ct29aWYjvsLvNn7VMvtb0umr8r1U608tY+i7DWoBGExnrgOViRniqTXeSpma23VHNLfyIW80e6ag
FWzaAZLdtnn2Tm8y3QntIltCBdkHdinWm12m0A6YsDCu9ayzpsDiYXDI4ulxTawnKgTroY2TZpe0
BEpxH6yR3fU4rT33eT4n7BASJx8SUeLSTlkb6X38Vi04FvMqdgPIacBcS5p07WLG0GFcgj4kjGaY
0gtqiGHZJXbXBGDN7fFk1pw/vj3ArdgnMVgNhkRl6s/Mws6iV1uHw7Xh3IYZoqzAsZvuuVNme9G2
rjv58BU8QZIXM75V5XGwci68wjLxjOs5s8TjxC+wQ7cdt5eRRG3gDA4maIMBNRuueu2vjFGNlw5X
D4GMah72aGSyy02hLQ95YBGI0Y0JFdNKgLQuhwoj2HCuhDhlXqvCdj6bXepya4/5AHwkbfxWW1qK
VvTKtZ/gucSjbiwPFmY7hk+iULZPG+byTWjeM9Cc5B31f56ENbyhBWngut6v0MGLwOBGiza0QxkF
/VkbJ3lEU4JWKpwM9W2mvI5YEdytGmX91tvipPA4h5Ya532Sxe0dtDb5kudU4CH8uIp+3dJvobbr
GSqPyb3vrY7nKWdZc1tu2vSimRmGwrRlLlPBNbzqVm14KdQ5mAYByF4qgkRpXnvjrkcqfe9BV62Q
ncTeBYpjwqDKrDgBNJgekIExDF3kyF3KUo1Ir4rsO0nNmKakK/fQcx2UT2s4wtHskTER4HzNhH/g
eeJ1RnmR63K10JDMFt90lUfx0CU5VrX+FmIGZEZ7VTIyGEM9is1JTjn02aAu0/VbSXDCa6z3FGqb
jXeNSUdHWLeXJST3ZO3LaFuIrjSeugmGcR72aPJpdrIIKlq+V9pMQAOj0YsuXpzjNIshUuAnL5Ve
1z2VvS4uQUnMT0OOdYVTFrx+qs1mYHdmzHEyaHeqaNU1lkqXeBk9ifppU/u5F2ZgYB5OfK2bhyu3
rIxPTG81HmKzehTUd5dd0867caD6Z5zpMKXR0vs1zafAxYXH0L7JoWb01dU4eF+1SYfJi3TxYKcW
CuN106+8iVvDwMMfZS1pQkSA3daLveCatiZyrB20x1BcQnOg6xipGAPmzd2pT73xSuuc4hL64RfW
qXo0xavAO7G+wZpIA3lOIYvdnLGiHlfMyrr1WcuMeEeyXRop9r+RxoW+TyfVB1O3yiO4IWY2TVGv
kkHbFqbGooc24imETwi28UR0r1lprgGtwnZYu4WYeUfvx1voLMyBEQOWIbLkqbxfCCAI15SHTW5B
XGGeNRWXGvlxs8X6hhmrTqXRpDu9QPJPVNK1VWz87yK+641lvZnxr/hyKp69Xn4yEg5rULVRZhpb
yKTkzas72/fQBINKTJOwB+YQ1o7W7KRemIfZrPZmkt9vqJLDxrQsEpoFMRzJdgMZCU5t3r4gT89v
7WQEhiIPFFbDftrM6bO2sAaRhvbJAByJyoQKeSH5e68mHtSLO75VROfczWN7NzayXH3RuDzaicno
wrTUboCxYTgWEktmLSQxg9q7qTnjVSNrdFec/z6EDPT/pmd+GmZrZEG/XE5KLceubF++72L/u7b+
q7W1JSSL3v+8tn7+6Kqm/ln88uvP/La4Bv+JQcJALIJ0yfa+xzf/pmVxjF9wlaEzs03dBndi85f+
EfpsoWVBX8AuFHUY6qx/SVpM+QtiR3SrXGuuLvAr/J3FNWvzH7fW6GjANHoOr5A/ct6R/7y1dqEU
bFnjgmIhlMOv0tT1CSY3ftVBfV3+J/lobn/dgv8I3/xZvMWS3dbRr9sIdgyP5fjvxVvxOLXSAPB9
GBHV6/4kPBrYJW4+18O03Fb4Io/l1hZd2GyDev3h+/g3f/v8ff34Fr//cQvnKfIBWB182D+/xRT9
4WIUrndI4JcUnFf9zFxP5++CJ7/nAdO8JUhqsPXW7Ff6bc0+Fm2oa6oc2wgBI5DoRbjPfqCsD4xW
a08j2KGbHsYLNU4Zs9deOxX1HAlXY+/E95VdzuH/4U1gJAMXiq+LC+l38jfRmcqoho0lx4b4ZTGb
bVdplXmkAFyfWkNMpD0WDmdwtU6BDp/vlcLVJVcgWXl9ZPne2jUpdw1TGhpBMgk9IpB2E2EKxwUE
DyudWX+ssnHYrfU2oBeoSGr68/fAJfuH74HBhqej6yKp9Pfa7x5Z/7g6s3dgFDuHnQD6DNNk3Ttw
Bv78L/0sQf71cmPebPBfoFX/kHJBJ9CfFxveYTISccALx5cHEODUDUZ7J6yk+luWgl//HtJQ8ju4
xM+uhp+vMKn3RFexHDhgjunuOFHAlY8kif35u/o3n99ZtI4TyiU/5A/h117HcQG53j10cs72qBm+
KcS2h6J3H//8D333/f4gZTnfMZbUBQfT+Vz4w6GQJ+hsZq7Bg4RvdNycXkapxzWzrueIxAoyJzM4
GyVvMxT3CCdcwsZAc5u5Ht+nY71dVJbV3nUr5n3fnqyeGdDZNASrhrlHqeJTU9brPuPafJoSh1Qo
YxMmjPt83jqC3fgjizJlhIc9O/TS7l9me8sOf/4mje+Olp/eJYIU3I+WI8kB9TwLbdCPSu1YxkSs
bd1ymHODrW7SsFlO4v7IqKrYNUVP00hM1VJ22pmW3zHAdfJDWeXjbmInumNE010r2AOZP9RG2Nq1
eNElFDrLW83PzlxVL6zvok6f5YMOCg3IN1CYABwveSSi8HbphriSNmh5Ig2VYJEkW/dFstNzGCAc
Z8XBHizrJhkxZTHRQjiIuAVRXUy9C17/QBrQGjRWBlcOSdK+Nxr3sSNi8ZhrzA1qvU0Hnw3415QH
T1D1RXI0cf3fqBLpP1gpxyT9mZjnKbatSE2S0tVUY0ByKFu4QU+aQ9E1xfPQM3Fo2TTS2Gs3mFTW
93Vde8aP6cAMdjD2VmxSued2CrKLliakwjTvrNQQj0DJqhcnSYtvSk+RgxfCI1TG61KcBzhi0DvW
6fLJIXE2dCoJ8cTzymO+5svl1nr2DcgKNxzcrPZ8AzTYDSO79gtjPKKj2h6AhIfXIS4+NLYGV+ie
tBAlUhJpTndCOMmrtvWWRBTvuEwaELpYxT6ydVq3pGM6pDk1+pH88vx5hg3BXAFmBu3MF+jR9xiv
ZMnNvrmk4kiiVHUJ3nN90sqCPGC9Ets1+fMI+FcM45Hg+UKrOxt72XjucdxM462L7f4253NibY2C
MmhxKT8WJhgLxRUxgZ0ekfG/NcB7d0UqNXxoi1v558ruiUZ0pGpeZr6aJfeZqCaHeR13aWrcybga
I8626ThArSEedxlcUHjyHWQ8QYe2ru7WrryCTJlid8RRNyXlyITmDPurhjHoBK2hJN0LPyhTWG9J
HtDWXMWJ/TkFN3UAbiLuY32D0dnZL0xvkS3UNdOaPg+03PaeByt2d0bXsW9exvlE3IXnN9O2BNU5
tHfMW80fJmRdDl0LR9Q4BzqmbkbUzXKhuYm3Z7xaByuwb8a96cqLWeJdKgt4uYXRND4cn4mLCzlL
yGOo2GWJa+NSmDPUSIktAeX02gURsc3loJEX0LExfMvpqu7GrHdcxAaWK30hc3WzsRvgmOr19mJd
dfPIsr486EYmDk7D7WJrxAMUvtcytxsjOTMAwXYLnXxI42ARef21m8zkUx7r4zsQxPWTMXXzqWLM
cCQmFaproszLTmhq35LlEVixmI4jurMbbWViP5Yry1G4U06vH+vMc7Y21Fu7iiqRVP6ibcuTOYl6
h782JUM2URHSETMgkRRNgjHC2MI7fZkx+WZOwJwBOHt9mddjoULExO33wWFoN+O612zcl20vil2c
T+u3aejm5hpPZUnaG0UBmA/USQ3KFiUrN8wSnhwEPZ6jMkYVMRGWEe+4OzmEX0dztxZgX8V6sQ2i
f0HyYN5IbtTrNWNwFhbxgD5RIKb40PNuDr1S0Lblefc1ZUsGQS9znlM698vacvRHTVBfsDxJbwCf
Up1MlHxEzuIVSbycVwfGEB+MLihmhF3cl4nZfgJ2W4SF2GYgZtSFmqXWfVnoxnE2W5LsEm98BuFe
HlsmB+9AYsShzE3Ono432SrKLwyL8WlD+HggglldA2WNT05PxOg6g8IIbIykLKXPMRrdxDsHd3OD
wmsOrdGQUTtsMjIJDbnZ4HXR5JsbPyO9sn9JGB8GY0ey34z3U+ynaeAtacQ7+IPhbEmAdsCKDCid
NzoHA/smYApqkBvrX7sEkDzGJ2oVKwDuii3LLbvTZHO96gaTCmrg6TmbOs71RrYnwG3kdVDbSDYM
VbsHhW9dsMjT7lf+QIpVnyfvRno6L3tNrc9zbDGDjnHg3gsHumOMmO2+E7INOyfVP6FtvOgLPd8z
/232fQ7+z6deNC6sBd5dy6Ggd6NxPRkts0e0d2T4STuYyjzdNUYM8rImOIq+FkHlkBH6N1sRAszb
Lq69CSx9Mu07Na3pno+fvLrOdNv0suurduJqZqqOcmdcWcx2Ahas7OJLjw2w4mRdeySRrjTTazRc
S7X9V2f9UQ/ZsP5FwwrC62yP/88N6+FtfsuyH4XWv/3IP7wXlvmLCxwFjdqvaRUUs//wXtjiF9A8
+JXALFj8X/Dh/davSvkLrk76UkDbJuYP1/un0Fp3fyF6wWKLxtJd51/0v9OvWj+3kucOEt0m2hys
SrQR3DQ/V23AJkp0s4l8QECtkI1tVY/YR+d1BltZnUV4SXeXZmX3VTkkmadpod1Lr8WMaWp4s8vM
tYKyX9hb83yYQ+7hYPA09DrLpF7Z4PF7bC2RDOimJrvNOxIXfE2R3dykS7EbMbZGCmT5pdSwSade
zVkFmmTfyLW433IKXI+YIWKptPHj7BHhwWtyjGoLR81Sl3gN0n6YScRT6xt4YpZRScrHFnAjUSx3
RbftnFKQFblq6sso0/wN/NB6S2CcHkpIc69rt3WBp3BrB8a6DR9Tl+gIhcgiTwAZ3SWpfaeTz864
tezl00hcTvEXvej3duZfhfP3r8C2XWbpnqBRh2j281dQgarItbi3H7bO8I5QNCkg5XIeojXsrPE5
ozPwM1l5t+z15WVNAEnmK9tFAZ4VYtpvKZZCDOnNESnRdLVRrVxL8l3fcSBqLxA4e1wxeB6tLM+v
RmvQU3QrQ/lclqzx0Lao3Ui1e+O63RMZ89YB+culk8ySmD+JLtR7z1u7/fLDTfJvpghnp8AP3Stv
2oQXxDdBXylMngK/a8AVYAoCythXmk0Vv+rnbz8hNeATKCeeVHCRoOEa3RG2zBCZKS4YvwKQueuN
/H/ZO7PexpEsC/+VRL9L4L4AMwWMbXm3M+1cXNkvgmwrJUoUd0okf/18QdJOkXa6KisMDNEYoh8a
JWeQDEbcuMu551RXRV4o99FaZRrQPyw+LiiQne9A6Hyelvy/mOaGOW1B6sVipO0+LnMLfljUnT6Z
zvQbRWftxKVU/w2yuO2hhUTtqRfsKJyNktHJeitwWCFwhkrB6YUHXtleKJX+GFj55S7R1FMUWMzT
0knI7hggCLyiXE8Kk3Nfidzlsel99yMX4jYj3D3Q20Q+M6MUGcHoDczWT06TDC3v6XK5PYy2YKq9
XXHLplxf29sRmyldE3/qog64SsgqJ1Z6hNYzzMUGMTatTEV+5HkweoX2yj0h30vLukdWwg5Q2Kan
yYLQIfBWV5ulHl9CTKnhcgbR3PHjDYoreJ2ArU3U0On/UfGd0/TULSLvAvIf5WoqBL2dQN1eIUTL
y2l6Trk2XlYrUsnLFZgPg1orWhHFxzRTmVAogY+h8ahOd6bYmzRE3Gy2u/TOWKbxvUt//KUBt+Kh
siiKv6Cm6dkskwYTmsUEU4yq15QHenfDaIvtdLrY2qNbcBTVTebCnUEviP+NHlwo0m0CBPrOWDtJ
WD0AiK0O0yyNAHbsyuXjitrGdYRK4XmcKfGdTZX1CISGchI70Z+Fa6yP4tzafN3EjLLeopAt5MaC
E59vfxlO0e9RskU1Sc1FMSk3oXZbKAmIEygzXASpRuWVsZxSU4VY+RjOVE0Y1HB9nphRpk7AsGsT
T8kJXVeksq+TdVjd1Ms2WtG1AEyzvEpiU71Uo3BK34Gj/OmMNim8A2p6B6YlvqaVAqgz8Cg6mnU9
8O6pep3EYQIEEBJ/ivikhKwTo6yoOK+dpfPRUWC9n7y9devE0k97JaZf59yhPciyNHKmdi/Q38Vq
OlpUyfRWSyJrdJQB4AOxFo8+ryqXN1DRIzy04nT0ZVV6NLuZReRGVzCvLosTB4qS8kBnD+YHmh9P
z531Npqtt1YCNDneRQtkZZLp98QoeRna0FV803x0/PsvYIjjlZ5lzmUYzLrrJ6jWKUWWhX3rW1U2
KVZqcY27uziOySUkojMBEUWoZj6Zmsi4BEtzBKoliGZIKpsX6s6a/mDv6RjmMpzpha1eWlDmnsOG
nKNeDjrii28DZYd5euE7B28/e099o558lK9gAaQLy9WM/rPvNqDHKmNn3oa5aaJal6bTH6xmlFmT
NPGht/Oqq1WRFh99exucZBuHN9CCwALm4m3Pw40D4trVkjPf3CVnoR2PvmTI2p0Qm2SQ/sZ58LFy
Usj/NN5/t3FpRcrSXfoDhtCIT+QZ9+l0l58pVQU6ZU3y9FNu7NYB3rCdHIJ2qyhOgvLK6Ga501Ba
Oh05I+cchjFg+SQzj/1UXxxH/rL4nlho9CW77fTMK5fJpArswDnMNK2YQxeDvQKghmhfGmnqpNIj
F/zC+l5w5lITD2LaQKLozDe20++BzVbHJyg+1Vtv6o4Wj8l0tNxOYPXk8YI1IUyRaLdUhOkN36z0
LQjeePmoRClSospy+p2Vt50b/kZYEDE1K3t6TpcAfWNKxfQZGyxf5CXKQQmK/ItCcW5xYMSW96e9
WT3o4SY8Q3+0OIOJKz1MEm0LnN3XLtH7SI9M2y+uaaDiLHl7IeAkdk5QVgISQvgMKnFO7Q723AZs
NYy0NHjdwkYHELFU2GAHtW0GLRuflNMYlorllBdYVkCacMWimaVl1U0FiGc9WWxSBBpjm9rYyj+P
PT/dHZQbxUO0frTyNlTkguMMKCDbVbWV+xLah69CKuhe2xnbee7ZxugIMakNkqpLJ/ROgFn7V1s6
3CYbWylZB0ag+we+7k/BuavTUAGPu8lPncWoAEAW2WfgEb/SXarqPGVa+ocjjSx6bI1u4Lcpd0dp
ruSPEOdjIteBIHCIw9NCrdITg117CjxYuJziu0a0ANylxfrUHK235VGhedXE1cs7NQI/QxYP0jCl
XNJxtGJDoAvPYl1pKfk5x7EfKOKQ6IEZ/jxUV8pp5UIlTZ6yik+qGNr2K/IphnsY5evlN84B71s6
WoluBFjGCL/py7sDjeDCRruOrcUpEuO06mx0rMFBCrPu48i11dvRdiccnKQIzxWn4KhCzuUooeSK
dvIyzyYZ+owKr7vG5PmIOygH6Y52AFpOcrZBudSq6aFjpYZB868afFkssvRsqgAOPqjUlX6/RGSn
pDvMitYXoywT7o9b3iwy1Aom1SJW7jdkDYioY/IVJZZdQPAq9XJh7sBKsRAcgIxkQ6FiXYaHpqrr
f6ph5SGvqOTVDbT7QDpUe1XcJviWp2hx0smRglD9ocFsBUNuNZr4OWgNiKenhO9KUu0mxnbr0lho
IediJVOwXsmIVehBjwlEcJEcZSD4Rwd0XShHnl75P2x7d5uFse8dmritJDNRBjj0d+vNtQ3c5pO2
sWmq0OCuOkjdsrqpN9L/l2L/IrKFLUMQ8f06sr0rQ+gIFvuhbftvnkJbBe4AU9dsS+EghSpgL7RV
VX4CdEWlti23tpGtISqxxK6OxTFmYcNw/Fv5RkMZu9ROKZTAoUv5R9V+J7IVZch9LwX6DVHdgdhA
g0DH1XuB7TTfqZ7JMX6dbx4XqY+Z+4sQphvBQF7Qu4Gomu3RMSYFoo9RwQ2cFZ0vpJtzd+Ztrz2X
9oLHvYl/JVqq2RY7L0OcRKlbo3wEpTG2v3uvkryrbyJwc7Uy6WtbRQRDpAcsTmQH/hvz30jALBwo
DhHAUMjDa+mooovGLL3gHDKHeLF5xHw69oLyh7FUXPtkmiyUk9IJ8rnnKADiL/PESEfGhWJF1ZkP
pf80gWGA1KVljMLplzLOjleaZ56nwFw+reJwRZsairUBmseQXtNklpCc0rYIsaDMsNVd0FIICi7X
n2MXd50cgBFsbYTLQof0K44uJb0g184TNfK+otaVX/jTOKdHDYKC3TGSwb6+ubAzpHpNYCzXjro2
d/8mQ01r6QgZV+gb0clQaloFMBxRdbHKgPJ9hpHQM4IJrO+4AUi30DFSTGnnS9BR/8+yGq35O5pl
s0md57rJ50l5O0/hxUr/+K8GaSB+/RR6QfaFZjmRDPvdP3p7oA9/L8OmKPjfHTNUP1P9LG8N4cMR
neWP8KboQDgsi1SRMGh+SGWv+e8jxxqTZ8BfgOCkufa/8luv//abNfP49t+89ejNxJw9/ve/8N1I
7cm9vT2GKsECCED+SFw4gvuTAGH42MI4g3wBmiKu/6NJeAjzIBOLkE77YP9YwUD/vTnojbC3Alzo
LCg9C96l+mJJ7c+BCwGOCjchrIHNFDQ33Nslv9oHb3/k91sI9KlwQsktBGMswBKCHLt5yd5uUDmU
2SbwZwPfERcLhRsOaBJQtmqeqWeffscW8KUVIklN0ETWV3cl2OYYoWkI+FWn+bmZ9QFNgg7AXXYW
DHsMvb6AttjNW/aXgqaM6YmGcxl2lUEuBRXHTX4/8I3BLQHyqi9czY5RQGMcLKtJDqueA2VwS8HG
g5acBEMdm4KLFsbn5iWZ1f1JQGjdBv6Esz28t68JweRMIsUyJCBMuIpefXvwnmMQn+JkGJotxH8X
RROp1zf0MdoMFooh7cfvHYuAaU0QnDB9tq4DEdywTgRkpIl1pCZBFwVTvjGQ2d7Sh8yOFDBQ4vYo
GJ5TQJGj+ST//EDUnDH5QRPu1MYICvdv3wA4WEEHAjDEyJstMridAGLbkZ0F3R3jH7sCwPr8lp1Z
sMbYQA5LYoX6Gpw1RCxHoMnltoI25szXSEk2p34/VHBA0BsCuE5yo74GuBZstXmof74jDGPMjoex
4Cke6vkF9LKPLTqbbTI8Q7OH7AWB9pdaBeTZyImJcKiNE/oWwR1zG8BbYL2ba2izQIxjyYbNwjEi
JqZPtAmGFEzMvkUgZKQdhG7Kp7OzgQENKFAQhOvSHgIkr+RhiZyN5x3fmQXBE6lAG6u0vw9vFixV
k44UHM5AA7iV3aYPek6y62AxSCCQYmg2RDPtA1oLeIsiwy1lFzgjdWJCaspK85Yv7CLEoMibQO/Z
HA/NtA9oFmiJEm0JcrNgC7uAgUFPo756s+CYeAqCMhXPtL6Gd0a4+HKys0AtBvOnWM9uY886qmOQ
h8gS0AZWX8PznQXETHIWKFZBvU3KbG/f71tHyx1DOAHtvT3UtCIKi9JnhAig2BLMQXcN2NbYpgmT
Tv327QfnLWq0c8ruBPpDSZ6TVyZIfs0eEENbVAJRHhjeoUDqvzmvpZxlR4g8ED+/+vqYQ3CcqA6J
8Epcg3MQNOoesuGjYWEIXFFObgOjvoNgjOkg5gxuu5sHdCZqKv3TknZQFNg0surPAUHPEjhUmICQ
k2Vro+fBLQKc+BeN579bZiRupKQspFWxKfvHADlUoJAWNHHIRIprcC4Bi0B6D3AMoKhL/qQtGbwI
mEgk4RbRk9BaggHOAsT0kluBygq2niZ/kiT11VsLKACSYxEt5SLdiCc6JFNAw7vscaiTMHdoYkbk
orn6lhD3ucHvtJWnZsKHNAuQFUqHzaRQoF4Q9BPNLPSSBzYZJKwlqKjGILgDXAvUBWT3gj4Gv0U1
FVxYc3XtIilLqowtqcbQ9gLxm/SxaIwNTYh+A2Srrxe2wBqjrMRCET09w7IFOi1HsulkDkQQFWwC
cHyvfX/cAhulbDAuQy0t0AUgvws0dgFQfAEzem0VgDjANVLYbm2YNDjnCHJpoQEolzbhXKAbx35O
HmFiOz4SSWUgjPSMtHtleLNAT4h0wkABdyEogAgX66ufPMKRBvNKue0nTmlYdkHDj5f1ESgwOC6A
tDZWeoFIs220ghy0ffZmaVizgCpZi4f455EznhIMNmgcttnSvr8MOBGSKE1A8xq7MbgzAmS3YHeS
sguUWWhf5hBoa+wC0NKxC5RhRBOowKXVV7P4BuQvopsldC+lZkHHU1LIkyEU9+oZ4YgdQ9UViF4z
C4OzjnSvS68F1AMJjByXMLJ5y/5acMbCaEDJ1f4+yLXAQ0utBbwmgwOXjv/2LXsnJSuE5n/UGKlm
1Lca0l5oROSk3l+HwQ/IjcFif7Z7+xaBwquOL8Xp8LMAww2HNAswMjQbVOJ04C3JKgO+agPpXgRZ
g3VtCiya9Ru24G9M0jP6/xDWhsca9+/N09eQ/7/6gydI9MvfW8y7ALYLTHfnD0U7UnPvn20Bf3QU
T+tPvPfj0yev79P+8/YFX966c6+nt3r6j6fePJnBm1PWP5TtY17PNjQP/I8/u59tZvt4dNYllufn
k7xQZn1e/38xcLrujSsqUtLjJh7qyd2Ba/C4/MDrWZB2VSMbGK7syIcz3/sRJoHXeeqm90F67NAP
k9lj+DSxYvHZNXJUfmQ0qh8y7yHPOoPXoFzZwY/mPswxyXx/5Ab+Lj1yKyD8IfzxgSavfHPfnfYG
Uil7F7imEu+x8z2x5yKlIjvyyTxMFt1HbrFvsiP/mqvn11RAf2urnz3Olp0FqNKh/w4m5Mz3vSD0
0qdJFWu7RYDJzsVZ8OjNelakwVlKjxzuusuigSnJDnvx0jY1yB/pgRkgf1iXnUlugCSyQ1+G8OS9
mOYGniE79tXMCzrWQ1AYv8PxcjVLSn8WPO5PR4sikH/kNJ09LPN0nmWdNd3W6aXH9x6W3mLW7S1r
auDyQ3MWQLDeWdltZVl+7DT1+B8yTJ1Jbwq37zF6iB5Ab2hRDpQeGqbung3R1LrEJjvy9fw+mfW8
pxb0KT/0dtY9t1rsnPzAuw+ns02ULr3usc74opPjPcY/nyfpvGOpyGCLatZ7DH41L7yHzjHG4O9x
ol/Pdx++h8n66THr+KDJvEs/N1xcyw+HswQZ5u5p1ia13+cGR7N1f+/rlkZ4Ljv8x6XXnfEmCS09
7NrHI+lGNVpT/ZUeOpkv+u27dSlRduBPc6Q+IOOc9cKENiMtO/ztMnycfzhLX5xtTZJTdvjPYf6L
hdjmD9/nBi8XohielJTs8F+Y/XmazjsuRZsGlx+76EaVMLeJbmfZcb9ms+XTKMKmgNUUeRnZYd/Q
oJCME755RDa95d0mVmUf+m7GuRMssu7WbHuJpQefp9mHVx+eyuY7LL47L30I4fDteG5thVr62X9N
Y/Pm13wt0/SchXyZf3piAnjtn3WTa+IvHvz5LPnjfwEAAP//</cx:binary>
              </cx:geoCache>
            </cx:geography>
          </cx:layoutPr>
        </cx:series>
      </cx:plotAreaRegion>
    </cx:plotArea>
    <cx:legend pos="b"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6FAB6531-AA9F-4322-A889-F51288F71F0E}">
          <cx:tx>
            <cx:txData>
              <cx:f>_xlchart.v5.6</cx:f>
              <cx:v>SALES</cx:v>
            </cx:txData>
          </cx:tx>
          <cx:spPr>
            <a:solidFill>
              <a:srgbClr val="7F7F7F"/>
            </a:solidFill>
          </cx:spPr>
          <cx:dataId val="0"/>
          <cx:layoutPr>
            <cx:geography cultureLanguage="en-US" cultureRegion="NG" attribution="Powered by Bing">
              <cx:geoCache provider="{E9337A44-BEBE-4D9F-B70C-5C5E7DAFC167}">
                <cx:binary>1H1pU9xItvZfcfjzFa3clRPTN6JVC5vBNtiebn9RlIHWrtS+/fr3EVXYIJeBiea9ETATXWGqsnQy
nzzbc04m/77q/3WV3GzKN32aZNW/rvrf3wZ1nf/rt9+qq+Am3VQHaXhVmsr8XR9cmfQ38/ff4dXN
b9flpgsz/zdqE/7bVbAp65v+7f/+G9/m35h35mpThyb72NyUw8VN1SR19ch7e996s7lOw2wZVnUZ
XtXk97d/JJtvm3Tz9s1NVof18GnIb35/++BDb9/8Nv+qnx77JoFkdXONsYweKCk5pVS9fZOYzN/9
3nLkgcNtxqhN9fbn7qHnmxQDnyHJrRyb6+vypqowk9vXewMfiI3fv3v75so0WT2tlo+F+/3t5yys
b67fXNab+qZ6+yaszGL7gYWZZP98eTvZ3x6u9//+e/YLTH/2m3uQzNfqqbd+QmR5k2y6TXlztzov
AIk+sG1HScrE95W/j4wSB1w6kjPibN8Xd8/eIvMcifZD82PkDJvl6lVicxZWlWnK8G59XgAb54BJ
JRybE/v2hz7UGk0PuFJMEUr2YvMcifZj82PkDJuz968Smz/KcDTZS1oyfkA1o9QhfLv0M4NGCDmA
pRNaCnkLHbnbFjuD9rRA+5H5PpMZMH98fZXAHF9vAnO3NP9cYzg/YI62FeU7jXAeagwh/EAKzZRj
z+zYk4Lsh2M3bAbG8fJVgvFHGW+yagPn92IOnx/AbTg2IzvvMsNjsmBMEyFg5G5/Zqg8R6L9wPwY
OcPmj4tXic1ik4R/mzILX9KIqQMquJSa6O3qw0jd9/2E6ANJFFXkTp3udsbWiD1Ppv343B87Q2jx
x+tEyCSm3Fy/oDVjzgGURwib0/342OJAcOUwyWbAPEOUX8DyfeQclNfp+E9f2qA5B9zhimql9kKi
EbI5NoHF2xk8xAVbY7pVmafl2Y/L3bgZKqdISl5hGrMwWXZzVYdXTX23PC/g+8mBUIIIxsReaBSS
T+YgYqMzJ/NMafYD82DwDJ3Fp1eJzn82VQCioTbZC4KjDjghTChH7Y+XqX0ghOTfc51ZvPw8mfZD
dH/sDKH/vE5Xc8fRvDF/v1mYpEm/vWhYALdjw60Qxh/GA0od2ERSLRFj3/7g/fvG7b8Vaz9c+79l
Btxy8SpV63O9Ce7W7J9bPKYPGGUK5M3O4s34gdskVDmg26S8e+rWDT0lx35ktqNmSHx+nUZujWAt
vN7cLcs/B4M6B0ILQeQu89T6ofI4SHUcxTh12NY9zWK2Zwi0H5XvA2fArF8nxfmfsLoyWRW+pPNB
0s+0FkzaW7s1h0YjMqAAT++H5lki7Qfn3tAZPP85fpUW7EtY+uFLZ6GCUEeD6tyiM+MIlHMgQSEI
0Drb92eK8xyJ9oPzY+QMmy+vMyw4v/lWbqr4BY0aR0yN9H/yMVujNfMwWh84BHQbqgfb92d+5jkS
7cfmx8gZNuevszpweGOgOC8IDWppCJepw/WuOEBm/oYdcM6Z4vaOWpupzTME2o/M94EzYA5fp9J8
uSlTk9UvFwiAg7aVoPgfVvw+nYYEVEoqtXTgjKafWR76DEn2I/J94AyRL68zNLs0TR28WWxKk4Qv
WrNhyGuY5pTsNGaGj2ODrIa6IGze4jMzZs+Xaz9M8/EztC4XrzIgeB+EL0h5chs8AaJorXah2iwY
QBSNdxji6B3/NrNqT0mzH5ntqBke749eJR7HCbTGhNULGjT7gKCgBpp5V+v8OXwm3JFMOD9aCO7T
As+RaD8uP0bOsDl+nbnN+/LGf1FWDRaNOWjPYHJrsWbIkFtWDREaqgR3+2FLADwtyX5E7sbN8Hj/
Ootqx9l1uHlRF6MPUEzT3LmrZ85djDwAAY08Bp1Otz+zEOAZAu3H5fvAGTDH56/TiJnuBUNlThGR
cSkU59tVn6Gi2cGUvkhi796fOf7jJ6T5BSS3o+Z4vM4g+RT2vLmKhzsj8s/pMqamzJI6Uuw6/uaO
XkBTFLqbyI6TmWnKcyTaj8uPkTNsTv96lbryzjRh9cJmzD7Q8Bq2/E5mPsxkNEGkTEAsO7sobVYI
eJZI+9G5N3QGz7vXqTqfbvoX7agh6MdkDkeWsrVlZAYNagLoo0V9+ode3Q/GnhRnPyy7YTNIPv35
KjXmbFNVm6ugqW7q+iXjZHqAZhmG/GR/7qLQEmgLdDk7s2Ds2fLsx2Y2fIbR2etUm7NNmN28nLvh
4oCh04mLe30Z97kZqQ8oSjccccI2kp5ZtCfF+RU0t7OYQ7J6lWpzftO9Obvpw6sXzPcZPwAfgxZm
viOYZ6EZseUBsUGYgZa52w3bDOZ50uyH5f7YGTbnZ68Sm7NNOSSb7PpujV4gQEMXACI06MtDB6Mk
GBiC5me90xQgdt/BPEeS/aj8GDnD5Gz5OjEJr4LQ37xsIdNRXGn0Zmyt1M9Bs2K2Rn65n8E8e4ZE
v8Dm+8g5NsevEptzU/7/4ZjRkcnATwrAcPszOxeg9AFxBDgbubN3s1Tz+XLtx2k+fobW+eJVonUW
ol+wMvXmztT8c/PGJQICTdB9viuPzeNofkA0WjVwxuPuoVu/8yxZ9oNzb+gMl7PXSdNMx4Sm/+d5
eLdI/xyZ6ZAgxZG072zyzAE5aEoXkqIpesehzVTomUL9CqJ7M5qDdPk6lQfVzRclOTnaANFkixrN
fjqN2ECIo6dDTg2ED2KDp0X5BSx3A+eQfHqVkJzftJuX7D2bGgHRPIvsZn/mSYiEzsDtKGdr7X6K
pZ+SZz8sd/OYoXL+5ZWi0r052qQ5up9f8oQtZwfSEWDS7npkZikOaAEx9XCCNdgyOjOHMyUrzxLr
Vxg9GD6H6nUWOac1Obkpq5vhzsD8c7+D0jNBnok2wR2zNut1UugihFPC8fttZKdnxu15Mv0apLv5
zBE6ebXK9Jcp4xfEh6LYqSmfbgm4/ZnrkThAVGBD03aJ6SwumPB5SqJfo7MdOcfmr1eJzfs4wanb
F73YAWmPwzhqbFto7Hk0jWoPWBzbVrseTsR09wOD50i0H5sfI2fYvD99ldh8uMmyakjazYv22MK2
ORoHPXe5jj3HByc7HOY406m278TCfXyeK9V+jB6OnuH04Y9XidNFgFtB3hxXL0u6od9WUget6LsD
NnpG8EyxAkEMN90scPsDG3gfp+dKtR+nh6NnOF0cv0qctk13y038suwBaGsGR4PAbYvDjOZBBHFA
mQ2CQc6ihOfKsx+hh6NnCF0uXyVCn2DxcGfPzQtWe5jAdUKof9q7dMeehXK4bohxRqez7Vt/NcuH
niXSfoTuDZ3B8+l1cDxXj96KtDU222D7wSf/25ugNAICHAdFg/reYA4HC3CKGgfb76oMMzWaXdb0
a7H2ozQb/mAm/0c3Qf36lqjvN2gtN/VmdXv11r2Loh5/93a6uA9sNnTnJPbitl274+vf31KOVf5+
odf0FQ+cy2zRZuNuNlX9+1tLygOtGEOzFdADv2ojCu9upregbHBeSHNx1Efg2gkHvi2baPjf38Kt
MbQoAu7d8exqagHHENSgGAXTpAlOoWjcRPH9wrMPJhnQS/l9NXb/fpM16QcTZnWF28bgHPPtx6bZ
TU9EQ6SWhFEl0TdJIUB+tbnAWWd8mvxPQqIyI10sbhzi1Y1e0ZznVrKw8zYcvwjR5PGGW6Wo1lkx
VANf1rQXQb+wjGd/87OSZ9bC0D5WJzoQQ7OMtZUVR51Ok+osEWluDa6Je5F/E3Ed9WaJtUoitvCV
4uRG9WZoLpKgV8nGcUTuXbGUFfLcl2GRMzclYQVReC7K9H1A7LrLln4iyjh3TSfS9B1RQwGR/TQl
wylNWRb9bVWtwZh7kO5ZJDiuB2uEBJhyDTJpChexXNgR99dIkTRsAhk4N15nsqg4qlOe8KOEt1Wp
jsbKr8NuMYY5LitJbC+k3vrxxxNY5ofPny60YsjyUPNFQ56e3r+H0Rgxp5K2DK8jErM4XNSGCRa4
WlOriNZl3/llvSyD2ueBa3FrzLMPHWdDRReEj7JjJ7UMsip2jSlYSc4RaRV473EhsYXvy6jAfjI0
POPEGlLNaVs+lLEPQosGJbOupVW2Nl36o/JVsU4cXjPbzcpayq+xsL0aIdV3dXsam+m5XOPyCRz3
pahNzJ+bN4NRxmLOtT9gz0m3tfOk+jPgHs18t4vCJnyfebhqsHaDwOBQsPv445Gjzaat0HaEM0ea
C/R+qWlZ7kHjiza07D5g15ZKVMEWorOl2ECRrPrYjKFKzkOLGHLG4mJoLuPKtsfABdmWYFEelwS9
fw8lERRnn3Bp0FQIwDmbGQC1DO1oiDPvytNjJspDU+SpN6wsL630cDg4ZQ9UHn/kz5MHeSqR4KLl
bTpEYj+cfKACL4kGu7zmsoOWrwciRxKvRdk1FV+Fjsfl17LBqhduJUH3fTX20JZ61YbGzrsnNgKZ
WTI1nYZEADMpKs7i48aRh9L4eoyEzmvrG6hMlVpHfR1MCpH2JsC1hk0X8ZEvwrQaaO72mjJIJUI7
aC7TXEbDIrNImV3qNEjLbFkIU9KLtA2z6tvjazbZ03v2VuHCBxsttygF4F4OaMvMljSd55R2Mfbf
+rIusQnsJraxWHbfMWG5fcla6zKncTEpTd2Z6SXM/ea/XSyw3+j+ZTbSX844TNvDxXIKWtVDJc23
LBEWbHgE6zV2bjvY9SBOmSdg9yu/weVYaSQyWNQyT0sijhwrstrYLQJY28nyDwFGZeGYtKe8j3OT
PmFWyHyP4dwRDsFSsIwUCEs5808967JcZyP7VnlUWukqqqs8aT4UYx3m2aIrhgLCWSpt8Z4ZitQM
SyceB+uyy3PvuNJlEvmLdBzt4TQNiqz23Ezb0qsXjbCt5EKm2h/TBWW6h0mkVjSQ7MQedYJvjUOv
K4on1JQgjH6wARBhg3bQ0sbNH7h2TcwsBnZmVrRZm39VwohILHIb/Grhel6jdbkgo7Jg2r1haz2T
huO95tac5MRz8Fbf1UwW66ZjTys0n1txlKcQjAhNCEU9/qdtEfdxlXqByb/mJbSoWLEqdvgZJQEb
TlnVDFgO7bXJ+CUN+mFQbhOUXREsYPA7eeEXo2cdlSmPxi+l1VTy3AnlFCD0vE0TfRg3YoLHVExj
Cw2tEu1FXkbx+GVMZNzFrp0kk9MKsfoAyGQ6wC/ZgGsDvzhp3wM7JqIBL9Vo+7WzzEXFqrVUzYRd
3PshAozi9vHa8a2hcx3TR/gKg+ABkodWNsUGdS7SeNNXMivytW5L0l5yZsb6XVnGXukmSVrSdGH5
Xtof+RzO9a/MyTz+pbVbgk2mHB9xRltkBiHK47ZhbsKx+gpsIGJ8riQo99nWYN6Q+UTnydeRpFXp
uz21VV65nYlMcsyaooOhePyJc2tEp/Z/SuC30Wymf3piVdpV0KWs+4uNzbQZu4ZP5o9WKobzlm0h
5FcvYiM2YUebuvLPFAwL9unjYky3DT1QCoYrcKmC40IpgXJEyQ/N0cjaprC0TL+kPEtr5tamEdaN
KYIC1iiIq4ysSk+Z8ENbOT4sTh4I4698p6atcdEy3yWtW1O/OE08R172rEycwa06ItuL2rHscFGI
sTen2ER24EY298Lc5Z4kk7IHNvahaQNEF8deFNeT5rcoK76fruzNB5fFJevbw8dnPLdrDjpe7ekO
Enp7VRlygoczjqUXZF1Rqc9tk9kIYkVZUgSx7TjtW44gix8FpOuxbftYM7z49W1ka8l82tKsiTrq
XXq9nLY0LcIxLY/CnLLJRBZjZZN1kbR5FR6OYoihdV6XTjE1GZwU2qlIATV6fEp0ZtkcREAO3Cas
GhBEK/bMVBcsS0cTZfSzUwcMulXn/iRAbbFmUt1bPQb3MEA2L+gnFYetnExKmRdwNFZAEMaTXky/
MkWMQ/2JjhQ/CrtkWodi6Iw894oenwoDNk1x8FNZrWNLlWydO2XLqsUAf4HpPjG1WQaAqWnc/ENx
qSwuXeCI9x6iVfcxUUljhs/MbydLVZcFttaYjKG5qm0nppk71KYYvyiaTf4xtQwBIL1ME39Yjakk
tb/WzGq6z4hSSyxHpyKG3cfaEdYkCy2NLca7JJ+sWwOzeRTSvINZqxGR4IFh7dn4F3IsgqVIfY6l
qGsVWPVCJE0ElQg0jfCv7fpMpnC6E+GxSHumow7CBURXigoHaaf9U6hLupHLQRbWpzZVBtZhG97S
wOnbeIHMMvCzp8zCzB1Nj+SoEFMbbgn87jzxsiODEDLv1aeqIdgh9YDe9fAQvh/rw6OcG7HyOsv0
lSsTNmDBk9bLELLA6GGVurJP6g9KVo4Xrb2aOzAGUMj2okQXNDxAakHx6z6Do9rB5hddhqXsEyeD
rkCLJjj8uJ+AsKKQ4EUPkW4vbJMaSCLiGL4plvWUpz6+2lyzhzYRk5+cAIwELmhFFDTPbBAOVpZv
98OnIBhk4rl1E7N84XW2F51LOvJyWBVBKXPH1ZTqKHDLsgiLEztpWC/cHNGOdVr6qcXPvDRQbFF0
pvev7DCxjzqv4XIZq8wk1zxKxvIiNTLFXesjSbr3vCV2Py6dKNMiXxSIH6tm3XXCac/LIvB648rU
Tsk7ZpdEL7Os1GQR9XVTeq7pnWKM3CBrS94v/D5uoQztWHZD4vaWiHi01pQ0/FIm9cD9hd2TpmsO
c90FxEP85vn1cR0oRGYLNSbdOCKtxVbMj/t48Bq3qPJIrlutfLYUqdWPnzppaPil4YnvLRmvKVkM
yE/N4Eq/rvRSh7SLF75I/COcUqiXhbG78dTTmW0fko4EdO1blRPYqzw2Kf88iNaPrc/a2H3/qa97
Vp9ZVZ1ZF/AYqrkWpZTl51G1fmbc3BgSVB91PybxoReC3ViPhjupcXVsGA0WqhyrwvlG0sjJrgOa
m7ZfYqsMxY1u6q6zF3HSVSQ6qr2sEM4SeYBI5KGXWrE810RZcXzYypxWSXATOBmrsco9YU7Jz0Zm
WmzpkZRVHnzEDT+1tFdZxvNcHTfaC4PkXSb6uPBXUevXXfuuE54fhmuPp10jLryMsuJYRjzwnTX2
imSxm7ejDbeeVE7Yade3uCzqZeCVYzQcd35lBeFhF6bwNotYdxwGts3DRvxprEaK6hibo7O8RccQ
tpDzJkfUpd16YE4v3ydUKbzU219aYZjgPRxn53jcaCpefBubQtP2JJJl7tMj0luWUoshEnGjDvss
ImniCt5OftEWVojp+EzAqWx6b8DlRotIBFr474cu73L1IfKsqEvWKmYWzY/jZtBO+15GTITaLbSe
OAlV1iKIvyjf86zxlPOkwkpZQwGTfQarXQTi1GJeqZJ3JCxCknyIoi5yvFUXwRD4KxOiZaJcwGRN
Ig2tldh0ZfvBEBZLO4+j0llmtW2J7E/q0wzPS6NE68+N7xTFokQejJWlThPCgyyIDKYvgfwIWdyi
0FNMz4MKs1/kAcmYXEdBN60YS+oYL6YKausyS9Vk8nlb+45a6K422ABjhnjjsNZlis/l26kGtRix
fEWEU4UKvqTy8LQkIEgyMxJO8JCcB1T8hyT9tM4Z1xG4JKuxSkBhZbET8JuiQEJTrMswRKS16Bwy
qGIROoFoLCDIm6L5UkdZE2ZYLysYzWHQjJz0Z06kJpFDIJ2PlxI7C09geKv45ln9tMFkaU3Ii8HC
7xKdTkvTtgQfhYt1ig4ytLgWC3PczacsGSu+gXAL8DvR50ZexoJ7mi14p0EAubkKCNZit3u8sdL4
ShVZ0+S8erhdjAa7plzsYlwtRjH9i1UiPmN2WFqXu6W2th+/W+Tt58AU0PhM0TyFACSzgvZbHMo8
LA/DjA2YdEFH/IkL16fMD+1LJOC+0a7YAmXGtsZWQ+bdlP5xRvTgCZfEQTvI9zptDFappWmCj9Ac
HFu5AM3htdqN7WEKev0U50aho8q3i296u4ImhwbBrm3nFNAQOdoiN5nsyNHQOFN2bm+h3W4P6cUJ
1kfyECNWQiXT5Hs5BNinPimnxwQ8kPjlYApbBZ9HK+RNfYKZsml5txtpbIYGUmKS07eQsKwwDpUN
ht1V1cEk+nZBrbEb8Q+TMMPVyrJFFkfHIxWqzw99G4yWverCxkCndeRPzEfVAd+wVbT4RqSfYftU
AhErJl+2CHbfV+Cypy+k7fTCW9/BS5LZkzqko5jkzxrpB93nJvETP1xnvoPvDQpGfHYUV4Mi9Snb
7pUwqnStDndLrqO2hDh9yGJ8CTyAwcOjPIzh51tSjNL+jMgtctplXlh1Fi7syvfwcBEFuKJ6WSc5
uM0EhAEoG8AUNMfK+JM6N/Cv+F08NDJy1jGCxX44YbpKenNUc2On6SLRPElb16t80IZEkwafD+qi
wguCRpGcp0WD/w5pBxJN2B0BVVSAy0/O27j2QAp0ZYSnk8A37ReZeT2yAG8Yp73faZjyaN2zgsLC
OGWQNM4qSeFi01VvZZ6ujoWGq+r/smUfwd74iTFxfLSjk6M6Ccpo3QQJ8t2rgVdoRTrKowDLcchu
daYwToIFq7wu9sYvLHBMV38uWBd08qjeTr3XfoUlYnk/xphR7HeVWMnRJrBydcmn5SN9Pu0a8FXT
Ft/yp04Vd1gB0tBpvnUYUryU2OD4fBGCCrXcMBnBK+N6mzjTLiiLQaZnLCclPiEHMuWwrWgq7Kst
yTISkZTeusmK0qPHvleM+I5xS715SMvBGhaCx+BLPRIj9U1T5E7Zok5ATIjTNJaTPtW8C0HC+7FT
w1Qy6Q3wedUASxOtkdlOi9eEbKIKaOPE4OKjJPMxHIeVMMu/OoRnnnXSeVVZhueaRRNJaRq4uzMV
e0zWHzlorMFb9V5kDcFadrlIqiWoC9TVXQUSSH7lPiNIyeEMNcAfLT5iVjJLJ7eRCm/abiUtCTbf
diWj2oCJZqEdsvakG0XqqY/x2HTWZYlgGqzCmBdafoW9xf6yunzECkTcnubg5ZkF44/0cmKpkhDx
KiJrnZou/yr1EBTkG+8TmZxLWeSDt+bUVLX1dxeSqPdW8GgsEW6VgP+2Fk5CVPkFjGQX159sv4h8
f+GJgQX9RacQ2xTXug3bgv5VeQ6oicMybtpULyw6VvGXkTeUG7eBd+iR7BNiEFMqJXRDGuzyNNJ0
0eKXlmpd1aEy1S93M9liWeQRCOIFOoKHaVq35iZJ2sn+6cGfrAmi/0l5wyqdPpHdsvdeRKffCWJb
+MTgD9MHPQZ2Il0hc59qG2Hi5VBlH9Gidz7WA8lXERR10kqdTu/stixiSlgijfYJvLXlwydzavmL
sh9KplxCS9v50ATK74zb2RnYcz6MnqbHXZFNWu5b40QHVqgT4YUjLKuPi9HG/uY26g/n4C0nyeMQ
lcavuweJUsOlFdgq1uU2Y8vCaFSxG2V5wz/GW4MVb4nGAgfgsRuspJhIyKqUJefL1E8L47lBIRvr
sglFjjnXHap47UlI/SmMC3iPZ6g2mcRqbhXOMjH8iOuJZlLynE5lxmXW9dOeVN5I49AVQZWl6SqI
Emjjersg4IEnoxfjdhd8L6+IFZ0GlCXKeYL4miX04HJgH7CDKYybJD/RykGNGgL4anoZGCMhtfL9
HtrQGZjZwuKTBiUtiJfAbcNikv2J7O5hbjc9Hgdv0Rm4vR11Tr+XTW+srlKgqramMQIHDCmQB0CT
Hn/UjECHNtloJ8CzQFnhv3JK6+9VqDonLhwPoeTdHrHj3phFkXucv8epuml3axlMoDZhBIQNLzkg
2xnHx2V5SCGgDxL7x8Ft5I5EORz7nD6UxWsZBX0b+Zc4RgEzFgoyxeNVhTtiV6NB6PzUOv/8QHS8
gDiQjqYgF/WMV4yD0iZJansXRZ/BUfgxPP6xGmKYuZ1mPz5BMtF2P8o70wynW7gE/vyQQ3F1ypzI
7JOI+1mdyIudxeiCcSLtB8kGIdY9r5x2HeXeWH5sOjZEy7TJJnvOSpgGqxo5/NETEj3c6ZAIqdR0
MQVTWuA0xLwsNmjb6tTAiotkq1Qd4jroeN/EHux66LQhIAh4M0AzNYNzQGhhBZMgUc6KZly0BTL7
tUiZEbbbw7QMC5j6Ah+HfnjkPBwY8slFt61n5Vsz+/gk5jACOPwlNBsH1UHJEvxlrof7Bn63qGlv
tedBFU+WabwNhPJKZM3HwXIajquxnk91CRRA0EyI675v23CmY4kPn6d6RCO456M537m93g+KyLUN
LKtxywoHXP+754HynzoYoRhoB+a3/XH3dZR1HpjoNozOt24JQfKEhooT6EVWFZPDePyBU3nv3jbF
hkD5afo7WehH4WA0Z3xmN4x9WI4iPlKZVcZiodJUsa+yhMI8pYI/PwrQOajgofsMSebc1KUeTYfG
l/7RNhRpBdgR7CNapHh5fFaz2hq+HR0auGiKTtfj4K9MzQsomV0HXtTn+sqOQFPv1IrKeAoVS5ZO
6WTntFm6sFNeUuWqMkGlw00QilaLmmW9+hx1NozgE3JtW0TuLTg4TCzB7RVXuH3UwfVkD3eUbaNe
pMKgOixHagfViop+6pJocKKvMX9XY4ZC+8JUPjhf7abeiCzWrYVfk/QUUQRag/yFiXMwUu8oBydi
f0g94fvmaEDMIsy514cx6YeFR1EK+6sqihTpWRlRnhWrNGlGWi9sY8sqXTqlAAX4jvXEMPlBb+uM
sUSSxN57WUqK/iz2g1ajladpZUjA1URoITlCAqTCdJlYUY4tsguclIVhgRtvwx1kDg6cmLw1r9sU
KL5dzS5IKVwKUtYpPOlaaiHQNtRB/pLRBsuN0E826pxVyRRkWtuYK0fRFrjZuUPG0I2rOiWjm1Wl
zsKlzFUSNe4dFVPAnQfuLsC6jexQ8euwvmPhTMGFKlowXsh5YklXuWPwyDRGttOe2KiihP4i6VOc
gTxEnSGJks8M4bhm53KoNc+PI2lbE0lRtSX432GbH+puqFixDOImBR0MZkih+uFGQe0Yb2E1xu/s
1C3QXi7oB13oXHUrv4DRKT6JQbej+YQ6yFRpQ2xqU3lu6grFjU9hDhbcX2Kfo81hHZQFIdEiJQiG
/x6QElfOiZB9R78S0Q+1cw46z8s/ZlpHMV1FWWXZyNBxg1FfL9Bihhr/KjMDsF12PR3LwbUtMCbt
AiEjEc5i4IPXvYt1VVejizJ5FyLL106Jem0Y2NUht5O6+ybtNB6CpceRCGRuqrK0/DMDI2Q1rrMt
Be5sZIE6vS/fOSn8SbTOgkTSBtH9bfwHQn6KX4esnpzhdmskt1FqppIYqWSp0amTu21py5TAwvpG
QQwax9TtYqvVn+BcjHOZZ9pK1mkofOEGvt9diiEU0XIIO+8w5C07Cm02Hqdl3x6BYTEXqpR00WsR
nKuwTmxw2W35ycOmPuK+MJUL7Qu+RWWe/OnboVn2mnjIkRNWHyIJB9VFM3Hq5PZXE0Mdsy6X72QX
5kvFgwDo2la5jlTPV5EJm/djlNT2CtlCvXIGmyXYsTK9CvLmkhKen5bc8k/TtqpXogI1jgYZ/6g1
jV4GunM+qjwo0G+Qh9dhVXjLJMh9d+BZthSeLk6ckabrwctQnc5ywfHVzpAteJSpdYevPHaQJ34r
e9Mcoh/Duy50nBzGPUlGd9CRWAeRbS5zjpqBm4A6qlyLGf9z14/OJrEyAYqhST91Dg1XNq3tE27r
IHSNZbF3HPThuqwr9CpHyvsIUjNEH1XN9DVBCQp5FsnJRUujIFznQ2atSJXWF1XLQYTAFCyroW9O
WFUOsSvSzll4SnuB82fYUj0cozOiuaooj8jKNHmN9CtMg8FtcaXmjVMLlS4tzypPUo02iSUndfSx
b1mM/C01p6KqSbHwnMBs7KjK3/U4lXtaSTLtUE9MtV2/7U56hNlntorbY7Dy1kkYs4AuHVi/a9J1
LHPH0SEB0vnc+qvLi+6msKx+QUMybqoqMhSdDjnaGsexws4Nkjxx0clVNst87OL+RDZ+4bs2ycPz
gSgYYqR6i7ZjCTvBH3RJ8pOyL8o1zRt6KpK0d8FAfxHdcGU3nnfOCdSnrZp6CcrTDl2/T1u1FINh
K67q7Dz/f5yd6Y6lOJutr4gWM1g6Oj+APUbsmCMqM/9YETlgA8bGYGNz9Wftqq+7K7NOV+lrqVRS
KjMCNtvD67We9cJS/dkrh1oxhO3ezpXpwWb0dcHbTFWBSdJ3OOaySuJhPEgIGFUciuXRRWP/ODO/
9HW/LO3rxPz0STsl4mpyxtU00qqrOtwfnOASWiAmnmNbnbpyfSDxzIZ63Gz33gm1VTCfxBu6qk6V
UjZ6JDA3TirWZW10SM8pH9P3uczdbQcfwsIOSQ0uSpeKmmDCSdm0t3kZSF4NUU/edYBiqylRN3ZV
1s3TQ77m/R4LfZ7XhG/FcYkkewA/BOZkZfo1lqM6WOOiQ6ds/q4T+rri/P66TWIrD5NKfdVNov3u
8UAObCmM2aE89c+LJhmtdDrBSe7bpQqZtaec9OowoT6OqraYySsZF/KROJW8dJrKD7vZ7bvBAG9s
IeNLCuDhEGKnaCY3Lc+oe4MqW0d7G+i5/7KFcjwkQ0RBjEHmvmM+TLGXOaxIYcdL6FRZnx8LGEa1
msfu0GdGv4I5S3D/Nj5H4ZjsuzyZP0MvnB7IyPQx8gN5FkJvN+3cTTtXYMnF8VzwuzENl7M26fow
zlS/6LJMvya9xeIQT97epV5g8kBru4+Sxdw4XawnvrpEQk8qxwPNRdrg2A7yE3IMOW2BpreUMv24
xSV7LSHpfJ62cnnBht8eMdmKyxYFC9iqnO8HQrNbOO9RUi+CDE25+THBeNfjfmsD+dDDGnhonVRT
DWIl3Ou1mz6rxaQtDv3bdqtJam4AUPVQLYR8aZONCKzZwu2Soi+PEbzI2qotvS9tm8Ax0MG3gMZg
4259lm6c1F441OBNYSC1l7d9lthi2YVIVw5LNRBFb9dAtQ9Qf4a7IPXj27Dod/xMCwGaR2+zQAXT
maK7c6QDFpqpiJ+JVPEXE1Cz1gNbwwsQJPPKY2unA4uHJK0Ji4qblEpd7kkoRnIWrFQN/OV0qyx8
+KYkmyiqbluIrURCxzsZgEO48cFU4Fnn4bro24lYGFCR09F6GtNJ3CcuDR6LkXBV504zuWNE6aeu
5VbsYEV7diN4L3kT6DEDqUlpFBwKO8/bky9HbdjhWnqEDZkcXlTX46nJte3PPbQCPdRRgcqlzoSh
9gIVp5vrxETty1ps0tcyHPJbYIQ0atYIJeLNAoFgecs4TqUa64hWS5ajcGpH4E5Hu+TFOYtdOHYv
W+JpbCvvppCYc4zFLjyVKZyKwzT4UTfMzpl5JkHbdyCD2oHoSge0Hfo6SIl75glonipm6fAofRRs
hxUH4K4OiykOb1fSubGONfyFSzFgOW0A7m2NhOJ27uKF18io9Ocl8G7u7gcf5GRL8PjH0IkG+pHo
r/SYijNxvyxpVy6Nz7t8iCH8zxLzoYTtWpvIx2KXRmZgtz2Da1yJEfJzvS1uGqtEeBhShen648jT
TO7aNVsvPYd823SOu2PSovdzk5chKyDVdTo69a1WsElNVvgqXuHK50u83AUZcUUtOprOVZH2CSRC
aIlvkQr0N0tQmiRa+fggJY2SXWtZbOIaJRwLZA1mAIjcWhUsf/JBKgsUZqb0fKixki74BzIMOBqP
YRGaynzH1KCqrJ0iR3a9KKKC7VTsZJZdosDm5hUms6DHbirT99baL9vG2teWqS8tUVlX4Zggnlcw
JztaUn0IsXmEWCRyDVuu2G4GHw93OuFmb5kmtZrUpqoC+KiqhMjEsx6HvNE695UpeYr11S7i69LS
bV/IAfZi6+gFzmcZ1pGb16nZsNmkD2RmyXMBsEk33EKDwnjAgKnA6a3fIqn6RzWNc7mbi6K9neUo
n800L+3OuNbSE9TstqgC4chJyG5q4nEa9v1Es+exD6MdWZi86WkWXOLepTexgpkq2xmmOsGxqIlj
ijSpKcxhc3E8VHg5wSCakNhp3qkol3fgGtflpPRKKzKvoaunvu3qNJ+tqkgkKNhWgJrmNOf4cDsP
8f15o3h5EoUfPx06+H6NxqRcq833+g67PDZ/nvdDwzvUF7gF+oRdh+9NQfLajIq9dbyNvkARdHvA
ROQgQyL2hSq6h6ALdW1Fzj6Fo3gdOhBqLQ5u+yKm3We5xousskTKz0lI9dnECXUV1a4raw7R9kxV
jA/dhlDeubM1DuHJfYdjydmuEf/as6T40tM2+tRHyXpr4Sg3mZrkKYGU/QZTIO6va5pTVdKF0yWn
NEHdisXxOgjTr2l/PaT7UVx3bRfPH9KWAd8NOYdBC5Fb5qcxG7msZ83dAg9skxAxi7WL6mTAOlLl
Ae+yy6Dm+IMxtvRVPOAeqm4oWFn3+L01ZDmMCeZVdhK5iYsGR3g7aNRafXsWSi6/KZzaWN2rJAm/
YONddUWCcrXHYOnzZlFdcORTFr9eeYZ9tNneVNwH6j7LXPdhbKmwPeDkuZeGgtKSNEtuYSnqG+UB
u1S6RUlz62ajPvp4cbyeIX/aitvBfV0Wj7mCSYlzmlFQV79ZuGm2glNod2NnkzPE8xYoF3cbinng
rN/RWsnSvSjYcpN6nN+qAOXI0gx0CrJdMAmwyOFms7dlHobPhbKu7udkboYwmMI7sxbRM1y/koBW
Qg1X5cvKhsOKouqM1W9cd25irEMpR1B6gi4J5F3C1iioDb0Sgl6EmdppZZF8ACmDQVSnTLAu7e2+
tTksHtHXXY8iTe+ux1hbUz/xGDV1MtLt0zibsb+PZbTODU4VtMeSRnK5qVpHph38IQjjbkzvc5PQ
suqjiSfvA3DWYKxtULqO7mHk9S689EzmktQ4bbtUVWZjYjZ1gQ038w2Dr1YOlQFlnvpmtJ6K/saX
FJJOPRscwNTDYKFaJZUDfk7MXhs18U9t26eybVZMFdg7SAklo66sm2S+7FvUauPJMBOIH/M0O5vt
GLgsMe6yCR7gMw1jeEIHBYBrGRvt0yDsHjqjenwPaQCMy3QgrOFNWOD3+PjfRUCKEM9x7kbfEMVc
9inTWcye/xCRA3U1QpaBXCXbOKJO3SAPe0UKwDFc/RnMw6341qY0dPkBvPeG+TZFM+GfjVpZwKqx
hAAX4GRLuzXHFoHleHkzDIJCebugoHR3YUdCn9amnc3UHza4bvi2sOV1svtISjNa0WTDYvx4kxh8
vK3iEvTHXAPGSQR9TpZM8XyXA6DlyTk0ZvISfBRfUOPg7NBOe6XKDutxsMimBx11iQGZoXRXBCum
JxxFVJke+FII7xXUYQuFl9dAvcywprt2dCkfdmoFCUSgHYyyvN1Q+pU7Ggw5hTtnKVGmitKJpLvC
b0l6gB8p3lRphtcA1M9SxRKhuCo1mDs7UDDiWzj2qLJA5TPd72Q+E9ZYDX7GVVs8wRTdcuN/p//P
hLf2ASKuPUKf5rcypEndx7m5dJH3YqcSAYjMEhjUKhieO+LW4jShhCuqZFQ+rdy49uNBLyHoSleq
dURoyPbf1BbSHktrKmiVYx81zZJs/mnmwepQIATDDhUoToi0U1l20Hm6iIaK0n0EG3VeVVG7TtFT
2fM+a1Y0b/uq0ZVQV3NncTQYt8DiNKK7iO1QTuj5aFjW229t4K6KCyrqeKy3nrV75McsDfbCRCWg
oXgiY03DVMpd6sP5GM2y+DzYIYVgWdC4lTUERZ7hhFr4+U6UeWiaOMzM8glIBnCOSivQfzVYk8mi
QIpi8E4Qt+5anLxFlU6owy8ORqCr1qQvdkWfD+egnSUQe5Mh9AHmTwkgJbE3c1OOGYFVFizsgDwF
vpjCtUGVgPk7TmqYutpAMPvYAFJgbFDyaIJQ4nNuap9Hyj14fNlNSmhJdh2Yj+8BoCqIh51qbwMs
w/MXHC5X9lh0Ql+rriTmR1Qw+VmnRcY/sEQm/pDYtHuSa0IvwDfbb62O8OTLdXPA6KiBMrJt3FWK
h+tr6TLzsOqB4SMgXgfXuhASq2khEKLoM/IUQT4sGtLJ9RRBtODNCmbntzVJkW/M+jk9jmnXAZvU
2fNEW7lf4jH8lOs5qkgBPpLpYUNyYN58hVyWv0PWM+ZNbGaLsNkwAtwn3BJ7anMNam4eN2CqLV0d
bpcMV2QDp+FajYWP93Cu4P/ijfF8blqbWCy9AXIYvFpUAewxaecJRcHo50tilLlt48iWTZi1qtgD
0FAvqysW0NDLiE8JSqH4kmpWtpVAAX4/BdeKd0b37LFCTe15lfeUAJPpJ84abOgdiDDIJQ+bgAJQ
bblS+a63AP+aJBR8t00OP9NmwPyAswjV2ET9WGc27mI6u3pdMv+5wGphb9wyatUMky2f5kwvBpfL
sgkHAg4VSMTykgw0vinZ0BfAl6gXlY4ouQkCFn/4gfdnF6j5AQxhV4NNi9+R1jEj/I+C+Jpnc6fr
Yk25b8zqu7kadLnQnWG8HLD+6mS46aLYZ/slX7O3gDLl7qBc9QnEACl8NSgRfeYEJEYlAIjcSZAv
4a5YM49DAYmRtphomImdiDr20mdOrzX2TVR1qM8bluipvD63/H5NVsjQSSzpXTmI5NME+qOtrBk+
J7OQn/QiZYU3CUN7BOkJgKu1GPKD/twGa9iitnJBHaDyuGiD2NEM3eXL2JrgpDtM6kbzvrhfzCLP
SzYhg6KL/ha6QHEMaFi+QTHmBYZBm3+oeEt2Lg3nJ6t9fOrRJzKuO1uu12otFEB6Rkg8xTyXxzlh
Y95sJEDhJDhxhzGL7fCEFC9vNMStRmOop/WUZGaH8iW6Gb1kYBbX6BOj3n0idIkqNZsQkc6s34ly
oD+AO4dNmqXLa4ly/xClNPqQIOM/hfiRrAocHhyiCJ+QBSovDvDBQdkFs6407wCnlwdlQk+rcpFh
hHmwPZA26FHRRKk4YD/QI44Zc9KUBaAZ/PTtOsX6tw5iR1M6HFQmZJ23yrFIvgXlkD53LElFnULV
Pyk1RrDoQID2SfLVG6j/etcr6EH6AxtUL2wDbx7pqk840UqhnnQ6yzS7Xzo2YZWf0Q4GzJSekMsG
vOB8JyZ4DTBC5X3qgfj4wxojQxI3iQzdwk6hYaLbTgDM/fJKuVuzr9mYyv7YyVIsaU1THS5BU9os
XTUWrx6UDbw2cBsdiXgeNgACow1lYxl6Xus+16E7Ge+gYlZ57LJ9mo5r+SUfxwWLyqT6wQ1YxzIW
Zg3qPPATTeDztgVok4L9AiaNMh60l0dGG5MGeH2aAVFlSn4Pp8AXcwOjFQDhblar7xmcVN72oJhU
S69wO8bgBBuk7dotnB5tUi44wvDE5Vq/yXKltmtgEJc49yHKxF1313VyNrKZV7yPJ9qFKjHz9GH6
zUa+wm9R3NerTFGSVZtiWBmOFPHNjtRQrK+fJM3bkAwH1jpbTL+ZoN3irOK07PF3YPSL3N0Ey4wD
803nZzrktQtJWdj939tzPzvkcA1BgFx7nF+TvDBgr4H/P7uvkMrKJUR64buQ6pptsn8wLkk2ahjl
c8FSAyTNhi5AAIN3sOj+4QZ+trevNwBQAOFdtFmDSwhT6Ocb4JlHNqrlxbf+jxsQf5AnoicDRlwg
4Yv94ZT+q3/Cwx/O4x99AL5KhWRNy5Zf/vh/X6TAf//n+jP/9W9+b5Xw339Cb2QtZ/lj+dt/hZcf
XtvAzr/+o59+M67+r7u79lD46Q9/aefwPzRsePo+m2H5H/7yp24OP3UZ+c9uQNd+BxHBq4b/NDr+
0s/hT6/a+O9eDv/6qX91cyhLvN8TrQkJZuU1p5fH/9nNISB4zSFeEg7+A8P9974N/9XOIUn+Ax5w
DFu6ROYLFCNGIWzba0cHvCUZ79hDhhoFAtodYo39tzo6/GK4A5BAUinBG+OKLEJlFP8ynLlH/BqV
jT5lIy3KpgP8/BSyabsA9VB7OUExgxxahB9zUNCXghF98mKk50Bzep51bGtE2SOU1fl4QElu69iC
oanKsg9eSiXmpmAq4zsZLqSOWOfugUGb752Oo1vH2uENR6BlB9EWiCQT9CJD1FPNGBdQTCYIZFEb
6vWw4Fh0lJPIn81o3D8gT1cc5E9mO54Auq7F2H8Q28V8+jVi2yHsbqVVSI3oyD3kdCaH1htSx8ty
/Vy47z8NkX9Npj830fh5/ma/X48kIRZTgEbFX4JvcRCFru17dVoDjYNrO3yAQ7Y1FjL+D1f6ean6
/UqgpqICCxUSafGveNFm8gh2VD6cVjrNTdx1viI+Cw7Y0/izjYf04FlHn/7tj3ddHcMI7yXCMA2v
H/9PBBksqHkV4zycTM5g5QVGd9WMVE7WGJfBVv73r4aIHXCR6BqB+nUxbEmJwxMiEyc4+GBiRy22
PTagaL03A3n5+2v9imtdvzlSYLYCMAvJX3N9rm8HJvqQnybmhqROGJ2HBvSEBCeBMo955u6NNtHt
Ovf2uA3FonZ8zud/+zNfyTFsAyGIOzSz/4VvGqK58MIk3WkyvWCNA03c5IinvJBcyX+iZP46hrIw
isAT4oVsZZrGv8BNeiIwuHXenVS0bY+y1HOzBJjBiqmenfx8ddThVvTl/+JDYqeFc57ngC5/DfNB
X115i2LqhNwrVFaLb3NNzHptHwAF5u+/2F9m5LUHBBqNXd8CjK8XHN4va2CKM3uERC8/8Whq4eN5
UD4q1P6m9Wvy+vfX+mW9/f1aGayoFK+yD9HX4ZcvrxMLWp4gY3za/LZGjaSFOA8AraPm76/zM8iZ
/XGdBCQjaNXrcI1/noYmR/wgl46fcE5BIeZWxGsqOF9xBa4ye2aciwUK1gLLdYPNS3ehaBne7PF3
YNwvY+d6D9cO8CnmJ4guBDN/vgcLPQ1i64J7sHPbqAiwdtVuQXuhiF+eZVtmDQ7u/h/W898f4Z8W
9OtlkVTHBwcghz20/OXrtG1u5UYLfmIlTX7TXS7OKG39nepGdtCJGmecNaUbq9W7tkBG0nh7WvPR
fYty0MVflSXi3AOgOLbIPZwpp/jf1gWPf/90/n/3CaQXpQE64KUk/JUbhElJVzRwCI4hAu8f3psU
1eQ0EHxFAwzv4wh6qqh8h4DbLpBrfwltDIod8is9mV6mN2Qh9OTgQ92RIJ8LJPCZ7BrJCATMv7/X
v47aElhecsVxUZH8BXEM4YHLeVj5SUBpBC7QAoeuxxl8yt9f568zsQRFc13cAExigvxa2wYxHkow
c7xPUG6PsPoDDulBZjfDnGb/xNn9Qt9inJQQnEHeAu4mJTp7/jw8fTlf4ZoOyzl84qYtqW2AYph6
wFTZ01i1tXKrv4mMKz4HYmwPMNCWf3iweJHodSb+PFwR7wd1jXoeX/Rfe2ppBWBsiumxMKv2p6vL
UlYLcYk6tUZtjwEimx8Zo7zm3AgNM5PBGICnoiEyQMS/meGAnYkx/gE6ZmyqeQJ1V09QfHkd92K7
DGymZ8anGBn0hP6wzgxvpR+2yzagHVRFJp0/F5Prz7EosxsLhVlVs1jjp8z0+TNw7xDARRndsjFF
065Q8eAlKNbt0bfINkC8YvZe4OT6PlAffmzQoi5zAMOkIm6kP0QZZOoM80aAx7OKogVWlM5AoZhh
VVJccR/g/yk610xx+s4Ijb6iQ1nyuiaJQjsDakUA5YOmPwa7pGsjQDUyHL07dmkTzOw0w9ICpIR/
GIbFG1Bk9qOVQRnXaA2BHx2hhbT1yklr9iHL08OKtDcCMoWbv5WFAfTWTcVnpAd1+SSjDuMNs7/t
970kuLxSOngs4yv2Gc6m+LylNGvQYqG9FNefnTOJ2/Awe3YTX2fYs3wIXohM/AX7zPA2oQvB/e+P
l+brsotHFj4Ck2b9WW7FwE40avPkDBiHAaNEpm83baxTu+L31Qqm9I1eNqxQJVKuX0YQncA6kYEO
62GINsSGFJ6dz0o+1zoM2UvqePobcJshqOM2HB+SPi7Gpkvxe1bG2SVHi4UGfDD/gNYMHZtq7dsD
QfuarUIcIHvu2iR5LZHGjqsgxrMVEFU/hlbE+0jL9L3L0D0HCbsZhhvlYntEjBfw4NJr9xDayd1z
n1oG3i3iX4Z8wdIEz+wtAvIy7JLrOIQFSM8lelG0tWflwuH8RihgIiG3/Yg8iKkKsWyXFvlvCjCI
z75aZrs9iiwIw3oTqHPgeyhfd/gAcwXVaaP1jAG2Q2MS9c7WNjwiU47Rm/Wpe9DoG3FVlHFiyDMZ
vOSsxwML29Rf2mDozn057MgW9I1D/OcenTGm/dIV0bFdN7mbZprVPpD6sV0YP4Ww9W7Wdr32hBpA
lMZzeImScTvDGs+PeJsNfWmXYgcftH+f8rG/eFytpjQr7sVWHBD8RzYeUbtDyLvkc1li2inoV6GE
jxL0JmlAW241XveJLmz5qPfEoTlSCie9r/FU4zeIw/ccmu65i4B6IqC4Xw2TZ4JJUrEAMCSoWkSW
BT7W0JcI2fRwl72FrBrPsOCXLP2sEZa5tILfa7eUlbWJa6wvU8QJ42SfTfw1BwK087OKb4YMPf0M
SG+1jOuhJwKm8Qb6jW1hDo8Lzgsn7Ano2AdR8bsywbzrApEArUjHKt5sfArC8hNYIgq3JFFD7V2J
Xc0AqBFJet6SMqpszO9YztemT/MXa+kNFJz20wKtcsdS785sEFiA02uNJGJ/l/MkuSyANR4jPszn
AGR4s235LVJ7vgTCJzqwWv11EWnn71PYq6OPJKDfEf4IzM426c6RTGVU0aAtbpGPxA3JIYVhbX28
vWZbmuzdOlCzWwAc3iAxNt2jUEpZs+ZYL/oiHF5BZ7QwWcL12csM9YOcFXRzhOH9pS8gsVKRF/u0
X8pvneD6hKCbOzH4qLgoquiLbsOnMlvXp2L1fpdsoNCu+09WgYuyrOZqEg/zUmx1gZk2nFI40XEV
90CEtUct0pcOe+GYw7cLC46laETONaXYEYqWFIhZ4uhjMP4agTJvT7YwPZjVpjBkVSwQhV3eimGb
mmjlYMFAcnX1FcHumiXv0Wgh62JxA0W9349dnz2E6JJ07ZXU/rZ07Qrf0DUL+Kxzt5oQdhxMiS9J
52ZaZWM8c1BGOjiNyLGekwl1O5iXcj5uVmBgdqgdcEQYgsfB62InPIhgWWZ7EIj2s0nH8seCXmBo
wTBG8UsssuI3t25kO4QZD2pv4IBQaVCPjW46AvImdy6Y8keg+L4G56DqYJmKI07Q5EiAgC2Vioz+
roCLw1Xq/Hlakgtoq/BCqF7RHpJEt2jfMqKEGYuDKQbyCLsdxhJNaILDf8dSyBQ6egl4APUBvu0Z
Xyp5hju0NdiEgZOhZUv61SFI9wiDD6oBsJSmlBNg0RxDIEdSrkJniuywFqCP83KxuxUYzGvvZ/mA
NhPoVEmjDr2DpviCJ8ibRIDlsTQ6WLgm54CMF/ReCmsKg+WhnYbsmCHScQtQZYY9t2XPNJuiRpSr
PAwhzLJhm8t3WGkj+pYhaW/nlSc1xHINCp5m5YHZEUjLuEbwk2bavgGMSu5MWMr7cKMo+0kicyj2
QTfufB/ItOKdHQ5DPxafwSZCxJFTe4NuHKVsKE2Hkw+I/77gOH67JKt5XFJ4klWiiJ3roB+xp6dk
1fUobXaHE7s6AD8qcACI5HmI/ILZtajL2onhQeXZcl/ODvzUNDOCRl7lUUDPP63lGFQW0dUbOQEV
6hB6OgDRFR/9OBVwmxSZfgORjY5Tedf/IJngoCcLJU8BIpY71Q36rZjVF4FfvdOTTIcasf14qGe6
2fdQpbCwUGMGpxbtIHtsruFST2wENtxt5gaoJsLastvhG+dgp+Kva0BUA94cdi+Mt3k3tq2/FMTI
jwIxnPPmOkj2BHvgxJLt4DNPm7Tsl4cotDNw8R5r9jRg18AioAGZ1jYtpj57XUIzFvPXPMVZEWj5
6NgPhrYS9cJB1GBiLyOOScjGTujGeXGZiu/4mplXoHf2I9W8/NwaAu9jvELujQu3EqhvhqYGhaih
iIzHIE/9OY470u5Ebn/zS8Tvwh4ORVDaIQIP28mKrz3Ym1y0dz72gGkG9KREKpOeMjk48Jvp4o4p
8iMXhJiHZkDA2jXo4ueRQTcGLC4WJwbjvpvcMaLrco60UDDCkerFcua39rlMutjXLosNTCaHbSSC
OoRxiVZNdTtvwQsfSLhHCxR8b9gUDmDIlrPauPmqcDbCCYMNzYj8x49Jl/wLkBwMZShK4YUVCnxO
EWt3zMOEvvksTt7RwyP4AWt/vaWlb1+ycYM3KPFrXerIazRyW8Um01+oStF81aIbCPyLVxTGdLfQ
HCH6fnrKk7e23dCgacPySgeKQSXe0IkAvRfL4KmwDihTMW6AE8t9ugU5eIbFw/xDgMOhOEEaAz5J
NMIhLHHGrsYklTVx/KMfYjai9SB6ihoGjgI+zBEhtXhv8vX7siXkgLM8jDUdk32PUFvdi/wczyKD
u2mjSmRmX7akrdFXNEAmFsM57BxY0kwczBa9bwq/mAHkPcR+Qkcp4YdDunD3POVoLhObsr10o/0R
qDCppk2AtbLgizmE3R3cYnfm2g9HEkIeiJ1FFzOl0WeHLeFHvyDUgzM+dh0UQufUSJgchKNPybrM
t+HiultkiQ49uihUCQquGodqgFaru19z+HUsdfkxQ5cUhKhsiaMJLF80msAGIemDi2aEg4dO7csF
bxrWgdypQG6HKOeyEhP5opEA2muv8ptFQTvY2vDUrfOjSYJ3nqd7SZlHnULuRjGfRTB9XsV2j6Ti
GR1OXpWmFyy5EIwGvtzkevvRTe0bGiU/oX3TQaGarsdueCchXw9bD5GyAOYdZeFcb7o1DQmi7FUO
XIMijj+AGqGwClos8iw+DTlMMBKH+86oG8eKtUJk7auwRFWxgKpdZQFOBO1qzG9bsn11lqN/jon3
UzGg968nvv0tVPMVt9Blf07BYFXee1A5PDlE284CYYInCuhjYbfZ9BqW1rwgmkR2bObPRdKyY7GS
vtaTNZ8CYBA7t9rlaHGGuTVAo4/g/a7T3IfnLOHFp3xOxwMXE6I96N+nT+glA3l0BUlRy4Iwd5Cg
wnZoZtKn1YamrLeLzRBWYcI9ZXFOvoV54YNzoAYIOlVP5jI8xDZek5ulBE0MwoxZ9zDE6MeDThtT
3717iM7oddOhR/SpFQtGdLHCVq2gav4/9s6suXHkSqO/CB1YEtvjENwpUvtWLwhJVQUgkdj3/PVz
WN0et90x4/G7IzrcEe5SSSJBIO+3nCskuRaprK3VJWlFNcWd9r4z+MYFI9vP1qTU5DUHh2jqQeS7
SfMQp3Ow4/cgybGSY48PIN8Vi8GNAwYRmnQqhZBTMRYlXPbDuuL2gs509TQWYnzvoHQMokYNM0Zl
uyeZ6fnS8Ix7CZp4ORvCZUrOfGODA++ZF0lrZdz04cLYMZAhx7+DQF1a1+nEIqv1Q2p7upXeYt2Y
Vq63VtLmxzSf4nfgWYjcifCtB6tz+43ntkwiiR7Nz6qaPPfcp+N15A17stapW3evTTlydFAGlaba
ctoDZ3v+asOjG5NWDOh0PBJCs5bPfDV5/TdPFfY6gzvir0Ra37mtjnJrLA9lTRpV88g/2FSWo6xz
4qOTuogCHUN+MOCM/3Jqfn2/sRYGEVWvPcSeg2eTq3GH31m8/fojYVDYD6bH2F/5Mtz5rqv3tpPX
H13RM4MReUMlCOgQTJpjj8GwidejS+8xzHkxszYlvQSLZPtLKK7VjI0yV1dcFbqxKmisrbIsDXcG
XWDi8lN+9HRf7rzC7V6rrOcXyCR/I/cRfd8hvNy5mbLeisHkXSfJy888ze2hdcv5Lp8572ojNfc6
HzSxpGXpcXz5vYhkxU+1y9jXXL1sgnaygStYM9sPg/Lb9ZhfmwaZRhVBvORmQNJpFZttuK7E6DaH
PAazwvVvauMmrJL6A/Evo+QhURQDfQpbqn0rS4WEz3l2EFUoE03gJyfhdqOa3ry41uSeKqlxyLSL
eBXr/PjrujPIImxHyTvg6F69KEJB93ixHmMSICt+vrSOfxol6trKYMy6V8P1NVEDLhtw7nveq/lC
9puXDZEyElatz3ZpUeq5SnEkMvXZp6Z3CwwtWFdVpree4AroAT5kq3C8/oVKeo+JHRqbMCUVVKsK
Pd+vg/Vc+uZbYfIleSnag19e/2vV82pZHuD1iA3Uy3nkL9osmtbMupkM8y21XCHXeZ+Hu6zjuk8N
jteWj866/iU8WYYd/9SWQFSSXE2O5i+Vs1F9ICWSLeZxPj5T1bZuQmuKj2MaVx9xapL9ilM+OiAe
eTOdAW+SVCvZZav6yP2uP9BtMJzV0o3KHOkixtYDwwG/YWnTIlzFxD85AcdTuaP8ad8wt7SvfXh9
eQtT5ceB6sB57Cr7AbCI5KTFD253efq90EX90QQZ33oml3UEOhcfeiTXgoSJ0X3oJYkSE0Wub/i6
kPjNiZvv5+B2Y5RadN3qvv4qgffTUYqDHTWM+Gj2vDt9H/Nhn/FKYwhjKBZluOtJxW+SylvODhL4
uS7G+L0lX+RG2tPWSZHaugXoFR9d5fCT90w+7rrkdrgzWThNGbHlLXavV8FE5fXGrV0kBSr9YwRp
hplwCgeuEl/D3Tdl/YEVSUkAL5bPdNW6MTUV5W0H+mXvoeCVonJtPGkGgp9+XPMLh/31GmwhcEc+
qP1jltgEHQNn0XvDHyjaBD5jX+Cl44/AY06OGDDmt67K5m/zGOBCdRzIYS3xkNmkHCt4MtayuSE5
V17SqR+eyNwF3+tRxD+zag6Po5sqQiATTyaRTc12cf0lWYUlV8AYNvG79FyXXFrrtPHarxC416rO
quV3+fk/QYff11b870EHcgR/Eur/knP4L/Xx+fH3bWe/shG/vuRvIQdBJgELVmDYkXbA2P6fkAP5
Bz5AtgO0wKaJA7jg7yEH9zfWmbk+yjusEaZo/KM/Qg6O+Zttkx/DyvFoOfybIYe/uhceJ1R+CtOG
DPqXxIy0alt0jjD23ASEZMDlKh5C0T396TX518Y+fgJWG9FLQhs4JTim/+gnaKtrF9qBxh4yh/UE
IpJMJIP2bTGBG/8XluU/hRau3wvstnPNbuCOos7+4/fivQBHNjrxVeUKb3nqjWcIB7RJNbfP2iuy
f8WAcKy/ejP+daEEdjDJJ9DTV6Dvn4z9Oe8QHvw23pMZientNVV/Q8M1oT9IZ88lvTiFLyYiiL01
B3KpZM7h/e88SinlrnGTIXLHUXBWnksSfjJr92E1c2tbwtb8LCFM0IUje0F4NtxNus12hbeg4sdz
eSQ1WdyrHCq4Mtr+2eq98giLu96yryC7xEufXUQCeX7tJFh8S0OmMUs6iKd9V9zbAK9+0BjXL2ku
kAbq5GwOS7aZfFVGA23EveaEc8b79oIolc5wb3dD8ZOTe3WrnUk+22i2q9KMFSopM5yVIdjwEJn2
ZhWDENeNvQtGE9QHav/GSqnHqN7pTr7VVxcy0TDAyBd+mCox9vh69J1aY9o3C8G6FXNp7EWBYVdf
XcCOEk8XM91ZzVRtNhPiYhuIrdnZ7XuWG+GEVJ0i45KqXtCiu/fQtd2lw5ep5dYvfTSgKeY6j8yU
lQkr0ynKz6H163fJGfhVhrn9EBKhS6PJ7MLvMoCPuoKj5tODtpeKI4fM5m07BkRPIdekn3mqAhc1
QahbU9GNicANVDfYVMNpoQKBh6ShX8dZS4Pq2mSWGo1K0OG5hWj2kM4ZKtYslwc0UG/TWWb7Dgt4
3Faz2W+D0TOuyqdXfG+LIt2lZfq1tLJeJ7CYTuQ6kA4t7abFpuPFSctYnRtV6Fd2Ohj3DjsEbpCv
gm7VzVZO/Ws0jXWeydjETDIehZe5h1iYAoJH2W2cJctvTJkM35PO6z9za5FqoxPtlRujz8IjL0EH
vtT7anoVTdbUXsrryYJFM99Nh8cqAukpNvp5lefJc9hxFmx4SO6MmkEWu2vGn5pKZh9hRvBUvZVf
9ydptIJ0T5/AvzED+YEXGfOH/W9OjNqf8uCnuus1D/Gk7Bsv7e54fk8WuSlfcGnz6UE0GVkEImA1
WOOPufCNrdsa/Rl6tP7sr0cy3ln3s6bofUtSGb6O7vsH7HY8rz54gKWWbQZXvyGXOBdbp/bGXnR3
MXytN1PoTY8oR0OUWOG4XQpxX07Fq+/Elb3PKLuNYtVTQFy+Si+DqhCPA7lNb4CCoVbI7bZcaZoK
6zwpcnfDoQsdbVENo2MwqWU+IOqwYCVK6YGaaG0kNV/yboK/CMll6KaEF6Jq1tjunXwSUBKTXqEi
4dxMT/7Sp5uQiEvC9EO5IzJiODorF5vleigpy900as9/mw0BjxY4k00VLJg6c431tgTbTnZZI6Bf
9sAJ80knD2PuXsm1dTYmF69pGcGqoi2nu4QqWeCsauT99BTGxkgUAi6h+27XFIwB+JSxkW6mlu0f
L3KYDHdLlcr1v/szLSq4BqBVj/nCto32MS+AoZBsDrv8HbczfwzHItu1ZsltuCp8dz+anPb9eEFT
jh07XlbTgPEH1YWT0qTHaUAyYCxye4eamB1zUJpnd28XBqMe4jgx9kKH1pOdVglpqub6f/uxFz8S
Gpi+PLukYsUYUGM+OM4B7Y7vi7S+QGVR4lB3ZnkkbRxu+mLQ6MRNjJZJK646NUJQf/VHn4Hc66q1
ajOKUHXYI72Z+A2gIgiWx3H4jSpyETW9UT7qDqY0uj+u03ocp+J+dkT9Q5BYveEHyZJtDnnvVC9h
odfANVW6aWGxHwJThbfKzbwPVdAlAFE7Qnbv/OLemHKfTAHgTgQy6KgpL0Zf/KTerV4cFKY7lUsP
wrQuqsekSAE2dBwjLG4euTfwuVXrX8/x/5wC/9Up0LOulP7/Sfj85Rh4+ii7j+4fErK/f8kfx0AC
razdhKIIH1NgTl3XGPy+uYxMo/0b5CibOeO6AenXgeWP1WXXZQZ/O/ax+owiF9h8worXg+S/lW3l
+PmP0Qq8C5wSViaQRSQJ9JfYCrN5wEKX2TsVNkMSCwR8a1p71rRMdL7JKPQ8SW0dD0jSgBviS1Uu
Fj0mdr2gBWj6b9ajAoBGCKjrPKedN4bGK473QTxYFHWd0aX12ChdX+AXcjjcFu1YiOnSm3mWziuC
2hjGojM8eP6UOAvvZhRN9wXSFN8k82PkcMOndoltqAioLVvY0msc0OXRCLS2qMlxtUdNaJVms7JB
9uudTRvMvCnhtbiR7MzWWPkgxrq9aoKhuZPcLaF0xuE7yo+TRm3XDFbUtqOsT9jK6ZWaHr6RKBEV
32Lx9GYOlc1xzPfp3zpLWWycKgtu86b03hvfn9ZGWE3fMnpUd9rt/W01MKEi87T9CkDF3K8qJzWI
q1QGTg+85IOkQ//N46j4Znf0XlbUpsKvKgy+1LxcAiptBCzyYjnwP/F55C54m7FXaU9Iytr00gmj
+dojwjUOm/sBIWGKzGUxEZSTMVsJEvcFTfSKxSss5OA2atHrKw1d3MH17F5mIsQHm9vNTmt/uQ87
e8FQkw2hmQyxnbU5RrZPlcy+cz249xLgvLMZK9u4TQtMJuDm7b6r0COmuC+fUu2zECMYqrtKCz8a
4bpVkWCLyFm4o/1qVISS6P5Roa7EVTFGTIkwu/zDCBXmpKg6jfhGYthYdjlsKIGDJzLieetMjmYf
HAvuogWo7DcDGsw24PG1g8ivDxC29ZdZ2P4h7az6ke5cfAGSUt1URjIUO0yH5XYetDda1nYeRW97
+epv/+65947p2XDtmiBTZhY+QJZmDEXZHiWS81Qei7ibVLX2+7iR4dZujYfAsK5VIDgU3aQ3lHIs
8+s/d9RfWyX/1R0VSMz/dUP9L9ZQ/OWW+utr/jZYh78x3HmAjAEv23D4/j5Yc7P1LDZDEV1HhSXg
zdT7xx3V8VgNCvuYECQ3UkH65O93WIoFzOjXvBuDKhtYgn+nPYC59I93WPa28I9zRVhaEFLdf+b1
ccHaorYHcSBQAevHhbqIITbuNBLuUSWNu+eox760apqW70C0/BuiOfTRA8uaHqpqgCPa1caH8hVN
cFKtFw279smT8A9WXu2xwrET/iVVY/ewyDF7KjoXWtWAo1IknvWtqmP41NKXR27/KPj0iThTyv1s
BPjfmUQtXtHW5/NU5wYR+wTCVzzn9iP3zPxI7a08xb6jdoPT0UzFcq1cO4tCFdOUkkV6tLDTD2VW
QN0uDA/FkvDIEbw2eKdYkRmqA7WrVRDeLITwsJC82b6fDRwpP8sJCC0Z2BgIwuNqrJxma/uW2lmV
nbxZYRZeLCO/s2aayLFtPfExr5Ba6W+WDQQCxr/a+eksC9XPYmFEROe3o7Zoeyh8luC0DOzRES4t
0VZlw85VZv19mvgmTsuChiZr1a4cqvy5EdIjRsftZlcXs9wDcAPzLSb4Fv5iRb1lD69VkMUUCVOe
SmjGX+EyLW+Ut517MifLHhRLe/FIe9yTu8Ubp7e6hawxnCisN5/FNRoCQ8Df1iNOgm/l/BrJPK9E
Xqr9WE7ApHIxfEfxX2WtS2gjrE9sWzwIqP6bgf0iAOurct258bnI6+JgBMaBzieBzKZi3BvbZtc0
I6E+qrfUo/sMLI2YdlD5udWzf++OJWja3oaGxIeh93WV1uVwgvkkX5IlC9/9hliTBLuPgszYU49T
8xTGIjsTZjLPTA5U+ZmRste4F92NHEz1KCpR72gj2uFqYgnI3p2VL1e5cpx7vfjZOUmE3i6+D82E
IdB/YOmeRWG6b4I15st45b6Zd2HLtVIlvRdHUgv1NcAJvcRsNN0DOnNOpPHUrqg9ev6Bn701LHC4
lEnt3tOZ1Ps5Xej1G6Nzsif3CoWuklvw792TxCqO4A+qQ2EMh7qMr0yS0g0udlPb7yVx+nOTiJwo
u6r3Uip62wWMju0kUvdW1dPJTifB5di0e8PsacQm/Uc6UCiE3pNbG7uO/Q8YUT/cZi4OyYI1WSyF
e6iaWGz9AKNg8Uv7xRH5F9l4HD8jEfa7H5RP1ejol450Hm3v0ryvUg9XY05j48hqGigl1x2Ml3S0
XCuaYIR/gKiSd36SNxT7HCf8QjJPd+XIFyU6U88BD69odAz8V44KJ5nwJhIJxUkdoMsEEPBxQrse
vgFC0KrPrae+Kg+JPXnHipJpCSgXJd3H6c6UzO/ZQKUe3FjtvYWcghfr8kC/ky5iPeSo+6Hz3lcU
AHxg51toF80an4HkUTnLB8Yn8UNDj4icXKaRvrZaKPXnbxAi52e/rI17AlZVxBvqQ1JPc1BgNNjv
jHbeTsprTg2SiozCcOv2stjx+DXPNEcVbKT7MY7HN4NFsex6cax7abJ2oOR43EVqMsdLaY7tl9NT
nkfMWE/m7O8AbswbAhwDHqHvBG89W21r2gpaZVQ9lwoS+ZLc6q7Kd4QzQWEuSOlRO87etUcJKjxh
zSdGUUd5uxpQ8sNwfE70gi6qcoIuqk3A5xDBViu4U+YpqZv6vJCi3ViW8Sbta+qYgISzIbnBbOo1
aB5t6UXKyF4RDsyDMmlKVyYuri3z6lNBwT/FZNLvXXgDh65z5wIj3+jvs57ope+XkUv7/cODjbiT
phvcmZ1X9FENS+ZydRJwcgqt8HmVt+GQHr6EPDUuGqjiK+JYdlPo8Vuoe2/PE1FHdL3HS5eIjEtp
kjed9ADyE1m6KUjX3/Uybs7SnBoq35kC61PUmwonemth8621ndYbt2uc13wq7L1HKmPTxkG1TWdp
/9B+MpwndoZ+CKe5Plzgub2lhEFxsKxRrRBKwq1D3IY8RgqTYkmmyLDi9M6ymGhBwbirMWnmR3Pg
pS9TV68xLOtNN9vBKUDvpaOhqvTW8eXEhWZNAFCFSwLZHAgVJc6wK7O5P+Shrp/VAMDSquWGNUf6
Lh8JG9Qjq2zZKmYSeRmMUgB/mrdeU40Xa0zsY2gl+TeK0fl6QuUkXMXjNuMjfmJPZr1HtWdNU960
4Xvuedm6KCfzTcVIvdyZSCn39nqxPfdOD9L4qoVvHmv25G1BLnW3VlaqgysMNgqAmCfjNwXPyRTE
W8tszMd0zOB2jD6EpAU019ZJ/fbSLs1nCQjhy9QDt/+BkDMF/VkQsKcuvyYdCqCwM06EbmwwGCW0
IEDx1cQOJ5I1AwTEIs/Me0T4lme/lMnTQHy1WckB2lhUYrDfNwTn9lXKR3o1136eI1e1JJ79OGh+
hqC5DqNKbdTXybjJIH9BTivuxrHM9707vINvQZmtrhSFAK2TCIz3DgTtw4yHn0Qo39kT+VBaFPLZ
V0KIxGmKQwuYYcNCrSe7Sepjnfr+01jn9ksup/ILVX1+bWO+cCw9fEQvW3pCA3XCbzEc66Zrxn5H
VhSS3pmjFo39Fch7091kdtULuCxZejPbrg/KYB6Cu6ZvFu+t8+KfAzDtYK/GiTcOpcZGD8d/iOLK
3LFypda7Avv7nNWNUb3X3EA5e4Xj2prjfNvkbMM7BkberrtJ2pDSnPxkJUt5HNrMf8eHbL6ZfpzI
u3hO1clPXat9As6Rxjulc4VSA7pLA0VNeld+D9K5M57dJp5dBHC2qmEJAKk7kDV3yG+ZC+TIqtyO
XveKsDetWlqPa1b74Wsm4pUU1LT3yCJFS9EPF/7kvA2B+EeMkgSTxM1ATxdJ2qjcVQ4a8AVAj7Hn
LPJc6lRtUtpAR54g7G0xsgS6p7KipLSWy4j+eGl5N4+6R4RPs+njuq3j2IaeseqEMeyscl7gnFyP
W2ytHNis5LSnLCMAsAX6ztqqKu73EF5FBBY/23VYVYxs4r7QJL1kYyQHLdhBBqQzPraFnR17E46l
pQhnATu9QVIGN5f4zbfB8VQEYmTZZc2YgeHowg3EzHjTZqraTLGoZ/aO5jzI4ho+H2/zfjBrG+fA
LnbswTZ/iiHmGF3nNZS3FaUr67sXlF7w2v0eIxx+DxXGDeCjnlTCr8Dhf4a4/88QZ1viumP9f5fF
zuB5fsDM+PizMvbHV/19jmPLJYMYIwxqlPjzHOf/RomfyQ7ajuPSr+J7/U0ZC3+jNM4mJEF6MeQT
jqP4h1ImnN8QhHD6LazGK+/F/XfmOMuy/2mQMyEUo7ph29v8gKb9q/v6J3fPIVkAgqI0TyWfs7QZ
ItQ2Yw0iFr+vZxPNJhcObLnFIeq9JX4BodCre+fHzNGYKobOSnCHIGdmPh9htWocqV9ZdicEkTv2
uaynzvpMAjt5LubBj6h2uq+jEP25YTfvHeltHiBZJbnxVqnhUwHhP0ajN4f1zgBQt2/ZGXby5ayJ
CLv3qu2dT2MS8XIyu4b8McNzfzNKdI5nJ48H/6bTcKu5gXjTALiIIeW71AtAZBsITeyhuoekDvXS
TWudd/i0relEnKeG90m6E9LdQO3onDuZq1dNW/g19wPXfUxiNDwSsnRxNrWKs2cLZO4qSdkDGbXk
pr2DgKn13W+r5tFjA82h86Ef2bP8rppw2WR+BjLObLATSV/aO2lnT0vu5HccfmK5548458WXDJ/9
7GR7AD09oEy01E1vGR8znZZVYALSO7QdwGtdhs6moV8IdiaAMKjZyuVutDC6B7pH7hmi5Lyx+sG3
DiyLbqpTr8P4RbOK7LG+9lXafrGDQxv3jrEGi+yqa8nu6ga0sXzjmZJuDMcmh+r5Pq8Bg0CDc3v0
wkqRxgRVRUtrylY2JY/ruqplOpHgSwIGgjrd+JmnH5qSc5i5i5Oi3ecWKlWPMrey+2m/0NwpyZDA
GokEOtQ2gGO6FxQ93mpNN5THtaGfeAaoqw81+dkeDFugXrIWmtlzEiCymRxiBZreZiKj33U7e5AQ
rw5p4kJWpxDuZtYHCeMWO4IHwsp1VbgpOhExJomLdmPweGZcbjwiJods1A8BN2syUYTF87yaZJS5
RHgFzIGI/Wb9qh36LgD9bziYRK49bZSOx6gFCEYfwH/KZ3fNvjUKe+3ZXYCl6UlTBquuRQukZjff
CSgtRz8vt6WXd89QjLBNLH/F4ynZJhohtRiXd0rs5P38LN7G4/JoKtkdmjZNN5qlXDcNbtChZuHU
FumOI51R9hCCrG7DvkW5Kmh/kc5V1XYKquxkqEUfzIaPpg3s9Dlc7G+4guSL2aFyBc8bkeglVmzp
9z0pUcrkXTZ9tlWrjm0mklND94N+TXEl2y27yiC1JOqBxHPN62M06wzeJSuQDB6dNQwk4A3pD1c3
byxmIhoVVzXCqEkDULR5EJkimNbhsCTXRZOkeLIFwLLUj31mdFeB+FoGcmPqTtK646eXJwkbj47Z
3NcHMhDDD2imLGonXr/1+bDtmxrr0WfnKrm7Hi5EQ0ncfWwc9ZAH2Y224l3YDmYkbf2UeT3wzC48
cux4ILd8KDUZSsbdTSJ59RNYkcEontmBsAuW+SxtY+YUMGCD16rfjKwEZGASL57DJDURM6aspn4o
YRI8LaHxSZUOj2wKPweNZUVhT2y16V1ugllwFjUxLMkSacz00GKAscU9BKByU8xtGflwf7m26u4K
uEy9HVFvChRpOOyxvb5Qr7NVAx/k6HG75EzmxFQhHXlJw17uB8z5NZ8K655NI/ej7Db0HfHHqvIy
k7D9UNe7WT7EPrAzyUG6Jv/ykEHPPlZ1n0a8Ye22ZvEF0ggYUaMbV8qef6asTNhzpB8iHFTmGStY
IteIwyNhCWfTcVu/p/FxTbR64SGX/kPstfcEj80ttwm6GpLNMVGXe/0r9xW4cpz6AX07PdwfmwBj
0+f9DiwlzZ+qGS5A+dMHZ57DczubD0QievoXxXuX0ICT4XC7zMWWzQFgoK4laMKmD6QkubuQro8H
U26lQ8jPpa/ykYrsAqydp0MTR2gYZBFl/6TK3NvahY4fp3w610bD4kKw8M++IZ/dhLlAGeNHp8M3
L7EPtALowFhDvS2UmlepPW07gtKVJ3eYLuTeZCMutpU0uylov+AuuxvCt93e7O0nBJOcCzgn5Vqg
U57cZkLnsJyHIaxvVJe+eDkofVuhrFdXDnlXbzwj/EZLBviycEGVci+tjeAOiNWuy+T8MPPWFdTK
EvZmejr4nciq3ACoruPzUTMo9AFIIeo5khXPj3SK+607NvYJTkOA3F9n4O5DOhj5ogLWVAz6kFb9
HvrpcczAuLPcANxKaNSQSw1S0bmKWBzmg5oTV3tFXFmuBu/X1dYJLgtNsvu0EOy+89vmrIZrL2sa
yepLNyV/4AlWHww3c4bNUk7q2RJYMnF1ZnEFD1YZhhu77R/Hpbs0mV98jXO5D4PljZL1lZGYQrnO
4VQL189O4+Ic6JBYW5HGNHgT0scXdgixrt2NaQ4wWFsnl30O28VwFoTdxHmnHFY/OESxSwDVfVlv
AM+AGC2c8i4xRmDmVZt64JPZc5lN5Z7inlwD+qi35ZWNZydlHGU2M3B4nStjx3hOjen6eJ7oEnsh
Lrl7mUzffjHQim/NBAjrWixKJAgryIwPpTSCA7a/Ps6j8yxms/402M4EIL0oh3zr+tNVWf7FoRWi
WsY9z1l7M/bhV2GMd1bqZxGt5v6B5UR3U2kYkIWN+2JJh9t8zl6vecftwB7dI7Pha9AJ9QSX+whC
pt9Y/HokaBVzmgjEfrKW+EMC19+wvrc9OAxVbJoY050Hf5dYSZ1HRQ5mPuvG92uXbENQ1Tgn45S/
YPdTAh+74Kc3uMl6oGvEujVHfVSBvzz6qHWrfAjenZz9zkVQ+C++r+GP05ihsJrKpzKhHTOTKdqF
PtFRx5lZjoGLNW15wyS6usO8iZ7H55ofL2k7uHnye93mn4tp+A9hWI6vTjdSRRvSizIBYi7XhpIv
a6uIAgZARLe6FUghrTp1Wld7OQxUFboyOVu22vd5TEzE9evNMITVAwl2DAaY9cM9EMhgr4nZvBo6
3FcIaU+QKARyT0atINR5Bu+8/97kwRd3Z7UlpxSuhzaG8y4tDFNaOXXYLmt3gmOMeswDIgtpt9gO
iV/XNskrVNK+lOiSxH/c5kZabEdRfbfcYAOH+6myZgBIzRclaisaZpVZd3U9Wo/cIDvY9oOj6PD/
4vaKMum2ohA5D6/OKDFfQ+eUeCAKaWJlL+bUOrgogQoIZYjFeSxSx/oslet9slshpdPTJyG5eboT
FokLPfCa2yE3Sw3WhQPwePQHILIZYL7SsW9jBhWm2gmVHzIAwP6Ck0eUkn1O0oh+YjGlp3aY/C0M
vARwOwdR68xBKyrK8aUN9cGzp+8VYvauqX29LvoaLR935RDTsWBHphti0NJqaMWRNd79ivoy0mJV
ydUshm8U+fvI1jBfyzq+5gRZGNiCKKJAWO1T8atAWROnDiy1d3pbrFgqOh5Lc9qwrPIiyeg9Z8Jr
d6r2glOWsuJD9qRTcnqai063amzahzYdxc60PtEQODDJuGLNYvxMW6NYKbqasSGcNWSDGuOhXQWj
ZID3lnKDm7/XJddd0WKtsCfOiiqjrKNMjDQ10KHoVboQPL1xhWxD9SFPv01hfwM4JNyaAS9xEdbP
M3zyjW/SB3IzVjIh+KylFRSgZTgaqt5gKUvi1zwTVXWoKvEQToXYeYnzpcrhGUKbe2t4xMwL5hQb
G5licimo8ULegxNNOcttz6jL47bVhv2iphagiSqK55m4Y0Tlj0cdbOGVtEgHOJWKZOoawLRlVd1Q
w38umhrAdceZLqvi7HveWmhCvr7XGVc5sfAVjf1i5c1B/IxhddOkg7i0gkzQ0JQ/Ofx2qzztNpbU
VZQapMNmMd7OaZdutRqK51bIbK3EkGwbUYYbQYmdQ3cAWNCQCswBN5dlygtWJrjNxQviT7Nrk3WY
Qz+mDzLfNwtJt5D1LCTKfE49Vk2+tZYXpJrhYptY7FUzReh5OeUyc7nQcDxiYMMH8CqHKNPIopnQ
n25Ycfe9uu6vtox3O9AfSQ1e2eqGG8ZcoPwyR5zXB+iB40Ybxk6lP42goePjEa+wOlnvm7y9g1p9
opnJ7TFt0KNQM7d1zXg72q2zc/A57Yo1IY6Up4DILOcE82jmwbPrp87KyfTH7A9f8ZBQAMq5firn
fujPfhU/V6Pur0HY5JsB/CMa6NX2mdZR4vg3Ogzegrpat2FY7djjUq3sBC55HJO6M0qT/rKo7+XE
6czopBn1g+6o+gaJeclj6m4Adu4GrxmBbtOm5ZEgiZvZPAkaFLQ63S5B0B1aruBvS5v+cPKJaySe
llXq2B21AaH6cZW6xbuqZFFtsswqLjyyqPzPFZs1o65q/bXN4rf7iZUG+xFeLE1EL9/JzEjaCD66
mbJ8rK/f7cnKIpppLkNO3TxPQ6AO45iOB07V+SH003InwlJsIYUkp8kcvG1bDk9Lq4GrkmkmASrv
ysywfrpZN5x0mnlHOqLt3lbLtcQRL//N3pksyW1k2/ZXyt4cMjg6BwZv8AJANNn3THICSzaJvne0
X/8WkmKJpErS1eAO7jVNaFUiMzMyAu5+/Jy9197bk9U9IHPb+FvGC3f47BLzChf8WL9e13jEDF3H
hJdJ0x+EQfYBeVkgNub5YIKJCPCA1ftRWtpeedINwCJSACAwHCvTCgj45FLVIrdLiRkI6G1omDn1
69gaXB8ulRkaSRFdO2iRj7JYPrrlQBSbIV9kXPCOUdReVkNRHbtsOWEEw+s30YsvGTPUfUIIRO59
gO6XBq0rzYBR88gk0SamiboymHK+fe9NZOdwyXJmyj1u/XsLoDqdAcOv5znbI/EtTtSNJ2ZcGUSQ
ctyzXUEz9zBS5KVdhUWeHrIEtv2iuXe07q0DV2E6LuacvYcZ6VFJW3p+yVHNKTRxW7iCWXpe9ZW7
I57BCoxI2kQJ0edGaL6rhdGeg43Wd2j60mOfW5uwCAVxrnr9XOWtOutr87Vdh8sFhC26qOTZWNMr
we4egrwvb7KOjxHNHkgAEsjokjIgmTSxo8GtAhqs2vmEzIh+vLFDPH8ZOxKMqNcfqK9bf95Epzi6
95XQD/FEvwOBDXcZO1n2Q46tkmBHA3OZ+rLWza1Tq8ulWbId5IRgjQlKisAaZ4aJ+hGUz25SOJQi
GAtk66CWntmV6bIek7rowjVvbIqW5WxipQLLh0WiD4o9khZ4QAH4cZTZx1TaJ9dqb2ZVzydAJcRX
te05W/RTE43V3hrmkKsWT7JYpK9QEexYDYytxIBYfJ5oo6wcupYyTx2hWDCeTm42hOvo5H7biooY
42St3rWWRttkmiZ3bxTigb3zziCKgd8I81DuTNy83MmPO66DStOJqGqQUwguqVE6nSUurjbbqj7C
bvJuM4J1eI/sAxGASeDM5vqITu9Grp4K5kbAqO11NGq23FkdyCyfQlkLnEIuOy442QN86S+uaK/6
1Tgnb/fFFMa+KV6UwH6s3NduXNCbu+kSMhjJcDh5QZshlc+ajFS98bVh4MGIMP+QkBYatsQY+sg+
4LDDPy5Wl17JyuQsqCp6AYlYKVuy6AP4+hvI1LDs+6FzZr+BpnldDviWNWp6TFoxPs9p5FI+wlXm
H3GSNwyLd57etJCg5y15RklG+M55U4rzTrd9J5tLCjGyb/Z0ceIzjiyGCquQLSf00g4X+I+7g9Ub
hYeaAyNcWrTRjcuuhtStF52N7zRpE3e3TWvUg2Y5Zb8v3V5b9p2WAz4wRUKrDe89q7BsjYFmP8wJ
zMsV75EdNfQcBm3RLwbpWh/7fJa5uogQDtOx2P239Ov/R/FYLZRMf9yI/39dSo/jhza8YK5KW/6l
V//3/yBC9SCuEpwKxtH8VYT6TZ8qsDDR0t6UTG86q9+68KbEpsRXuVQMW5/e+E5NJX5hhW0sVuAE
9OL/lpjKMH5i9kEjtnldmyoLVZX1uzjgknZdP7OsL0SKdbZ1uJCrsqh2rk3H+hxIjGuUPrgqtQ6H
3CiJKn5HRCIo5byCtAo8xVJrtxMMRo2w6EgqpI8px6pt3PvUYcjuUMJlLLHBb6aZzBjLpKXl4wNY
jjRvJg3yPyDIcjx1Q1H2IwoBkOqquayKhZNnHFP8Fp7bVBc2ualnuH5G/PgpFsbFwnGbmS2cL815
1vp6PEz1KIkvmb2A0XZzkZWQostsRrZt27nxAPmHGWKaDJQfXjnB84bC6qHwaNsJDcKKq4iL63y3
krvxwiQMwXql+vEyRZ7YcfQqJPPdOKS0GM1YR+s0Ay2Zx67AFOnV6QmmRSuvPE+N7EYMGg+tprHX
OM2iDuxF47DTCq3waWvkxybqpn22dpJtSKv4xpD8o9nHkTle05es3qtpEXcTHI7xUKtMBUnfY2WI
yWrC+hEDOkNI0AVAe8Zn1VnLU7TW0vERUjTzCfczRsqo4wq5I+NjMJ6jAiPkZCMF6w2nCy1BBeog
sxA79peLqa7FlhlJBKhOTCktmnyyT1Bp5ZOXLfMF7XOOxDSzWrVPevzXSGWFFWgmkcy3rZOHBhr9
ktq0iHwHShFRZBl7YIoqTsOARXLgzmVfqwN9QJHQOGN5JK8dimg8DpwynDV01DOq7NgY6bMYYEq2
2JsGDgUAQNyhqf6y2oK2us1q3G/un5Dw+eWlBK2ADKsr7cNQz809DIzknG5g8YwYxMFePaJpaLRY
MbBOYj0wOjZzaEDBYCBLJuhM0qJJCsFDI2YxhnEMj2sZyVNCM+Bdz3ZL0zjqBm4hVsydNZol4uMy
v3cKc0OfJANunUyrT0SGGydVEgnp2DL6sMkE0GZlwvsYlaOgb9OrMT/EqjUeIqRzp4n5DscrrSiE
VFF/71rjJ2Cy2kbHWoPI7ZhHsAJgEtJyLskqnDHdxsjXL0qnsM7yxHbfb663wwj2ACBSvwoRIBAm
Ww4Dhxn0UftAD6u7al19/VioMgqGNl6e4LeVx2jFOeJrmu5lNAFX1MiN1l8v0CmvWjuDVKNqtJA7
g76db/e5GwhM0o9O3Cq0xB7Wf+JN3imcUYyGVEQDHDWm31PCHEZVHlSNCqqTkYW/BETJLUfX4C8M
lzw6/5YxsbNEIqI/zLV0sFVz3ZWRt+8dvfhSiXw5Ycir/XlLsx7nxYOlpT5lemoF5jJNkEhS65gV
nkf6k/ECKfGdXXQYgSHZzYE3GhKoIjkBfI6wzlqiTZ2bqSf1jR+b287ANO6/5bz7X0cpt22Pg+SP
T0X/pUhfCVNKfzgYv37Vt4OR008wakY1bBhvYuLfjBuG9QuHn87VCO+mxyz8t/E0lg6mxg7Izm1t
v1l7vxk5jF8YGgE8h+L5dmz+PSMHP+N7ROaWsI41hQk5JFssr9uR/r31FCEWyZEDQIdqMr1wnMjr
YO3TQabnM423OAmBLM3od0JdzxVSPmt8zK2edk3vVe277969/2DzFdiSf341FtxWhow4CDdX84+v
hgtnk3vJMCK5rMRVnCNZ3g2yZpQ0j5TaCOmt4b1kIae7rnRV67dQoLhbrr20fPwz1WdPKf2a75Ew
JoHl+LjamisOi2NHX8SiiXn/56/4DeL+HWJ0e/8sRwIQMjCoYU3+iXSK1SThs13UlTmzHqn+1+Jx
tFCR7JEPoqoZF8Z2AYYUlx6/w+hpyXXzUI7dIgiuq9Vn9D298FOuqAGBmTWZTWWCQ1J2dh5DMciS
m3yAlNZ7GwFJ172nPmnP82JiAp1if9nAIGP5F+jU338MBCHowPGlw7Nh/kyuh0kTE+pZ9FeVirwn
aMJcd6wcDd+uARJ/g/Tbu28iUTz/+Zu5PWvfv5fgVtDDYYU2eBb5Y3tZ3wklbH2OLZwU1VXlruJK
5MlwRcy4n5JO9PTnP2nzi//8kxDwA18hH4AOxE/PWcOpujL+ra8IlbZe2onh7AFH08L1mBG73g7F
6pv64tZ+ZtpT+VcPzU94XJ3fEsM8EHcTcz67w08/XkozJeYCf/WGK3sps8F+yYvtNdhr2YfEFKEG
AZSWHKaifVN51/LLNos/Td5iXcz4pXQf+zSzHYBZ5aMJhhDjq7ssXxqNbrCOa0f6FGtWd7RNZ/31
+kP+RPwFx02xxHX1PWb/Z7/69voBiBvCxAlhsVa3avu7D0pnmFHZdqRdCsZpL2mn+niH5F4hjkRX
X8VnQFFzNCmM6ea1TfZOzQjdR8spX4Ew0txcEtirVp2NX1IGb59HG13f2Z9/xJb9uw8ZfwYPEQYP
9lZW509Gfgeumd4lyrykomsizw2Ul6yH+e2MVthu0Ri0+u1YLvawIxQRKS9Akd7omkOxHfV50ZZ3
TWFz/stiit9B1quhshP/0lAwPZLm6wa0PuhjvNURqTI3+l3WV1fTVmi0W8kRYwKmtfhWiRhjUh5t
qrY7I4tv0AOa864YZHuF5uBBvdUzzlbaiHQx2BusYV13kDyyi2Irg6hvrbNkK43Wtypp0hOydvgs
U2T9Wx01bSWV2IqrNZs/NX2r7gdmQJvJAXNZhFsNX4BhPLSJmPJDJDXqNdS00Ud8flRxadVqH4at
tGuaniAjYp9PovWKz4wXaAhQnuX36VtlOG5FYreViygZm4OwDO+6ncgTtqau3Yu3CrPgLkis8BS7
YBO3IrTsTcpR+s2o1qlQhWBoylFjTH61lbCuksUzELsE7IvX3Nvk5h0GL4PhhmJ5fXGdugt7fc4g
/NCO3WtE/7wQADq99m/18/pWS1dvdfW8ldjmVmwvb3V3t5XgUAPKY0WpvWM7p0KnNqdaz94qdxlN
WH7f6nlrK+0hA1Lld9T7NCSp/KftEpC+3Qeyt7uB+XZPmE05XzjEnBXR7TC1qixxwm2RvJ+TKDGM
9X0/abMk4gymkZ3Xn4ylzJTZ7QY1DI1+xci+JL0c3Nt6GL0BpG/ZpfhvM6Oo73WpmadsQZ9BSY5l
hthY3Zv5uEhgDmCUcx4CPpja0MkB8/pdoUR0neDjJv88X+SUBMsMQ+nC6ZXJEzVFKLFpeXIW7h0U
LRH4Va7Isd/iOuCBM/MeRQBANkZLLYcXTUUyVDEne8JjuBBxCfHrPsKpg4hiiujuM4xEtkBVsEdT
W66+u9rsmJWBHcUvkw6W8dgvcX/Tp1pZhnWcuq/aMMpUD0C+qUNquYN7hQIijs4qUyppZ3419+26
HHuuZuijmjiRZRiBKG65+PRVul8Kp1yOet+XjW9DDkp9ieizOHRpy9ScjxXbYFOuIiC0MueCkpe6
dk2IKzqYQVXVu6wsvfJkdp4qwjxRzt06YAnfc60xxHkyJT2sBplw/T1E3dhU9xzG5hn5S0a+Hxpe
QVirIl5DgNErcv9saabL0l14tDWWShdEQgxnnYkYKgDdjWdRVqS87FLZU59ASzTXL6AqmHC6vICS
Mr9M2pOg4j+SN5RvvMe8NQM4dTRVhygnu2vqGu8mi6bM8s0UTQ9xadmqnQPLYMragEHl5XpMZsWS
rPUpScUUh7lnMVHZ/t1uG8QC4Whjkw7vlBJNqeZU+9DR06ffnrKOjCuxQntghD1amvmwFGgNrpzG
o+lfkb51aQ8VR1IMoZsv8Ij6NPdRmojqPezpKjlrIWLOiDnsNT0XKlYPVmbYL/YcbTQjwcO7Hyrm
A2HvrPQSiFHMyqAw27z3CbAKU5G274tporLI4my8721n+th0iXkc5RRHaA1snc4eMQMQlBmY0J3u
RnG1EhZv3fbKFg+CvixNSmTfLl6rReLdMMosBdFnGDjLZNwb16kmPbCs+IghEmYtDW9kI/3NvFgK
7VS7NUdQGPLCavrM4pwTzHvCTMPTXbJLdoEroEWfkBRHxtZjz/M7w6086zRDOh0u1ay24hM/0Y2d
a84c1pgbJsaO6wriwgC4DdlMbr/89tIn9ideF+3SK8tmDnI7tFhiIGPW+ep7+cjSaQqE67dVJ1ny
3UBVEPN37KmGqpLrVlgLVFKzSXQ+buAJw2WpoXLaIXVvCTOGg2+GC1qVbdNgMfn8Rmwg8BW3OllV
5VOEFPaM8KHUhaBp5zwXS+y8TBVJpeRVQBMx1az35zFlbkZPrMqze5fT4tAzGrtqvbh9b+kGlrfE
SlLjrAaaOZxHcBPGYOlkSwSzXMxDY/C2ItJul095Ae4Y3hfhky24q/zdRO+oPxLqXL4usNHZQ5BD
MS5AEIXrxViSfg9gx3un6VEJBbOJMZFbbHNLNyV3aa36c5JzMzuwjc6I2fZsS+7I8vaeukwb47Aw
KpbJqkWmd7KqWrRfSjbk5cwVPFLhtO3YYWYTA4u5dx1DDpmpPRcgEB00PQznOGnNUaf0brMPnTd6
D9pCmX5GH78Tn1VP7OOuFEKOp3Qy+FZzKZLVtyYAX6eGj4VBCbFy+7UeR4VOTRb32QhQxpX90SqJ
XjuuEzwPP9dRMmBtzOv6snJm60JTukUWfVuV4xaL0qCbs/syeaAS6T+TD8E2wtaJlIzZ8ESbcBrd
llNgae9xgYr0WdT4Okb4klq+PCIc1qBZwljv6O6Q5nemRc30kbaQNvroiR38a54ubnEVROuhG9o+
DdN16/alBibxG/r3q31VOs0WJ96MunNpCUij/kJ104cT6eeYxdyKgV63StzkLsDIUMzmDPuvgCuB
q7vl6UdQG8tgIbWg99HdIxMBwCYesoQ2CMsh9Z541sv+pkIkygZrNB5K1XJjW84DM+VhAmOe56N8
tI2KtuVkx8q6tKLCHe9aYqTITY55osMmNfk0uTjQvktNlYPQ6ZrEvDFmvUAxMW+puOk8k4uSd1pD
xAGKWpgrVcmwuMCKyjXSy+N9zygE2d+s66eltVj3i+NIPPFRIr/mtvwDwPgLu7Z0toisP+mk1Nxv
Xj7X3+v8v37Ntz7KRrmwUPNjFPka6fZbH2WbPeCPhsJlbXPYTcv/TeYv6KMYaPm55QnrxwGDAxBD
GB6dD9s2JQOMvyPz38gaP9wo3S27ipsGikATJ4K1XUa+vxLhB9IjjfOZXuHm/qet4y7DM533N0DA
V1xAzoAiyQ6yV1CULkx2wCmMS+YskiS4erGa+GyL5c3Ny0rjjgyFgYjfDTK4g8ea9ochz9QcHZDi
2ml6YSPlR8W58l+j4QjugJ/1qNuYcJnzx0M5zMmFGEuCVRl0ulLbJa7GHjXibinPTDoA7EXmVKQL
iavRqL83KhTrfu0odMn3WUuv1QxdC434LSakIfGuGQHTwfZYhrsSVnLpUyGYFZcYxDIL4CwIGQgL
a6rKf/qPX/4r/hgJR+DPVw32mE8q/TSoHxbO25f9unCk+GWbrQlHGiatHFo1/1440vxFslzADTIR
FcD1uMd/WzisNpsOHAOLbzCDf/tj9F9AHDi2SzH7NtH7Ww1IywKm8P3KIawLBxntEOA14G1oyvy4
cqjlQTHU6Xisq1igfyHQnAG959tKPS9O/tHVsf839apCek+eD7Co380zQhVXAJrWlfvgjrCetUIh
uBiKi9G1QMdoDj3EztwVukZdnzFXWIbN5IE/l+FcqQe4CU1WBNqyxtNQLDrkEtIRu0VkwC0lwWiX
wZoPRUvweYx0ace9dfQzUFC+rrd6kOX98xadNtgQtdumNsh8zz46YMADnCwIuQR+QSZ13akZu2fh
Jo2/2qO5y7iFhWUkn8ghvstQGo4dP96xm+eiptkcK9BmNdpVWnO3ImEsaFT8Pk4zq1Dv2mdHZN5O
bWC5t4xDpI0GnvWKAFtNnrrOPcXILrk48daMXORiVZpM/PNXI0d+7zi8lW/8YL3lmxYjb4EFeI1f
gbdBd09l2vcB9x+mEgRhkD0BTjeJkKUNiYE2FJ72vi4wGDqtw9/m1u3kDircvjKz6HCmHgFyq7EZ
zRfegoZ8u9BWYr2N6+LWW4oxLHp+JPco+9y2WlwGk2mEQwvB2GycPNDX+BHMMp7sDYSKW/F1qVqK
R7MzfDtasDrlC/dZr4g/RQXyFtV5D0h9VGhWReP3OinhWwzwnure3dX6CNYh8/qHyI1yCIjQAsih
X/fky69H1OboyCiHqC3kyRXaw9tDkhJ5EiyQhIJG8hxwjbktR9IjO917oCYhgxMstF/q9u2Y8qLi
LLdOOOnZ7zNy2eu4nM+kp5AhUzoFuuLfMuG+SnvBwKbujVCOSeaTBsNlnhJyxzAY4a9tX/E8v84e
IdkGQ/EdDN+PUDf57Ff+XxbZM75irQom5ZI2PxLNwWV2ZqgJNMCQkIrJXfL8ru+e3z7vMiZifMQ2
7iuEePs44ZGRHtw1/BzQyxy3ONNF/Moi56nmNOA2wNPpSh6VelsLjMCWR/IYzZ3jZh9NwQth5WE2
bvL0auDtYob6sHB/DqeWdQLLKDqbYIwRHcDq8GT/LHO+oSP5hN2Bh8llNb69GVXDopg0/mmTlx9L
+JVhxFXhrDB6GyERD22Rg45egC3clSgFfYNB+24C/klbpsFWVhpG2OW1HpSdxVuqI9aZ4qQ/RyYy
Q9ol+tRsifNq1WqEuWRRglK4SKeMNIcBHjMBb5twjhAh12ChwkPSA3fE6Ypntwh11gk0xvR2TJCm
bxGiWO3Wo46yiIxv5t8DE2cYSdAy9JKP20q8/CyGwXuY8fiGIywpANg0jd8+W63k19ei6sIZo20L
4RGomtajN8V78/aUrxLKed103gHldB5yn/b2DKaLYNJ4nN8egO0JZ4nfptZaHcyFbcwbWd8WMS7H
t49ZDZPJOuAxgr2CrQYy/EuT2trxLdYMiDc26kFox8hDWJ3Z6UeMzXwEIn+FD2Ey4mf16BqruTSJ
YzUqAVi5G6oLejXzlT3bB3fKPmoxRYImp+oiyo08xECc0k3StWNss05rhtYXC82IvXR4yCoMAhca
hiBsdGxfMisB9bA50GygFrcOXlLAWNZmvpkgnBV8rONLpZsBfTI8PkZPTInTw0HeONlzWurAQPHp
aUXMphgjz48mPjpNwmuOBuM2MT33sIpqOXD1McLGGkcfmGjjRyMvYRoIZ2GJ1EcqFv6QpLG/7U14
+xDKbYuWVteItU574HsnN3bHI9HZ1q2xbITVCAKXzeSJY2fiYWrnho4k4LC8JnidjltFN96arwZJ
WopFKjv3TX7y9l47HjFKecm3HOCZ7y3MaaGFjJj0AJstcAMQyEKLbgzs7oFTt8XBjdrXVvKfyyEL
WfT4gVL2E0sr0r3ouk+urtlhpdFYrVv5VBK5FOZacqNNw5VEPLEzoZqeLemMsFIr+kJAlVz00Mgn
tM7VrAH0W4v1Q26jZ9w5VASY8lzR4z1Zu+wjEuY5AHzgwSDTjQc7JuSqd6cmu6SPN5ylk85HaOp0
7KCAC8hbmc7sOkFfeJPElgO1FnM2qJqun9GFLLnSQ+baXY9rMmmE77StdtZEw4um6vozfN1P+Bfr
YRebc/7qtqa20gTW1rX32f4n/Jldveeuj0l112E18JusY81n1qgFMUdRwMg0uvRIMtT2hVlN/RXT
KVcys7f68qiWVWnPSwyxOwGXW1xEiWdiNOwK4fjtkrfplT06BkY1qIraXTVQPiTSefiuFPsPU5Kf
xg9bXYPGEZGQI3EgeyZ11/c3gsLTjNWC4nuU6YJLf01e05zDxazch6GrTR4rVp2V8qT/+c/lXvVz
PWWB98NyzPhYmvpP9RQTImPxVDMcAb9vmx1r0Ezzz9WEUH1u8tc//2k/zey+/pYMg2BlCQ+Z1U8/
bZ3wTKE3Go7FwgOyVQLEFWhhDJjm6+/1z9X5L67OTPmZD/7x1Tn4UrxML92X728AX7/m2w3A5ubs
MdBFNMA14K3M/1WbJ20uB5JafpMffL0efwOdeb/w6HI78HDK0Tncrg3fFAhwxy2gZLrj2ARSGADO
v2XB/7osvibc/8Ew0dvmcN8NYyGp2Y4gY1oXkM7/Q1hrRk0kVq89Ls6SPKMCq5rAaUzUYjNcUn+W
Xan2TbvcFLWxTn6RUFQxvN7yJ5t9NqYVNae5iueIDE8CI3AnEnilT19mhc2e0z2DcwO4q4jVTeVq
Gp3V4oOldSxFdEL7Kkb0tZh6HIKj5cbNm5hiMcOSnikOvBnSz1WR2fi43IG6UdJZs/woK7szR+g5
JQGHu0ZQChSMrt3R4e/O55Zj0ClNEFaznR1gEtLlNjunOeHuik41brq7youtM1BpHzLZas9pUXL+
QIbcWe1cMfoyYkYglMqN2zfX68wmUc797ejGn/Gb8EtG/KYiMW5Z6/ne8+heLbap0UqvcILG+WsD
dWva6QSiBJXO1cluUJQZrWr27cpPB5h465gzkSFSXaqaQmAwKDKE+wCP+FJEXrVL5uqeTgJZ8hwC
AIwqEp6gF/NHeVEv5YXlNs9RqQx/FWqG1ht/oMA+bVyc3QbzIg/yQ2tT+8m6vp8zbX2fF5RHjZkk
Qe7idx62AIQ0hVEkvYfZjEK00LjhImd7Ce3OsfnWpFGYB7lK/drMNbwEWEHv494rnmouc090HamJ
tsq/ZeSyp4k8o2QEPJro5Wu/NjcIb9ZjZGln2FLal9oS3QOGPDwYKZ1wn/BEOplGc4OW4hi5K01x
W7XXGOe7Zyt3H5w+rQ/1DC1dMMu6cKJchqv0xNFrHTdEDvkInVRrd5Y5PRIWSOumrHtJibKB0b1o
+KTp7eZGbnXzVgHxvipTZq9QgpKZy0nSrmGRVPcmmpTQ7FD0BUZt3vWFQiXmRvDWTcyVEStnl6Vj
GiSYavFezq136FoTzE7cCEGBsNSYkWwwoVC/a4y083Aeg4Aa9lOn2Y90z9Nzq3R0TLFqDHpw7n6Z
AkdARUf/eS9cBrmbIl8/nxYA16c60yFC25layEqxVwLtESNErwu2n0tyiEzi0ypK1QL6DHLYghjJ
MhP3b9vXPxv9X2z0G3DkTzf6tFdd+kn9q379F5P9ofz4o+7s69d/2/Rpb+ps9TCBv3Z9OLi/bfry
F6YUqKF0RqFv+/6/2z6mS1MU+gnlCpozSzoUF7/t+qixTTK1XcSdBsjfv7Xrb9XPj5s+yjfLFIhg
aOia22/+fXW0iCqH8DHrxxxWaxm/gvC/BnByyrYJN27iMtXPeig+LKRnkbOzmf1f1ElbK+13L4Hq
DMwBv7OxScx/eAk1ARmNi7nrWHeLfhVZzwt6lX7Mw6qEb27gulDtxp6Nq51VRJcNUVAHaVhVOBnv
LXoLa8KFjtECWUYEjLlYnci2l0zKNq2qZY87yumAuVSy05tPQCr4R9y+cZRi1sjoBWz/c7EssP7L
Y7/W5IjB3CcEyPbgdShu6nHuXHDFrZbdqiuKZa3rTeJsc5QXZvW0uKTI8EwcZ7BjpQlSw8DWirMU
OOd6a6l+6xrTk8GLzIKmeCc5IezzC+hMt+w8Q4hHbmdoIL0c770wtbCP5QvwOrpTmUAnYfoI3yCa
e8ROJeFQF8GIwYMh6N2sIUlvpy5EN4DhuvnAeaUf0mK4YVh8Tovs40okhcow3DhTcXDWzQSlANFj
AftUzrhX88xdkDhNnyorDmJn6C8qBsk06xq/cXp+2LpPc/M6Lonj/mdz+a+0kqnltsj3Py4j333p
1b/AvMTpT3LWX7/y274i6RmTHMMGwdpFJsI3/XVfcY1fKAjZcb4btnxrJ+u/OJACAIZTfpqMXL6r
JtmN2FKo2BxPZxnShP4b1aTj/u5CYoIaR2+LlBDVF0SoH1d1vFhTUWVxcupLOZzXbsVtm5Ck/hzJ
hYV7VkFWywdT3PVC2y1lXOx0uF9BoYvpmCNdycIIytG+U153z/0Y5YNZeE+pq4pD4mkxdymc8Oc1
onnyJUuV03dJ7BMBqBKeQDZEK+gMayJRwbUL7MzosYPRo3Vpw4g9gvo8q1wgu7jn4o4oBTd+FBXy
gt1odxFN6OzZm6Yn/AARpWDUL4+rGrcZc7HsAUoA67ay4TbG/H4GkxP44cy6IWFTK0afuXd7Zy9t
SsjgitGh0+V4aGrtNo2ajBCOOZuOndnWl+u0gA/tTf3d2nXjeYbQ8SFqFnO/dH1yY2AQbnce02T6
rFXeh0YJtzAVGYm70h4pDKelvI8T294b5txASuevpd6Kc0+kj3WO5jUmmffStRaSSArla61eB/FY
4+voU0vd500mb1AkmbcRdxb6aU5niT0VHb9xQQ8AnE3kMTUfrdBoRjyMS1sEvOYcH52C+V4D0jA0
KYHYmO+QZDRHKJAX0lqMgxiS69hdRxUYGK2LgG6rge8TKmtFz9m6UAAkol1fOQqnBjZh6tcjce3q
0eqXjCFDuopQG43OtxBflTtUPzafhz1crK5xVJn+ntLJDgZ+lzCP1FNUkQNJJO/jki+W7y169aHb
gpFFAlelXNwksHOaDELZAaz8+I6wSBOzj6yLSzcr2ytUNCVvdVEmcteUtXMdD71zk5taFGiJHN+D
iTRul5bEXBur6sWyNl/gI8Rw9ZbVCaM2jcF7Zf0ZoPkdxkJKWtRJF4WTR1izHbwQlRbdClM9x31N
na1kfkocAobOJ0Wb83b24rp96eK4/wC3c3iFsiVunbIhyDFuzfvcIYBOs6vhwu77FtDHWPKWTU3Z
XQ6G/gGb03ClNYYWGpP+xarKD3Ka6p5udtWexgxfRJFi6sVpjmuy7BacHHEyPKzagKh2jIrQaaNi
IHp+GMqjbg12toceVhV+UU3Th4TYv639zg0NCFPbExCTdWK38imHTEvLMK36EfFmvcXk6Il+QWcV
L/IMquN2bIwbTEDv1957Ty9zB7LHCzupl6BI6N0R7gc3osNTwhOjx4bzjrjLhzhqvujGgKE7k0UT
4uKGTVyMo3udoAbdVR4tT2BCxjFmz7njO8Q7afbJVd+m59yupxM8N87v2rEIah3ifjIue69fY7p6
cxdjN27el4i8h7tOLdCR9B7l2RDdjEO1pRvlgGBHkwIdLhs3I++wWGZyyvN1bG+NlSvXcYAcge5s
WLLz3KRRjfi7qYrdTG/0sre5PkmzTk4JgImwbbisOlLT6OeBMbQ6FK6k3IGfk3RsVZ8wQC7QLTkG
uTfRMmLqXKY9zqx0F89F/jzbJqEoHPDnbkroeqUg5kSLGNB6WPmOPFf7NqlLMG1OTiNxAg/hMgrC
PVe2Z1lurgHwW0wy1hZeLsr4Ep/6xDtAK/2hLXT7ZCu3u5x1pT1BgkmG4nzQ8zgoGQ0VuzSuyVzV
zHK/xSos87MRkXlbd0hS5zVaQ5t/dY6huL4UaMlSvDcaHPKWjHA9sAfm/KfcGV12qq69Nb3OfHBt
Fw4OhV4AZxOJztKsyyHSolrCIs/z95hjB2ilcmIgBV+LDeJDkePZ2QJF5x13025vbJeweR2vijVe
XiF1coMcpdwndgxtQqbNcJij/hOpCW3g0AaHnkDielAb+nCKSAv2uUF1F5RHHzhYnP2kCig+awtd
uojqTZfXTJPDRCdVnwzAc0XIeKW/sDa/0BiL+xj3wdHUSv081SWR85WbHQpJ7FmyEqnQuPpOcMCG
lSS3SJCgfjS6Sj/pixQ0ovPk5EzWHNLv1eFiT3SC644on0Y38MkK75xwSsgURgFyal18SQ14mBoP
IFvUpRsFdUCKTq8Y8SF77wSNN+CO0GJfEuVKuyFvA302/z97Z7Ict5Jl218pe3NcQ+cOYFCT6BuS
QQY7UROYJIroG4ej//paocr7SqJUUmaNM81uWlrqKhCBxuHnnL3Xvm2sCl7LSCC14BG9jusouWGA
4COixouMACFAs5VYh6lVyEc7dRyLQq1NGhuQ65uReNl6WKd5XpN8zk527tx438zBZ8SSoLJF84r6
rFt32fC5KOg9m9ZkQaThdWM18d5vdLTrhtxZFaF/Q7r5Ga2Wc+MUxFgzfhJ3g5uQdWzom2hKz52p
jbshTm9HzushHIXN05jfRB6Zp6PM6HyMSSSw4vdabgQwjBVkU0oA0XftsnHH6dEFyXdJGRrcs+rA
LR5myuWORGQzqtY2b04IZsno1AuGGhO7f3eo6MOD2JpNhqlBPd9T3ATGh0Hb44Q1xEO4nQjmuOC4
S5ySgLby3F17rWVNQI2Se+FBn1rN/cxWRme5e9NnVsNtJSzmhVB6GUeBdvo6gcQhI7ab1ckmeCNe
0TSfn526G5/BnTCYbCHvABrRWzUZA2nphTfKpTVl/cFESMzSnzMcH/u43U0EtK6tghUT5pP8NKV+
uqJOBHIFSYjWte0VZx/V2KEw8Yg7jlgjZRjwNNKgQoBobHU7iFs9+QpmnrI2zgUyuSgQrcFCdjhB
tIfGTWxG0ZM7hZgy04L+fJ0xjUBo6u6SZoYKY84o8wfyiIYFb7d5gJ9VO5AAaPOtW9Rxl9HO1DGY
5M1lboTm3bZAkgsRXHsd6vYMyO0EBQ7+tK/7bm/GU3cEWmPsDaUkGz9E9dnCxNN8soSBhbdqZ5Vg
vyQPGjzCjMfd6eQqI2vrRYuU5s2YmilqmEad0wA9HFXSBJ4IlTR4MeJHGt+Uu5mcOoiO2YiU0EQY
yQismdpn3HzBCuka3sbUL6h1uPgfZidxN0S6bJ02pOmV4AqmA8lUnL+PLRHqQ48+2KDtZiQ6WoOe
Km7cSaaXwg2ezrIg2WLvJq75HIb0OSM0SFDMOsfPNvXk0rLTDGIIlUFKweI9rx1O0rEKrM/uhdw8
occoaBJ2oaLBZ8JCD5qMXK4W4CNdUmEv21aCJXRlXJxKpcn5kZhy1tAhrmsx1BvgOu3VQAjyXsZ+
fQFE++JO59SIa6hbxKSXuHADLtoBKJOCK4Hv5nWERv8xYM/9iPLDO4ZuDOM8mXrIoiZbsxXjpSi4
ZsTuLO3J+4CAQT9PIUJbGQl3kxtztLRHYe4bQtdAE6SpfHGY+g1L7dfNLnE81oHcDq5JSJy+2mjM
l62CWMl6mjDGMqw1Ej/5oe+Bky4zDKrhxiA0C3eIOZNt3RbNZipb59xZlbNGlAxwefIyGK1JsA3G
oluLse+Ps9cPMD0u5EMPtnBaDiPTVYg9hJ/HnyY1YJCDwIBSG9nqBYBXN2sFchvEDpBhJ2zV2pAx
GD10Fq92aY9XtU7mG7ST9X09IJRZsp6nb1Vr6YegNPMPEeDRS25bGhzgn5MaS6zHwaxDtfG4X4+m
iuQdwccDAYR1tbdnkwOgNFlYnluvp9Kz2Pubco1rpyOavI3x9+VFuRlkLbZpbpR7xI/jog7y4QEj
krMxIIC3tUpPSdTEizQt+pvU8+wji0S/4gHkYfF60Bw9K5+TNQm8IgXJtkjlenKBsSyzHn5rVWie
dbhFR5Sa4RpbvWID1eZf4kwSf03bfFgnqpNvuPuGV0nCu48IOhivYbiODj1Mt9r8u/7/p+p/7KW/
rf/vKzLv/2P1KXtHW8bdcvmL/yj/A8nsh/gwwsiQfxG89T/lv2W6f9FRJw6WwBx6BILK++/yX/zF
/InWAK02qMsQlf/uKrr2X64vbByUBNFKE0bzv1L9o4H8sadnInQDDgfjgR6EbYpvBtPvZJgBK0gb
hso4MsHq78hSK9az25BjCFp97dWM+825t89OLvutX7EiWv0UIP+hVouA08IMlsXRwV2+tFTr77LE
7AWmLoAr6MlBPsgyXmdtdGY2s3MzZgmhy5uYpPOnoctuBxsgG5YcYJrMowFepRCTtBvwUmOvzu6Z
+E/l5vZ9W9Legx3qLWcnYkkfev0AEi9eaK91V1PXYLg3OvIgnUdQLW9OzVTDC7u7CafpOa3khTUj
XMwAaVecafd14Ed9dUSEAdV/VEW2JTIkgaFaUjYO0iPSZySpJZ3bg9uwr2x15yzJkJjlKuJ03jTS
sEcIVSB9erJUioU3Knr9VLTTbjYbc23WAA7xvYkrs4GLn9vnGgMzPcXAIlvGOpIlW5A/zl6a4h/p
TZyhKlVkFbRmjU40QKvgkzi9UARHLkihXhIkzuJNbXGcW7i7njBI/2EtB7EPobNz4UKPdgTQcixp
Ii+FHnG35PO9orxcDVP8RFaP/TgUQmLGoFYuCf9ZxFoFK3O65M3VzWSba2IfcDUtIeNY5rEn/2i+
Lwnxybp1MlS+gUNhtNhx0Ww3Zto5OsWfVVZ6XpoCozM4wBYaABj+6ayY298EUUBKOzsarHtoktSw
LZCr7GxPjFtYUSUCFwuQDnq89mygaWmxhBmslcDstIOzN0L1y+sCXKMFbHJtZDMz+bYPipyEBTe7
McDB1saK3NMxmrcog2jQXFdpnhhxDrgJBbJY8EGa4WcN7HMuD15YtrJ5qexQnJu5HpJsAVggIbFn
0bRVkw53YZsVW1R0vheRgDGD39wEJMETfeGCfmzPAWXwJB+hhGnz3ugn6Udrgt1yqk07QkNM5DD8
lpHQkgzohTleky8/1WrDHLQEZU7f7Lny6/GON96MBS4tlb1hq48JLzOikcaRCMKl0Wmw/LzkDZKC
RZKtbMwD06Jlxb/OLJMgCxxHr2KOFNWjssNzmccGEihPKCxxvFKfQlFmxY2RYmpZFvUEhawfZM92
APEZfpe4KhcWNq/DlFoxStLcwNXgOdESgeJ03yDkp3MH2O85I1wlWwglnY8qdu0VLoTopGCNn6RK
/HXb1wjXMDkNW76ASZARwjSAJ6hZSrKDEuQ9t1I35VMwqrGDxGWBbyMPSZOyCoJzz3Y83OMID/d+
7RnExmu6LuwqgFhboEVxdFqlxyWfYSmlwmmnhUWPihx33Z673itvEU9HW08BZrR6cQrSPgKlUY9H
OM22WJCLML/8+4X4z74Qfztu++8X4vJTU+XJj+SjyyuRv/p3R9z/i9YA7WtCMC8ZA/8zaPOdvxxB
cIVEqsfr8PInf6srxF+XtxOhb4zgXFQWvEapn9r4P/+fc/E5+MCSBG2FS4fd/VfeiCL4adDGJp5J
G053vgcTxneDti6xs5JoyGo3EkU7wGFH8w+YiN1sDL5oI0sb41kZpf5dgJmG+T7zgZtBApolyIVh
XON0+HbCxHmWOp5uKyJx7ymNw4+Ba5GHTow3KTfDLHZIDvD2XF7Qx4TE3xVE9mpcDlCXgO4bY6rh
IKI2ufJzI77JrIqlDxWcc6BezdVaQVuB5Afs3oKvLeORejeFiVnQAUS8OrmbzNDuKSbL+DaLkWDQ
bugNrPqGgxmZdE2YYqKkYeng4dz3I9OvvprktW00Yb1s7dDZd1gYD8PsO/tgTMwSHqfqX8yCL7VS
Rdh+5ShEjTUu4tNl2JUa8WpNZcAH59M6QF+xH0MKmiXkHUIKqMrEjgiewCMVDcFBwgXfCaS6t7Kk
37W2kHq8zlIohRR80M81CdV8Lt/s2a2FfiYIKDsHGZnyIZnCp6ELy4da+9Wp1U0/oSEZI7Fy6bTC
Eow9RFx5kVshBB9S03AC1/4dVi1y2GXNiUT1yVvTdChCF6RfegBH5/qjFfn+bZhXRFONc2NaK0jU
brlij19tPJ9upZi9PW/7+gQGMLgVOqaRDlNN7DTnb0OSWUA3OVHbOY6Hq5gp32YENlFA8C+re8tS
/p3hcrekGT3AYPLFrrAi+K5hYz2EFcroBJg0wvwEwyQUj1PWqN64n91ioh+VWgdXw7pRedbhryZu
XRNoWMAq7yxnQwy5+jzMhXohn81+rk0aolCFlZBL8Ob61TIKNBgERV9IXlNwN2IYJo/LDe5tYJN3
MPjYLwRjA4kV0f1Huoga5mxOeueqBUP9CboszSltBVd17XjRBqUkAo4RhNcu9FAP77uO1+I2CTvj
yibAmrqKnseaeYXP1FY7QdrusVAKoKADTV06aSK7ip0xuK3J/HQWViPlI0k57nWsDZP2p5O7YAR9
mjUzqDyrmZ1thOyCyY8Bi6hGXsuJaHYTUnz/RTFhwPoTsE+Ka+mEXJ9LD4BxV6eG9cWKtIkaa7Zx
/VSN0R5aWXfEgyk1Jc+MuoL2IPjPJUfCNj8QNWTcT0Oj0a6H116ByzDpW/0cq+IGpWp0hdKAINlU
GCkxqraDsNQ4RIXpESNh5+ajcMxkk8wTY+y5neEEozgyUWotWgdMJl6j4SlpUZQYQVxd6zRWa12z
Se2smNzw2iazPUWtiXkxHp4kQlG54/E2QFs74bZq2OLAR3LQL5s+QysGLDRRsxGPf2tr1E4l32EH
ZYyXbd/Z3QrE0ng0yOrYk1UGzjooz9XsX7WpRjvQW3oZ+NV4GBKQjx6blrXbQmpW1bgdDNdgh8FK
Q/zWUmF+HH0r3ZJeay2muvVu9DTet7OOVuQZbP02FU+IbhkHdF23mOmDngbfPCMmsBd9M3PZILKs
okvgZp/DHvRrGW3CEv1qKsqjCRLuazp5N/QUwhfVZMNuHFR+X9KcPqU9Y5Ipu2wcct3fwtBwNqrC
Mz8k8bR15XyTKH8CQmG2yzgmYHCywOCPBn8LclRGO6epakRU80sFRvTC8j2xk7tuh4wtuo06LnOq
BqBX2WxSaZjXTRMOJ6kvWgBdfQ5YbQk8s/x1Ek7hpqIzh5JOaNpYttrNVZUsGXsYh7RIrOOUMx7o
vOhjldh6FVlxAhZoKld2QF84Z4MJFUMNO7OI2seUtDFujMHYRs341jUy305xOq3bZrAeessOP4I5
p209hrG7l6lb0G0Hk7LvZDVkO6dwxbFUCPKCAEPMoo4qspO7zD34TDeXo2F4d10dk0Aw82r6xrxr
qe64K+Ts0YlRbL77bE7Sta+Sy65WhU8BBmtaXkW45t0b30D/VZ9B8ldklrH9/lBDMdhYHRmHYWL7
m0K3wbaa+/qlHkLzOWgig+1gVxKwWs4gaezqSF+n2RVO4d85/MG1lqNx0n705EWqMJdWoLoNwSjy
prFDC3MH9nDrIMY0ugqywg+QTgm1zNuElJ7MJgx6gYtmXhEYOiEGditIGRZtazp5i7mIGWsYdZls
IaX6W4+kNdCcOG+aOurYBnbGU1ub+pk7jnoo6Yb6aDrNWYZpdTfOrXnjpFm58lvOdJdzG7jDxhxt
zYAsdne2TaO0165BRI2XfnW0W3ztigYZeuwAc+jbEC1G48rpUNLWpVBEGgbxLbEeq7jrz0w4/NfR
75AoBsq/UqH90QgYHyZl9EHaWFuMqTSX2hWPpSuMa56pbGk7zIp6i3VunlT4GDUuiXTpx1B24OGV
2M4VlTMDHnweyfRhoihftcg9V57XfFJFni16x9xn8ZitG8uuv0ahh8cYdsMKgWq6622qNrDnk0ue
S2jd5rSCEacM2V1pSaI/25Isw6ZbI1ckjdMm77pdDnEzMFtkjMFYoA3XYB5fuzR+gH7AVor9RTI7
1mJw+pwQv3ReCZzDDGsviysNt8tmBmx16zaY0XjLrWOcJZ+AODwYtqxWzqDMj7GNkpTIb+9rYzXs
7q23kHGvD7BiGRjeS5lbuNBEm2zHzPQOAYGDVzWUl4XnqJcqmnG7BN0Br0rI2lnXa2iT2cqPemeX
jhMki77eiwk3cyqtx4TxOIkYKlyUibRwC+hga0NuX9Zmum36vD5U7Xjvkq22AQGLZbMXyy5O59eW
/eeydbrqPvRH9Jh65lyHBQNAnAw9/c+KGrYEDzJ2FQNxw/8CZe6DheDyxVTCOTnkEpBcIO6U1XJf
iS+FXZD6M3d6XROwfqzLvmLmYH/1imHJvuBV+xmQ3I6vxLBKDzu/DoEPu7VLHzDGdubLeMuOxTtb
xsR0MB/SDZPC8WSXXnjbhNWh4aLDEt4mMVkgE7FDwqu5RS0/Wk3xaK8aK7VunDp9HLNanonY67aU
xQwSPLKlzl18GT8zZvB6mqESFqbLK/2KCbNcAap4atNke9lsAgo+0SaNkF4ER7uuIGVHOwUYdBEb
5ikc9OmSCprHrcZ2BUmmLj42ObOjWY8Pg+5ua6s9wZG5ZrdGLtVltJa3gC+nqcvYA3YRaZo85sJH
zLwSTiIAMBBVdlUif7uShSqXDOoZbng4YgzA8rfM9LLjvwu/f6bwu6RqUyT970qoDVb05PXT93r6
f/ydf1R8vvkXH0H9BrbvW/GGPv9vDZSH0Ine58VajqX8W6vz75oPL7oJNBd9gOmYNu6Q/1/zAQKk
0kOsSY2GrxNr0L9S81E7/qhrlDjQHdcSArU5qqtLRfhdDzSCYzBDue94HjsSC8meZcvu2nFw5XZO
wDhKNOVVJruEUiDGY/Xdubr9GQ72Tn8FleViG7Y4P3SjYB5evt13R1cqmomnGdvt0Nn92psKubYS
OyfcOCl2/4dDoaNCO0ZTGpPNj4dqHDZ8ViHaLcruZJvbzAmRZNRrZDDq//CrOJXBN3EZnuh3qrLZ
YjVBq0mY6DiyYDuzWjFUy5YtMQT73/+qCzztO2XstxPo8Jtc0+GmoLf2468CdNhlueAEBgk6qH6y
AcIwIRl7erVlSA+6QuiPYz9jcWfT8PuDcw/+4uCXfgV3MUXLu9/Zkiod0m1ut8Q/yQXFdrwuLVdd
/f4oP98jNOktoqvQCtoOBpQff6KOfEf3Kuy2TUDYCPdmqQEgjMrr16ykUFt/f7h3OEPOqKDCwBCF
i4Xb5JsD/btbUqjedmLi+rY4/1qAO81Xz7Hf/Ig3mpUXRzZN/wAW/K+EvJ9PIzRnGxYFsxJ6Q/Jd
0yWMsQv6TtVtkdMzyoMuw8UKqvXvf9flNP14p3AUJJOBT+AJrZLLaf7ud5FbiopaZd3WSfqJ9qZx
he3qRF8cS7jJiPn3R/vVWfz+aO8umnTNSEUi77Z+P1iLkO1r1DO1r2nPYhu+BPll2effH9K+gBDf
/0LKWSnQjAbckO+WsokxoT8MPHZWLN2TW7n5U2R22Eyo+XYEt+O/UWcPmjBtBFe/ytb0D7Vwdl3U
VNu+C/o1Dexh0Qxe/WUcHWM/SaYxNuPX+5naLkfGRU2l5j8sTNYvrr9Dzw3qgiD286c7ztdYkauW
xygZ6OsvXGPISPQeRb82DAfXjSZ2ofargRCvrF7bJDR/NGdvxCrq1zdAyB1G+RGqBJ8O9u9Pqfjl
V7tEpvCEC/65/Pl3N00aoA+cRd4CQozXdhiLFQTRcal82a61ivTjmDjp0hwk0UUVacSHsUybK+hv
fYYHiYlXb5bgfXS6UGzzFw4oslVYokIq7WhCf243N7acjf2M73SlMCuvBo90K4WT+amDQ/bU9j5K
V5BmqGkMb0NBnbC7b3xU3+OhzdhQY39GPh6KYDHm4hi72WOHi/EmI5yJlNQ529CTTDBJt6cq8OYd
2WczQnqcvSOJEleoPMxng1bTNi0zAwvN9JZNzrn1SV0LvIggahm3Jz653Pz+1P78gPhCsDHgqXcD
yTD8xzM76ggFGjr3bYIu0Mi6GHKpubeS8aGbw0uCVmH9y48kRxSX5jL94st68+MRA4KKkKkQ/teE
4d7S7hrG9xeCX64aB2QfMKoPv/+FP6/bYPRZbRhlBAFbn3fLmo6CvuTatNt0ymvI2e6wj6oBSoxN
ktfvD/XzbYoyz0a0Dr7TvDTJf/xpUYd3bICPuw38XhwrQ1n7CqXJH07gL4/CFJttCvg6zuGPRylA
9hT0TXjdyYbgSZLBjB3IPP/29z/G+nkd49f4mBxp9VswV94dJwO/Z0lkddtxtChfCEHayLEAF6yR
f6Lz9thScONj5wWt6T9DN9tWbpb8aVly+Dk/Lqc+gcaMFYhUQL/vvrt+SjHxTnpPb12ihYE3BPkG
vmC7ISYv8QEOzO6e3G7Esmb19VsRlrXpsI2E2V8X8+wc4FiGf7gC9i+/E8RbvJ9IABh6/HgJItcw
jDB29LaMunJvNmIdmB0subJVN6GuO7KDu/olB7C3zJUxnbo6mZYSj/oq8EumDCWhodbY32Q+I4N5
+Egaj72kBVTfTyUisLpNaMsTbXoop/zGMNs/bS5+/QMCYEgoi8B8O5dr/92CGlpNgNZ74KTG0zlq
GFx3gxs9xqxiy1p5KaIvy1wWnmx5YzXFAVzjJ4S1D7qRwb6rQ5I1/aZnBEiUTDV71YPvzl+J0S0P
jg9TAQreBPckNXhXtPmG7kH9h1fCZXb1823x3S94d3ciSOULVxM2WCONDuEclIdWjOUqvRgOkoZF
vsMYm6bm3iFnkXgZMsx+/4A4v7wLcI9jBfZti/iXH08iccXuMIlOb1MjbonayX3xmW3VredquhWB
+Vrl/fjs2Vb8BSJ02/XRMq1srKQO3YyefD/b1OR6SZdMGkiYTIPsriZ1zzS3WHBTBP2R9XUqLYul
0rv3oHUIM4UDawTPEPqbHcNW88oQpOLRAf0E+uVeThwocr8legRa/OGc/7x1u1heSCJhh8DY8D0c
AF+1l4WwaQjrzZ/LcOv1ab4yZoY9zAecP+wTf7FsS/bAVJ7octgrvqsodJ5JeAqW3mJlewvAafPW
xpnrQjL9w5Eun/RugeFIFxi664I9eL+xV2HU1R7N5O3URA+Z5UTPKWnO4MImqgkxZUAFTWkgu5VW
/Idb6BdvX4l/CI69w4uJjfePdxDaCnQDqQkkzZteYHmj71Vn0w3fcq/9TMkrV7+/Zb/tPX/6rQJR
k2VTcON8+vGAQW/oMUm4ZSnDy3PnsO+ZiFycSjrwTj9/hWH5UCX5uIqmms2Ni4GAhMxmZbJb+f1X
+eXNJGA+gPgCnP/+tZx0bS9iUmC3JDy3K7P2cNIAIUYzWkVLEadvvz/cL16aklkyl9mi9qbI//GH
yyDNLsIQLvLUAN2pmUrOnR//oUb85fm16GRwJ3F6Xf/dkpBqK6ost9ZbauQGi8EYr/oyDaAn+cZ+
gCe9jGCmrgzsQeuBJHRcJVa+Zih8nGf5pzXy56LclxZVIUU5yQvi/fM6TJ2geZrxZXrIJtDLgUY2
M6aNKUK8bhnLWhflNvbaiwK0M//wWL0HrlPB+qyLkpPNvh1z27t7rY16HOul2WwnyyUY2MPbDRUp
ak8afQ3sb1lJuaw6PoDmOwgnpiIqFyvIgUhSCT9C7jkY03Ddxw4AF7ttO+u/56i/vzN+sdAAjZKS
NQb7nffeexcbxJSJUqotwXq44Vwgqy6SLAxqIvnDKfnFoZASuF5ggm70OTs/3oSEyOpaNZ7atnNY
vLnOxMwbOxVDE2nq13/5Z7EHFQAyLi21n1a1GmpVW/uu2uJhaO4CYUnsal54TJv20++P9ItFjCPR
FmGLCFf/fafCnsMorTqOhHUqWoWQMO4RH9lr3m5Ih8YCs3AVT39YPn55Kqmv8W1KC/Hmu+c5isyy
DWKhtmirYJuJEYVeSpR7Y9r6D4cKxC9e9Ow0TECZoDJBh727k/3MrbpotrhF3MZUGzlNLQkPsTsw
YSlC7F+y0fZKsifPl8rpB2ND5Ujk3zx6TnHHpIGHK3HoMe5xR+ZPOAQBCNMcJxYdZC15zOA340/V
wOApQ42uoZ/lAJF0iUmQoDh6REtPoqQjRkcM1mYgiWI6CtLhtwla/XlduQ1jiCiLrQfZ2eDEcxeL
yCa1ilGunaCObRyBVlJ8lSnNkmhRU8HExzEmRp6Yy6yJH3VeWdM+Ly+uAKjchbs2zNo6FIRj4ovo
sl7fCBKsSbFH7B/eSQ1Nm8hs2Jwgjxty61A/BgzvSpDQ0bXvlcJbMSGv0k0nGCH3BpyNQ1Ma1c5q
MvJRMJLaDSmqyVOhUSIB0CVYYc8QO4Lp1hGPupmyZIrWqObK5irtKSfhDQY1zmythyBbjb2YxlXV
A3o/FgaEXPoORW2v6kJcNlcJoWqfPHjCID7DdlzOvls19/hSDI/MLp1OtwRc9vdl4jbtejLw4Z3N
CmPruiNiqtuziR03yh+DBCtZRJQAlFPiWLVOg23JpLda5wwxW4hgNsI8pYX/iIaAiW9eEDqr3RgL
aFrXaEv87o4+7wZHT/0c1nb+IUcHcG5LSewC+Wc7Y0rztaOCU4dbFrsCYhWvPIceTVQ3Rj0K7Hxr
u9mwyhjHbqKuPzj9NCwRTHxKMTsuRGfjmUzRnSMUenUdY2DmNjHRdxtvK/VgYmVIJMmqM7PvgfF9
CsTlyOxq/Oy1QIpdzHmL0us/zUqKXe9cAsJGRrtJ/kQG0FoaUt2KoGjWllkm2DyJhSYZ3Tr6RR5f
k1iQb6kWEkyy4dM4O2IrDOsuSQhdgZMQ7sPAxWucZh2bCjAjOW+JldZkC6Nh3auW8SkaDcF/ZRc1
D9wntzlkIwOx2czUemwbNKZxiDjAy8hNJtYSqgjqIN89QxEf19bgkzI8N/Nygh6yCm3MkTNb13MY
5fVHQG7mVYkMCf2FkivMe82bNBhTGQgmVz4Na+bUldgzAyPpDTHwHtGIvddYx8Dq9Ae4JJtE1Bbe
mulDAa/8Q5mEO0+490k3fYAZD1TBDGjUdeGHQpJ2yxNY+Pu+88pNbyiY+MJ4gJ4bHnToJCvmdj60
PtfgOihkFGkwr2LqhnPSGP2tihr/rDuAC4Ojr9op9Bb5COZ+MsqvWiFX85022SW6IBKi8Ps3V7dI
rZNhpsOVMRpmWNdVqiQZCaSC2QCjr5KgfUB/G88Lm5vnubBNh/RxRR3By5RFIo264QX7cHajBu6y
dAKL6GfW3uyiiYCAttpIa/aP/I9qPfJArEP0TpO+8qchGvTLFGMTUovJDt0hW83abl4QEW3MNCKe
wbD5zlvPsKsvREljd3ayHCFM4TfMwPF8eYwvMS+RFuv5TbRAsSGMA+1ZU9OkVfDwCe91F21W4qL2
i/7hm4TOzlMy2ooyS/ZDyrBcEERxYw3IICCxDnjQkMwc4kSbn6UZsp+kv1uvvdnMjzUv2S8tqgcJ
7C5imDqIxAGTpOW922fhW0Bzv1uyCwCu/Y2lOk/++MicqXhr6gY06FRo6yPJAM2KEg2JK+b8F6IK
hhVk/mnbsmN58CeXHF3N50xGDla/tdVhRiGzTMbS3ROro5/pwl14RzqewQJ13AlwANWHmMCRL6pG
UJ6NhvrgKTvZpVCN872DGGOTgCN/BlBMXIpXDcNKhgLBWYfJL8ePZQisxFAlIynFMmXDtYfQn608
WshrqlKcoBl1U7ErahwyizaJ+icVDpdMCKQR/iKILry1ynRhPBaMBvd1GeeXe9AYDlGQxvdmgYq7
8pqOVBNOp/EErY6f6F0ir44Rgb47wp77p94eu+E6CsPolPgKvKIJ4LOCaHrlxi6f6tTJ1jUTed+3
tkC7PnnqIOs4PmFIQ/PHYHJN40ycooZHdV1W+BpnYlk3QzW6xZboreiE0bL3kPPH4sRDpHiouLo0
4dUhg0Z98sCBfm76qLlzZ6R8OuF8J2k2bWdo+ls/5qQahDEeCdhWd7Vo6s/iUmEuSznXPXHDzNA5
s8lOjAUfa5AYZTWuOtSga6/mXtef26luPvRM6wEqeepLRXa8wvQZc1qh4IeHiG7Etgta/RoMWpzc
WSGl7qsgOo2Qr2v2u8QbvhKq4fp4luzBwYfrDFY4XWG5sOvVEMANMYD7KjQ3MQGbfteFsCUr03qo
LTLgE0FSeC3j6EaKrvooIziwLc7eGF/dHFrIENhEig6eZNT66jA1ZriKSDA5NgU/ngzU8dE3UtbF
KEx2zgVdW5tGdOpAQ81AhQU78BIc28l1VL5vskskBmq+jCCwDFZqXLT8C/Ap/UUUDXm7SucavAuW
4Jo2VondbaJpDQFBv3qRK5ZhOOV7q2kvd3lH2h8zF1vcJyRbPwGKQU2ElwGGqkBQ6rdN/cnBqH5v
oJbMyesa4tMki5IITEDkH3Iyum99qbsnsx6zc3K53KiB/CuBhPSs3J4DZca0CTwPaQmbjPjkas6a
n6L9NSNjejNnhFnG6ArcJ40fnsnccPfKjOGcOgOfWM0ZckhzfIT2oV/ngWyRwwy8PF7jhJjePPRL
JfJashYX9Fuwh5XSGMqlNCqYxm46FwZhaDI8uzEl16LGNzjti76XMb+dO2k2VMPSK13uNNas+JRn
aYUlwJqrW8NJaeL2U861NrVPHrp0AIAsA92+4fagZurNIl2qYlBvRpVaT25EJkA/aOsrYGQCoXj0
FIaJfH6r7LRulmid0ds1qei+2j7xOVwzJD1GXXNaJG9yvTUHrLgLKEvWw2znxjloTVYzT/Zfx9pX
d21Y0vhXdn3TEuP8MqahurNaPzrhFU+2bQA9NdG+s2cdu2Qa4J3al+R4PivEVOYdchvNGl8ROb6v
iG15Y0ftXVMTh5u6C5uL5Nn26Jui32Eg7PgfZ+23N2GBg6DPMZm7suDS8Nq8cqDlElTpRcmtdJH2
EoCmH5saGMaFS9lGFf+Xrut6Ffa181kEkdi4NaEptYscynZG6BG9I7cW52vBRNNdZZCqMDg7xXS2
igZJdk7VcAl3fbLzyCWPuroHFH/dE2rKLJIw9rBtmtVAptONov9jdnGPwrBuOGwmT+ZAKAqBP6wb
2Jag6SbG9QhK+1SS63wvQ7u6SLa7iEUX1zkZ3i3p31hARdIe+mnKVwnP5rUZDc1VGXklTF6YSWz1
2QIGjP9ooX4KCOjcZ145nrOqd1574kVVYlosacQDzo4m1VpaQHRb9ziOqfvMftvE/zQimBwuc6aK
TFg6y3sFOYBpWcyGtE+r6ZnE8ehslvGw8cZ6J6tcrYLBIB4jAVztD/Mn+n/FS1ZAseOdw0myDTdi
oafCWXoIlmNsWJneZ//F3pksx42kW/pV2nrdKMPkGBZ3E/PEIBmcRG5gkihhBhyjA3j6/pyZ1V2V
ZveW1b4WqU1KZJARAH4//znfMUxnNUZ4i/LShTE7DCy+rEFumFDVAyByc+9kWfc0NIbHrS6Mb0PH
NxlE5D8MdISsEKYhKtFH+j1MQ++V5qfikKb+K4llesSBUDEHMsqtSk2Mq1OV3KUBwg2mzyOpKOtH
YkZqNwaGue8h0m6CdHA2auRi7CT5JZUjFcbz7J0ZLty3zBX7Skz1jsuJG3CdcTqNPdB0ISnn32M+
2G+TdK1rWIY6YVa6zxL8zHpiht0J7l3nMuqKV0v4/iPYi24nxm4iyMpcSGqppfZwmuSvhVWTvZZx
n16bjI9BCsMlhahYgYmQEv8xDlIMjYTcaaqiZmsBGDj4HgO9G2ffKfSFzQxIrM+bIlsJ14BamE2P
i2m/9YSydlyKOwIPxNLZsTGQ+cMVC2r0Qi8LY4Y77nJugTBhgj69BWa7bPLSCc7dDLEwMpNtIjDK
kWET9wBT6nqdqBA8CRmh4zzX452Hm7piRjNyLjivOsl4ymijchJY8RmVYau2JXOxKoyMy4gd2ngX
Rn32rbRdby8sBHikNUBFxIGRNIbUmB7CyGkuM2K2JnWP5LyGNsuhz6TmTfigJDN/OkQEjMegy+8o
dajPXQULrHPrguWo6mGtdz19EES7ybkdrMkIv4XsTDnnEIEhylUmYlk31BbrUsEE2vfYW99oSmqP
te3/sBbvV9TWzQcTa/FRdHThZbDCXvyCUjHcsPG294fycfaYWIq5tVh6h/2yjnH7Qis3Jzya5Zie
DKdW7mb0zc4/+Lll8YxxvfreULGuyZoJCSDfEHCwgwxv3lAU3IRqS2QfZZlVj3YTlI9eio68SgEd
7bNE9Z9FZ5s/Koznn01kkla3Db5ggwvgJNqsfgKHG6hvLRMP71vKIYeWmYKnhOE5x0IGPFHCSb7z
tEQ7WwqLgp4YQfJY4wl+Zj7mZJqXiXuKc1gVJeHZz27oEBG6eSh/56QfSAMsffRhdpn1A34UT/ra
pRCqa6bow87pd167UUoMQS5R92kIiQPaXkZSI0suqqeimbgxdMmkIxlxP9Y7N1QoGnR38PFI7IEB
hzRb/ZR4A6VgEHuiD3JF/JtQTkULOCHMiYlUJh+jypn7fDN2vMptRioJkB4uLZ9DDNgAKJJu1Z3T
RUAj6sxqtJK1whgZ7xhe+cqLEdB05Srkx03ihrOxN2Y9AsCW4kfiMBVessQkPeK1JUMrfCreJWPh
UbcupiH6GNsRo308pJreH4vytz0MfNehcSg6Va4TfvzxyxSjEQ8rh/UkfPDOxJnmWzi6V5wn6r0T
CpISDdWKhEi0KEASq3oS+MeqfZFmyD04C1IOmPlEt7iFCnSPeXiydr1YxHkm8fgkFI4K3kL2rWul
EUlcxwI9pJVmnp07XAzjHiaLn9yFYz/+HgG2cCnZQiZ3nmElz/k82vtqoDCutEL/MffDBlc9lJVn
sO3dDGzPpWvPHfihD/ZIbA+p3eVVp1XEmwexpjLY/9WiWPOecO2i/SfzBl2G3+Jo9Pz9pbK7z5TT
C/QaxUQ8d2P3K6WLsNiHQ0tH2RCC6KQ5LKUDvQDowLzL27kcKvQ/kg3kSciC9kx0InFldjS9FhGl
ZbcCCKRJRcul7nLg5iHM82tdDqZueKf4osQhTT3tfTI6JsW5jJCFX9k9KSw7ebEymu2bojZP7KTb
gyoHmg/iYIKdnaevy5KoF9LN4x9rsP+gPv8F6tMiVM0+47/3oO5/1ZD4UI//6Ik5fv7X//7z3/x/
D6omJpO0N21qj/6Jwyf+5uEH49LG46NheGjjf/egov2SdfjKGZqEE30XrykWJZ1E/Lcsp7Ql/dPm
jyMP5D6+mImEjHrtaZH5H7bgoV3T1VcHxcEJ4neFU3/Vd9yHWBJ+qwzvqR2NQ6V1n6C0vjHSWLvB
n3ew4k/gsIItU719dAhCHDutIFWWEsdQq0rtbEKH0UoTMen29xzhgqy1DlVrRcrQ2hQrZfNmfOlV
WrlyCnQ1GaTpLjKqaTvE/g1GdPCgyMPnAXnzSqWKrzboI2NDWMmw7c2s1TJErXUzlvdzR9IW3FG/
ypDWsHcvj6KLxKb2lQ8uRw3PdhrSdKRVORJzKJoIdUordl0fv3luSam8VvN8rev1WuHLtNZnatXP
Ijy8hTXTPDDKb12kwQGJcNBa4axVwxL5EOANRni0b0pg0RZTrTLmWm90tPIoi4YRQauRrdYllVYo
lYtKUiBa9lq9JDQYcdBE0WSo+W4zQWqZ7sSTglK9FKEy00ro0lck5BBHlVZJS+TSHtkUleU+0jrq
YDTTQTpocpNfW7dQ6629Vl7x5ezKUD2CfS5vOa4XyFYBlLWMjTbe9qG4a6UTq60djNxlyCx8Gzgx
PrKod49OZ/Rrx6kYg2U8tk8NqLsnwPLi7OYzzzSjFC2EMq/hriPTK8lc9S0KuV1iVA1fp9LJobHU
A8JNjeqVEJzfEvLgjINf4NFXivtc4TBIFPYoDr0TyHc/zXhCZf5YvFZ5RetMgdJv2gUdjNXXE98q
EMhjU7YXxKJgA6bE4pcX2oPFeRP9oLNlBac7IqWw1GZ1otaXKbUJKh9cDx2sEFZqipzhsxIPYuGx
s5Wfffg288VmiuJqy84oev1qdQ2cqNxOZUp0Mq/JKJCxPbv6CcC4m31IGfFECC2fR1aaL9auzIxp
2yM0PsxipHeFrslqNcTAvLq04/1TZXtwesV2XWD/3LRNQJO16RSvMzLXj3bwnaNBgyxUILDCBwyR
/J1knB74BRprhGkq/+jOIZpVC0x+PV8Sz8Q8bMwqnh/smI+mAIeXH0Q38sM3czzfYM7wGjVM6oZ/
nAmzFl6+dmbeBxkUfEFQ4OT/6CqraKIs583Ul/I94frbp9A/tQWSEy95145UYNIXr9IiPgqPhwci
9WXwGx35S0ycJ6OhlvdfryzDnRvsxsHiyxe27T/GS4JEIFqioE6UBI/upKUxoy9/A1IErwmx8LnL
XEWTGTV+pOX4wb8Oquxw+xcf8thvqv8y+yhGbiIbbLrz1gw77ILKzT6+Pmng3vluC3a3YWXNnFfS
SYV0oYWEACXd8iuGMzROBJZXxjX7TVV6j9GXrv/YAoU71nk03Sxmuk3bciqx48F3DxIq524Y3OpE
/w3vmk2Pya6AoPTZ+0l6rUwAkJBX5nMTWfYtMrPgphqj3CZ8IkmshYLItY1OpkSZIC9FE19oDPiO
BPLyXREnxlO94HpcPKbeJuY0VgMT3369W6Uq66c0nqlK7XKQEWsLF+a61mmTWedOrKZzoxXFQMRR
vJgvPygW234x8alf+IMd0HuA5Le2v/Is2XLtquQ6NvPDYHTPY8OsPor6o0pRtEpvJoR5Z/cD5/r4
IRlNgt59ciiz9rcgTRM6nEh6JuLK9m9gSDk9JHs4U69xSwhH6DiOp4M5MhJkuIyVLed6HejwTs9z
bCChiq/aSi3vxvTz0um4jwcuaJPrCJDnEwayfNyPaTlf0yncqAl0GbkhRweILB0lsiabsskaGNxK
6biRV+dUFIXwRmdaiVY+e+XDqANK/VdWySC1VMXTmmbVX42OMzU62ARzpdtWOuyEzfZnS/qpCsQj
j0l4lOPgMJcSkTLISnVkpkiPlsx9xKgKiKi4YYhWGTpkxcGZYyRtpuNael79NOg4Fo0Fy2dJQsvW
US3tO9hJ0ltVNshT6OcIAQS7hFh4g3XYa2qGaJXpAFhOEsybGdoZWo+5DonR5OoclA6OmcEgYVgQ
JoP3xXGUeJlR1++NSeBsqmrzMusQWqvjaNnsAVMcSXhZZbOmxmg1WPNvZ5Y3qcNsqY61uYqAm49o
t7HIvEGpyr7PXzG4bKSQVkfjTBL0K3hnEGfCyG1W47JwP9BxujjTyTqhQ3YL6lIYPTVk7xIdwjOr
YL6yTCWZ53yl9KreJrFX6fAe3J7qUpPnK3Swj49VuzV12M/RsT/1lQAsByM75FUuN25nAD+ziAp2
gsYieqOOc0nw05Hy+6CDhU3QhZvMGr+ZOnRo6vhhqIOIBolEohnvTeLsTR1VVDq06Oj4okDfXNc6
0tiSbYQ5YK49LkNOVgQfaYTu1jADNj12hQvUkXjLkBB8ur4Yb77OTuY6RVl/BSo7na1UXzHL0SZ4
h5Mle8l8YHSuzmJ2OpWJXlacQvhkKzreItazBpKER44TbtlJxSVdvzrn6evEJ5hmbEZJw2TlaGeI
bIOrHKX6qMy5+FA6VurpgKnQUdNWh04LriLu5F9Z1ETHUqOvhKqnw6ojqxLr1H1lWBMdZ7V1sDX4
yriiXb72OvbqWS0BegfBlDexNsn2EZcd82y44LVy+cRUVALVjZD2yl0Uj8FpqK81FYAnVwdyIx3N
pZReh3SJ66IvkdxdvlK8fVgZ1z4OxJFJId9bZt1s04lidnoaanebEC6uStu+By3av6g2VQeZ+M2b
1/SsZXU4mWMhZ1tfUbXkypQq4uWY6zAzKrJxMnXAWeqoc61DzxBwMnY9OgitI9GRDkdjJf/h67h0
p4PT+VeEWoepi69YtQ5YDzpqzcxwN7GVx8C6j+2YczCJ7Owrm51VIwts1bSUYxDdTnWIu9Rx7rrN
XbKuyx3IBzqBdOgb5qxuuCYIvuhIeK7D4bWOic86MN5kOiNJ+8W704dXyge7X8pPGUC8ud+FOnM+
6PS54ZBDbymQ39DFySX+lVJnOc4TtL6vfMLzMoQs2JlKvDpy2k9qijcdNKTZc/zrpDPwLJhIw1fW
3uOIuS6sdluPdfyrmWbghDzyxqYutqPO1U/mNJ3Skaz9oFP3dMBd0ri5uZEQGz8KsiN04ukcZbhX
WW0YSW5tkXVhXXB3tc7+QNuYzvkkhSX3eamy+NHxMqBO9tCpmJWeckFFhwaom9c4bkxOu6EZzwgF
ULCnI9QOb7kIRpV8ncVlLrZzl42bKZA2Mt+QT1mx4rk91Bu41bifunhMZnhzAZuIFSyF2j7wNHzj
LP1omOG4K6tQSz6Deor8BR7YvMAJzURNs4xw7xAWvjVQGreL9G5pWBtrGFr0p7C13BShyO4bX4of
3VTP68yulh9WZ/V3qvSNXWqNv9oYXLESNjTscXQ20NFdIBOcfji6dw8IPfYFwaW5xYwqWztCcp0N
/4OoW7RqKAH7rvp4ZhvSuiDMo+hUGqm3ijPTXOdNV63HMQUvhr7Ao1IW5DncdA+P5Dk0esi1uXte
HAZtZIFP39b0iKZsr56Vr4va/ZnQuIcmn4anOV68aptZeuiPkVB+mIiFn0AFs4tSFfhvwJEHh77a
I12KTyahGnPVMMsY7Mr7/LgsEWySBerrxWX7/kg/9PJWQFS965LyJwfQuNzWdjMgYvRao6miepNW
yc+mLHnqG035SRJX37Oivt8NVTruWsts3xlfvK3N5uHWR+GyZga6OWkm7inki7uVRZ3KyXTDZuPP
AKCnoVKv3qCGcyPpnluKMSBwMvfFfV41EBJAviQ/MIRAX4uydNqVVsKjwAx1iyZHw5o5oAiDT6og
uHGMsbBu7BqCtx4v9/vilNQZJCxhkecd1+CW74fVejBV9Vzpdb7Qi/1Ir/hp9Z22gbWAPWH9L7UR
oNaWgFSbA2A/Ucj25RgQFRiFFupHjcxZ8xGKGUqyL3cBWJ7+GdFOmw6o5fnyIDA9a0vC9IdBwdFm
BVSi8XeiDQy+tjK02tQw4W7Itc2h04YHVPVL3g6Qm2PMEF5pjg+xNkg42iqRa9PEou0TQhspWm2p
yLS5ghf2wsEv2viwPHZGhgWj+HJjfEkZ/1F9/pXqQ/8Wfrj/XvU5fn5P/qkCG4Oj/hd/aj6WRYSY
ZC/ZXsj4Hkrj/8sdU+jyN1hSliAO6AUasPin4uPSjW2CRTRtqhIEURfEoD8VINei7AW7H4swIUJB
Hcy/JQG5fzEvEkEi18zLIshB6NH5axVcbkXNIPzIu6JLGsc4qqbmXLHjwj0RsHSHwDbZZe5w2KS4
pnhaUinCH6REfyV43p9cP3fE2qqdZ8+z4LT5RnrGDTuhT9oBCxNZeUHJlqcLayBPywxhr7Bjyp5i
pZoXs2oiY1WNaeGU5zxMuz0TfJZdfWLPHJmaItixgq6OZTRjAMyGZl3OVrypysLdENsRO5x6tr0F
Bv6Y0xEF0dVU0aVgXLx0g93vZ29sTnbYqs/Foj2s7Jnsws58B6Xk702Zyo+2zM01s43H0rn77rSZ
xc+L9ksDlt0mZ/g508GUEGF5o4xrlRkRa2x/BIIcWFQ/tFR+jS1mkMEqR1jGBZe5TXHpvZEk9ttI
vz3hbbkhTUbRLeyD20x06NaDc97gSH4rRBq+TGKa76eKzixph2/TFHjb0ZzXkTOWj25mNAd3aO1r
W5btcUCMWJsZLeLlWKuj8JL0LjSK72HfcMTC8boVuBrOkCRDcAzG+KPL/eg4R8LZ5ZVV/CqLtN0u
WWD90pnbZh10bX0I7fTXQABwy1Zq+iasAHhunAIrbmQQr8F4BB+2DRtY+BnNFUH9VqblG2zG9A4S
Gf7WRNF50FNyyeBXb8k/+Wsh4SqufFVxrKC3Ulj0b4Tlk79MBArYw8mj/kS+NBrWzT6TbQwKVH5A
yQAOn/g+gW06mDdg0UfmeXbYMzbRSQ0rL7fim5tb+cM8dwtEh8RcJwtJ58SxDY4w5iT4Lk6NROa7
ezcrsD+WhpM+KUg6F4GZ8pIwPN0RyiPLlUTqQbVNu6u6bvrZB24BjtB0+vWQG/J3iNkRMKZyrX3p
Z+rCiJYeJlF1l57eMeBcnoo/E+wD60KyVyaqTDPPPEj/bKE21Ku0980rQh9Q8jZc6HqobLNaN94I
UibAykF/F4kpNi02DqW84VlBefPGjpNxB1wQV5NRGpT/lnZ4ht7Fcb6XLiYMJroWhPN0SRtelA9J
7NQtcwecxQenNkIw/V2j3W2DoAgpsaSMqBXGp7cAR6fFjb4M2Moso1tD2fDFMOA7eJN2fmaGbwhS
IFta/ywjRM+S1nsECmH+GCkJ3UGH9H7mEJhOy1SO0PnHxNurliGAY7T6Ftau82DkkU9SAoDo0OP7
WVe5ms81DKd+HaAznwKA5RLeu5FsZ2y6D1gJ6+3S8GT2PJJL/eTgPmT9dqNwQOyDQg2vuJ1q/JQV
/uksolHKD+P0bEjW5qIMA0oMQn4kr2b6WtlFSJGFrzAlteMMym3MGK+iGWposLyMsNlWowJrngiT
bRnF1qyt3eguCar2waMFwIqC9jmFnH6D2HVoK2eB72aiSE3+SQxc1ijL9nRMo5LhXnn1A3ZrAwum
Rc9FIIP5Ke8KeVd2o/1s2032gVGh2Ri612NQrToGc5pEx8oMfZr1GmryODI4E7RK5k6O0LV6hEvV
XuZMZmtunuYVOwEYI+aOdVWmDjcFMKmxo8zj0lifaO3eVbpNdcT+bR/LbvDAmHblmk27nes3eQ/P
KNlEqXw2fDnjOLad/olD1vyrNMFlArabD3PGQO3PDeJ3a6EicQJJ1lYq8j3+ObheETdy0176c5oM
00tVmDBWZBWvvWD07ky2Zgi73IhCknqbCMvKu1ObyWHGpbw2poJIotvPBnqJ8N55CC54sELjl5U1
xmpSibMm1z38ziKjvroQ1G5d41mYV8oVQ5T5PV7KeNsA1adib4T7O3ZGuwadnbzbS9xf2rK4daii
pyT0qrXTtvKMiaV/WCpOAWoKlgfTSsP7LmnzZtXT8LN1Y6/dly4nSSbUYNPlAUxsP3F/xVrZUf70
c9AtlTn3zGIV5SpZtxgCLomBDlJLod4kdui1a8nlRr4d1JFTe+9EaLg2HE9idg2wYaX5dFclg8EN
K8bDIlL3Iy/o3wl8+mutqKr2i1lb31UZu+isywvHh2htq9k+iNED4WsaESax1Jrwpi1Uu4fFbTGt
I9ODuaIZw/K2IN95gytbhBs/HR+VzOM3GitJ0gzAAWdYxw9Z0VEWZDSxejVjrzmFTuOf4iCRAXfQ
KDxw38Qi0puXzjec27IMD0Oc4s4pcIri58sB9w7DM9TWUltSV1wS6R6+ImaxhYqmMDBuOeoxZ+W2
pqHMAdaOSTw4pJMHSovOpS0m0BI0XHRhrZvva5xrRy2NIglhKlISgxMXVLIbSlxpMeD6lc0BEY9t
VF5i0XL7VpH6nqSm3Buj6Z0X4Lk/Lb8ofrSdNK6iax87pxRPmNpfYAwSMg+jhoMPRSJtbyz7YPCH
bSP88aUrk+GEl+d7Rt3DMclIAMHo15QBNPJhKTDJTkbcnVLOcSx2YvfWxVX9ALIQahNPrpEA5SMG
Kvsdu5u6YOcYE/bb0fhmpalxKJZRXEqZZic7FbvayZo1QS/UB/d1MigwMnGJU3rjRCufRuPnMIjl
fsCbeI9BxVqDa8Qu3ES/ApYEaxTcZI++xZkL5eHQEeO/JK6rzlLk8bcx7FihdxA65YJbyQXE/ptg
wXMCwBhEYOY/5REvobdydjV4Klde5tyN3FUhOlkf4KwNNgAudlNZXwpSRTi1psscWe5L0eQsSHBl
bqlXHfdwBcJdOuXRRzvME5njtP3glMIRNhwoWBjt8eirbNgVXvehKO5hHVFau5ijaq5PjcWQfDcG
wdZiBpngB9lyCkMyCHlcnKf+7FO1g7ZUl+PVLci5kfXEhWP6xUtmeNUTQ1UOTy7gUS8sDkSpotXl
vq57aw8EQF5xqe1Kz5H7YDLbOxykBC4mYeyTzC13ZmLHFx97/7a1s+EQc2rEO4hR+gFBazomboHs
GgzthtYowfZNfXR0/UHEb4Xcc7xf7iVboHUuWutUL221E4Gavg9BFEABb3CZRnnniVVexE2l+63c
jaiX6WcF5+vDI2FrMuZ+L+Mw2vBCfpdD2ewydIp6PVdGe5w7M1iXWU6Zz9JSdus3YPdXlptXd3Ky
2cfkVHursWySNV6zT5x3Ng6RRfFI8zAHiFCvb/Lsnrl33admsVPYKnZmJHmCqsg6LdwH0DmZNuG/
mofIMczfAaG4VT8X0AB71hq110M41f4GRo92S8L0UeBNp56EFolzFHV69WfjTeCt/iB5Gh/sKaKj
qBpkt2INkbNSG7o1O4tu06gCDbrxI/9bk5htCJLP1zkG89GXPJBWbCIyrOm99XOC2EcZLi2E5mgX
bH9yG+TiQtTmKZiiIQNEMQZJ/TMdypHtJ8z1sHz2pyTP3VMkgjQ/91MQ1s9qHvmtYeWBKjivwopJ
eZW1OPSpniksf1xXGC42WOJzH6ZYXG2MPsp6Ysbz9Etitf5UIa+QGUF849/UHwbOb7pPALIhJMLt
s0ay6BhQ09MwBs1dI/nbdefV7w5XnpPP7Y7vSD4pRMAYkIj2KYSMehXLqfpsI9O6q9MpOHr48LiC
Ocxd/cF7hsEqVw1br0+3kF20WvxFnmFkqC2bgPbWlo0DCo5aYqOU5aOp6NnF/TojwiZqOLhFTwcj
BvsNU5+9qV1GGFt1JQbkND94re6bKYQNuLLDS2a2jAA4CrcshKaN8ObSWfkG38/MZQ0gZHTfOkxD
E1kViUBNk569aswiX5v85m6K3NU6Lfr5XYnoHrIwv1aTUocnlmjxZsximk36YTHvZhnb66zvuk3r
FBRmkP3xBtxDMrgPeAqzBGe3gc0Mb++KtqvyNEGIf46Don/vGT05M3Xjda6W+KkUS7cL9C+bYuRs
T6klpy9hl3A4olG1WKimcesN0jzOWdc8Acs1+w11nNl+YLF2zCF63/o4JHbSWM1rm7TWNwv/7req
jl+j0jcvro1XihWOaRwcW2LBrkIUoWE0z35Yyie87F21iSJZ+XdYt9zHKmm++0vLckdCoiWKm5jL
OiDjkq7TJXZx0eKgugfgW7xlJmusIFPRPqCkFDLcYNl7jkL9CwKO+hxJgoD1dEkalbHc8IqqXQbY
vd5MbQUx2esFmn6DG5iak8beQHRRPxamPiZ+A3xcW0/zQ+MHVERXYZHeWvo3VmazsEnE82xvO3i1
W9snUMcmPT0my5JdSBOnxxK23xV3HwfYyePDZBo/iqBeXhLKjsXKszx+OJZC9dYU+fyWc6uw+eQr
c71k/nJvzDVbBvAG+EnH4lbpOclZ+FzR7NOvrAbcbmTnSPFMvtRAh/WhyiILMyypX86fepC1RHsR
DsM1XmjtcVvwK0Dg9HHckU9svtW9Csp7K886hyiKx2GssXgKEBToqBEZEg+5G+Ont3xqIKV6sEK2
Qx7VZXzB0Zjf+mqS0/OiDBa/0HY58PYPtEM5PtWsg2/7chU67aTO/EpaiLt1TLHr2umsmj3N/ynd
sUtc1onXJZ4oFPOb56Iop9d/kH8e/kiT/69qKB/qtOo7PD46xvoPIXMzMCGBCagrTGWoO3/NWstm
UlnhWOoK2UmA2NWtEvbIO1IeDUKMUfxhl85+zOyTk4ud4bY7kVgQgqmrHRawp/2WH3UfLhmxjHT/
P7+4v+RG/3htHiAvov5QWv5KEiqtsanMyFZXKdurL5kVo0M6Xv/9b4KjiNA1eq7p//UXQBP1xKGX
sh342iv9n2cUO7pxdl/f5j+S5L+UJIP/uRb2WEC/J1H4T040zsB8UP/uRPP/xlrbBqoncKegPvK/
/qQhhtbfhCZ6aLhLCPomQLD8uy5p87/wfAQQMHy+nlYT/9QlHe9vGp9EqDukvio0vX/LmgaH7J+v
IRBswBZxpuGJ0/n5UOuW/2BNS70U+cbqktPU4K5hO0pFKZUe3lk2PlLPPFku2U2WGzJviMzosDra
2BgIdqodB8hDa5VQWoK6oOpt8V16jOidVKuexqRHNvalu7cyfzYe8zBr3xoMzWJNjCLO1nNUEHgd
7W5kUi4DWrYiTiurgXY1zFnk9S9h5vk83FS7HBeLJpRVldXhltOE025Hjd9bO6om9dhFkg1OYDQ/
QrDSP7+MGn0QYpVfTIdOVllAIoXATj2phdBkX0K7TzZdWHp3ysV4U44D3fIUPvodVI4Vg5zp8GC3
0ieZZfPjlJj9tY3t8qZdRxXo7NogmRDAoF9Vwow57WXyVgiJRydWDYpIPR9iGGEnW7bpmdvuniVi
Sz6pTuudqPDm2F2CTbtXdk5tmsBs7/a+/Ub5ho0/oC2eLJtAdZi4HzHJmHtRQ/xl3eE8DHbWHsd6
djeJZT8k3tJtCBP6W7pROGFJo3hwfKO4OpW6CZOZVhQFsTE5+clPgiJy78JHXKNg5WerLEmGeFNz
G1tu6qshSeM7xk73qpLK4bUNy3Ax1bahqOsaybb8nY1euBvhjO06ARAJIay72V74U0RsrayIvIRn
JA3+ef7ALf8W4vxbtSiUlFaJ06hqlpREGZ+ytnNuzhROZ0f66iHtTHJyefIjg0P4XdSe2vDQOCNN
zRuBjX/lEfzkSS4NCk2n8qlo8xLFq+iuYJMTyguIOFDl+NgWWX81Jvq/U67YF7Y99Ix39nSdCbNu
JDn1rSV4pQaZlI05RvHzEuiiyCJosLVnFc256yrL8E1IaZ2dpDFPszl8Fvx9qmfd4tEf6V3Z4GsM
bz5x3ccAxy8SWJQhvxPavroGkmYmeaLQW1Dv6XKtbqbNJ9r3hv5i564LMdxeydah+IyP/V0NKfMd
HRD8g9H3ycnVJXrEM4uGw/7obpo8V3sGd3DvzXCmI6o7mYl3N45dgxvfozSJ4ppsHWQTc1dVjDkz
IsGvySTBOUSYCb2lfzV4IuBTuAGfMHeRf3ZHPOhYCXBDDNlD4rT3BlYza25Dqg/cG7NHsa0C+bOT
PsVIWf06a4gQC9GP0m+LHb7rfl6XqU0jKOoT1p9zMX8aFMSuags20TKYb+4QYgiaw+gg1WjcqSAM
t9Eg401muu/cDLt7m7rnnYEqDn81FscZg9WrS9KNCLdPH27U4p4HJe9lBh0+Ccmy1H4nLdVsB79s
6ffED0uz79LT5lz2EOx7DKJ45aqIIwSmXopK3RIeX1ZulZJ0FiqqplxGoVsQOcWjDERMCS+/5plT
2RGY2/RYTsWyr/qcYD8P7P2ST96d244kTRx1bGc3yjcIkIq2zP4Vw49xMJpZXBGtk4oLrO5cZeJB
MtyCugyLc/HDHCmnvOB1v5Zt8KNuarH1vCV8zpgKdzA96UEN0uhhdoL0nn3398qVqDW0xK4W+vg8
OQpgnK3Zf3QtPzLpWDqrZWGf46LiCG4LPtJmXFBT6RbMd0nxMHPbXSUT9zsIvmRu/Gr+WIYQ2knE
/Zmdf39J52n+CGcqPEk6mc1T02KcMim0joOqvK8xCEIDCJlLH2IR4d2SnInYlrgMe4WgsLFbsvoo
85F0IhMbBERZhbc+83/LGv02tskaqCQoEBUCCxsGuetgJb2qrKM1JaPDxMGZJmM2KKlnaNT2sgvs
vtzNCXEQbu7ImdPwmhRzZ7mHeaz6U1mZycCzxWh+5gaBslXiZiAupoRD+X3eBjXO2nqiiWxAALlM
bus9Tjywn5w24hLJFR89lKpRfOustD0lSzl3dP064kfPpz9dW9Ds0GGNyHdJzUr/1gBN4JDAjv1U
29Aymzkydn2YVfEhavrjDFuDxuOheCLf6lBUPEJ5SPKID264qOQdDEq3HW23PFhpnHwPmPrDFVF0
EFtQ1N1L7LQW6pIrkcMWOk3+L3tn0h23kXbpv/Kd3kMHgQAQiEVvcs4kMzlP2uBQpIR5nvHr+4Hs
qrLV1XbXvhaWdSxTTGYCgXe497nHvqTThaLe9ytEzugDONp/5IlNaQ7HaTi3fdPcTqNVmZg6J5rn
GZELKhDMt0SZjHP3YmJ8eq9qM3rjmYwEFmvCGelKduP3jv5hAvjG/J/68t7A2/FiEBJ2IbziCJ2G
NVUm3U8n106ECEdWHYa5HpkDHIejU/RHwhgzYiOFNW2mtF7Wiz7vIoO60Hvu+skh/aRJP43YjBFf
dBY4FLeMhju/st1nniN6W7L32HWsOA2GP6r0gYmKMDjW0Th+JHQ1NodRgMYpyfuFR4UAIZtC4zaK
XfJpLJnVb6ACkotMy4AcCb+11drS2Yz2vUo+7bZK7pERPKRNOlj0jbl/ZGGVIbkLuVnLoq1u5kri
T2mGxoNrDzki206WNs8lwYpvzjAN330vrL56Nn623IhpcI2AELPVSALsCVJ6fwtdhCmObGrjwzYn
6LH40uCD4Tw9oNAnUJMUq/KrJonNI8fX746laCUS8iiuGJ2oLH6pvMi2V14h2/vYZvuGRU9W6M3K
9Mg9h5OFEBKyQSebDp9XrrdS1eabr1vf3uaRmYwb0RvOvkvt6J50XHPPIkutc1YWqI49G1GSDBn4
OqJnw5RYikC7tjqJsHU3bmmbm6kn1S+1uOAI7p7XwPTsbWUiacMK3m5BmGh7JZryTnRNu2nYhF+n
Ro8yQiHa2IwqLo+NsmvSadO8fiPdumVYGHSNWIO4Kl6TCQH4tsURVWG7rubv8Frk2TfZPknL/WYH
oX5SYZ69F4Ss72SIwJOUWOUThdYnyIUArHAispg1j5Ey1VnPtvraO3WKaq1EY2sFzgwTQU7ymxrY
E7e+kM8awVW08jI5MhirWX3mhVUccOPw22TuEu+Ak3C69xK/6tejFYr3Xvd4JXOn/Ep33t45GhXd
Oh4t862bKSC3gTl0XEtmQ4o3YaCfumKvtPUzNzBOaFD8V4Qn+ROKQrcheyccr7qmm+grDWKE57ph
XQ7r4kje8605d9FrlStSE3qsGFmP43DJxAN3mk+tvrNbbV46dD+bQGesIR2sAzc47oyVJwiXJvLC
KVdO3dvfYLdakMqKMngmF1axlssGhsvCkIIk6yYysZMGwaVprXk7gEYiXC1F3mw77WYuZbrrTLO7
FmwA3Y704zC2OkhCnatA8zB6JuAihw/otvVTgCrhm2sXPpFGJsgOPs15kf7Z3Tm0xuQYUGahVfUd
RjpRHcQ29BE7/iyRh+Urmk/EPATwcbTI4VywNnpJ/TF9ZEAW7s3IMegP/O66ZqfDFBZg8RWpsnod
mNSI2RCcPCztzS6vq+7gRZrcR0C5yWvjKYzj7I3ZAoSRswRQlJa7ZSs6XyWGKE8D8o9rfsL02rKj
6MOfoxb3RtuCn6j6HSn0+bFKA7mxkvmlnFhpr4Ul6veABc2trCqWY2ZU/4Ym/2+X/DddsoWq5i+F
O0zqUO5kf/Jr/f5Fv3fJ2v5ig1xVIN2hyEsSL//ZJSMEQKPjugr+7G9mrn92yVItfwJy7vf4uH90
yPKLyzCIcSjfZPk67z9R7jgObfgfp0w/gwpgNmrBKxBS/Iqcr3uoE6MrqtMy0NpA09i1Yd/uJDKX
Ow7QsDiCBDByLF3hjCi/djvjKSQW85Otl4VNeTTqcs7XWQayfm90hqwfO7B8V16go/i2hQ2CPzRS
bw4l/SkULHDaIQbgaiT1pjKjKDuxHkh2pK/3m5bYt+u4rIziLQ/L4kzAcDlj2RT7AELPGveHVe4y
hrr6rY+oLQ+eGaJ9bauJUOdh7LxbDBtqo4olywwIt72Vbs9mSzNWjt771ghfiVdtsgMlZBLAH+gQ
NrTcyy1NCAHFNtq+JMK/lg2RJ4dLGiKqUjuvSufyUjQNPy7D3lot1SfPu0MLdKsesVlUppHhPrFZ
3q5AUTIP2SQU8/7F4+xCn+EjTWoxDU1ZR64Xk3tz2HR9r8RahNRjH1jGmmEmOjVyBjSveeMQjcU4
ANB/hqqXTYXb5dS+JBEZbEzBK7BcDr25ssUGV7g9E0zXB3m5xnNshaROenFXzPHn7KNwcYgqyILJ
2fTkKhExQ2MX7K0ETN9FQSM5mgPSBfaq7BW0IVdoZSmDFsFUaBg9BODSemB3C09XNiZYK/Ix7wR6
7J2ry+ldwYDfssVJSbWaAEsVTQVKIEuuwXvJPZ1DdmTx1u2pgohTrfLCJYAm7Y5eP65VFya7LIPk
K8Gx3DgWz60+hJrp2tDd7dZZthpBcWhm7d/Vi3LXzw26sMRHoD0bfYmr3n1KigwVcVA1t0PYq7uU
Cv4tzNjCBFoAS4M+cMf1UOzoIKLntBn929QC3sC+DVjw0HV4wxWmuUFE6qJ14j+H5SgPY+gaN8a4
SBeoj5gMqFpe+66f7o2YeKCNUHUyPZcVqzEW/aiQXJE/ECOWiFXmh1hGnLiS45o1GciIYprnY15b
LjCltskYMeftcSCXbz/QIaLKLuSVnhVLHoFC4NHWoiEKvqT53nRJnf4Qg01kvVQza5egyPNtYtEN
TcJybuuIHL96cB7jSm2QGtmLq39U14IFC6V0xIZs5dddf9MFgXUlxrE42DZRvW2MZQOTPUvwMHXz
57oZ833vq/LbYIUvgspj3aaed+KTpq4spb2emtI7z1M63vkMQU65PdaPgZDza0dBni1iIusjLmrz
yphzRflWSXWi5dE7Oy6/91ipD8IhmZwcJ5TuuBwesEh0r6YLBHfCAvAihzYi7LfyEnRhOeadhDvM
NVraQwXXSKuh3UWlezUUsUvsUJTu41pON7nOndMwNrgVAbbE6OFzbdyIGErC7MyIzbCIRreEZ4yn
0SjHek1yALgNsVjsHW9kw9CyiISENG2BjJcYx4dweV/alSKifB0YJrCkZjgVkDY2cnKsZxu5AwE/
9VM01w9xaajP0SkYbVEyYHdy0A9g3ynn+FHVsX2VmRNc+tYu6ffxcmDxO2q7UWdS+Spuja55mFMv
3Ti1WXy4HWm45QDORqJ8/lYNBZsaAQZrpTNSvoI4sJ8CLOdrCJ8WTV1WTXCvdXDG8929tY7BiigN
Fj8HmxgICzNlYH0iRTN4b2QYfaeV6NZNX11jPGB36A7jJsSw9GqFC8rIUJaHomaYrq2x9DZ24g70
k61lcMfZJC6JajR2dUHVxbbeK+6YOFAclq3Q7OtHcekbjPCMOSOzX6ofqHxW2I73QB+wniXBIKFW
+d63ZMiwPnRRB0kBcRbDE5961jYAERV97rx3SDeu4ByyL5pawTnXmfggA0wlLN28sGF3aZtntWB3
JmE0F8WeeYI+QGcCUha8AxLJIxDCHgbZJACkCau4YJtMuESdYt2a40fFM+9eDO50DAy/WfOXQnKN
/eboIADdt5U9XhNBGGFlK70PiIfOj8KwP6Oysq5ZETftGq0TCRI63lZ1zAorM5LzQH79WZMvfQ3N
241X8fwRmhZuDTOFJTeOT4VZP5CTbK6RJ1AvL1woKtYQs4BwqCVnfcdopdgaroWmiXjM5hAQlpom
fbCzuwjCZF6Ll6hy7H2MnG7H/f6Bmde7r6xmWENNLB4DJThBwpoCMk6yLdl/Tnp2IGyhxMn7c5Gb
wcEYcH+u3MxdknNEcceVm22QkzGpnIr6sxoXxIBVCvTzqe09B65vn3iF08YaykVHVlLBp4mT3aK/
c3apNRVg4/E5mo05blAnRNdE1amVm+fFvu3Gjun62L5ZdR1u2CCiuVfJ17YR3+KqTBDnW/N1j4oJ
TWYzhLBuqmyVNwVcyiy01pMcmx9C9smWmVT3EJuus+3tAXdK4CU72ytYK9a4iBc/ygX+LblDWla8
iqi+6YNYim3MejxY2VZGKnsdgg7uruoI7o6TD99q006/smNDbDR4yWdGUY6tCscZx95X5jzf6yRq
jtLgcW9ib95UDr/zyUhYTezqDijzzaMZoyHuI0HsdRuJ67k04g8dswJvybDetw7SNrvx07u4xbRg
NXGEmy+ujh0FCWgopJXSLhroQVReBsO0PbpLEjqzAs1zOpbVphWGsTFpzWDdFD3dc5N/tM6Ascmm
CekCGtUpdA9DLytssefZxgyQ2xkGh5LAVuApH5VZ3nWdR+kQ5QsKnWjx2jRoOo1XEdmMnEKXhM9k
psJIAVUmZsE6r75TZrMnR3FxGncrMwOcCeXr3jPa5ESKaUBLgwqs0qx93ShHihOG6EdTUjDt9Cwz
AxhWMw771O30gYTsYIOV4s5I8tupjsJdm5ns0wsDtVI63WHYEZskwvDftGWxaecy34Ckp+sPO7HP
CbPnEFaSQe4IMUYb6rG1AbHNsV+s4fF+r3zX2DpoEFcM4QCsIC3nQZaEPA9kdzdYQn/gB622yuDy
Kxrj4I59fufin+VhjB6ndwAim7rsjmNW6wPTMAPl8uydsna6SyPnq+2rp/9uHP9/4tdQMC7xGP9v
E8SFyNHwf/5d7vbvX/p7R6WcL7ZD92N7Lm0LmWtwi/+RwmZ/kZZgE7jspn+HY/y+d2S5CJMAdwL+
UqJaKLf+tXeUX+BoCDaVy7YQPO9/5IdQ5i/7cSo025KIJEhB8+jxFB3kH/eOKhmrjE4jPowtgsmV
0EmogHsGEBisvtaY+/vShHxjqtA9AlzFOJ5bufZYajToda3BjcedRCOdbLHxBdXBgCyMmKXs88xE
LS8BEkUODu4lUJVpoLiAnbGPLQHKFhrduHpLS0hGHE08QJER8MT9iWnLCEK91gD43vLGI+3UnH2W
jTFantWQ87AUoWW/53UvLpnOuEELsL3uqissr9xbkHPQeyXG8iXwDLJ1EkfgAqpWP3f0v8i1yoUR
0DbeeB+Mjn7GeTne12y+jpQkPO+wH6r6JmA9UJwKHvPeydWq+Ww8UAQM/qE3sHAwCIcMUtQhC0qJ
chPiUNJpfoxSMwFfWVZQH0hVEI8m8Ih3ZY0L1sDoDmgq5dM8QHXKMWseGmnSrrkARy+BVfHzl4pp
bOyy815XZM2ShacpYPYl86DPGPskECW7sB4j5Ndv0q8oYkZZ87/ZxLZcZYXjvE8BXweGgRfgiIFX
O6R8N1MGFiHpjAjWHX3MDBFw5Ke2E76nl0jyS8CwIXBMHRLWu8HEj8u64AqibniRzP2vvR7qZI1t
4kzUek/Ohk6OeUT3iO5qeT8BquOjyMYMrATXNf/ltw80NQN6aBRV+tnqlk+YdplUdnNumld3KrCN
DKUPgWlMrDhDk5Ym0Z0Bw5Jd1kQPw7UU8qvXLJwtsr14X4bY4DWGo8HzZ5hsoKjKgBu4r9rM6Q9Y
OEPzpXYbW+5w+hn4/of5R+h3vBNmn+vnKR3u27lxdlMeuoAAfegXM089dos2g1hkXrDyRWY95jYX
IGuO5aqFIgewlTyzHR0Lf9OMNCiAELEQMcLlImqX8i90AeutVNtzNVj10ohr2SqJKMiRR3QGnX1O
cXxQjgYNF59hscv0e4tbTw0llkZQDcHWbEtQg0PFTaj0yAdcwHaysP8HMCloHXJCbyGlkHOs0fNs
MdByvQluy+uiJBLpoGKS5JekbDTng+R1k3UKKyJbiA8w2yl+8yHjivEZN3+Oo823zGdiVUiJ5jqZ
9Fi+dctHBINYHjOHaBtPLDyxljnIXtP+boloj/ZT37NdQCH+hg7Of/55CUeG4v1NmuJqkbFe4uUi
9d1+RHDX8ZYMFtyOEZbIbTZbkEXgniaYjWz9LK0lEqAtSomSLPW4YDplFlcp5E2ugOWW6FKgsoDV
ePOmsOPDZih1jNhwvc2qrg+oXjMUYJ0rHm2myc9sRHpjVcJcK1ZxhfMjrRelu8sSfztbHlmMiND6
1RBl/DhmRBB8M/KBVrRB3A+myQVmSG7yJul5f/zaFo89xdN+MmdOEMhG8qjCQrNbTCHGVi4fYQv1
DS1jSRQv1DwP83mnmlDexlUfqI1R03ZvW5zfGzMt1cGlldqZKWwVh4ZlI1GpI1UtEn5eOdbBsJvh
t4VbvDvcYVad8YJmyYmVWcUQYq0ayzOED739SZmTE/dyojmePQLFIGqIlL/nJ1wzScjPjFuODNP0
xSMaMpxlU2aP9yUXOhygMKneEtOvDrTzwd5vQ+tRQaq9uEmKZtQL43p+aHDp2YeRXugoZ37gMUm4
otB68UEh2RCPYO3m8hQUCk6hxLIWnjIUyfvYhJXZ2QyA14zD6kMaQX9s0J9DGPfxaKyBe3OBT+zI
yVprUufdHFAA4uugbaq6SbCXmIZpw7iasVJmFlwvogEZglqyfBs0nqpV5lbiEhVaPGaZ4PXA7MSa
2uvlylGwcyZW+szeWGNAtwsSRPhR6HB1L50ZoV76uY4cEV/ZZVcfOqEg/v+85m2L5dbabJf+z6qW
6x9yo7h0Ua+fGV8qfk5zOfZIGqzaux4N/bgzo4bzrW5aAIPkVHM96oVnwvhFP2MI5IP87UhDLxqx
OlYDl5KDEQcFqdfgE6l+tg2lMMStjXVqmxKMGmPl5+1FfcpoiP+W9Z79POTtiKSeWj/c/TxZiyIU
OJTgCT+LSOb58xAEU/JCl885kdrLKYXwESozM9F3vbSzcVdldyLsrDUby0/2KSxpS7QrK68yl4ez
H3AC63QWl2F2OMiIguYOppkpCXoPw1yEN9YUTgeOH5nR0wZI/aHrFTmoW7IP9VUGHQ9YsfJHZp9N
pNO7OU6/x2aUKo+oYYOVSpbUh7x1Mj6i3OSuSZb+vOCerAH85RH43cFy4rWsavezyLPnIhD1Sfsj
RqUVeVYjdQhzXNJej6Ts8e42yDEeCRIor3jGeLciVyYch7qXu7qSZJkL0V7QDEMF6pg/sKoNnyJV
OdAnc/9r1eICtYrqujG1s67bpZ+KuQfQQonMGA5tC/or7MorgIYwFG/NEFwF0PGXHPREWTJQNFyl
b0v0KHGm7n3LdsyXyU1Lg+dEkbnE38Fh4lQFoC9t16XZMDuUDmaZbSzXYjitmtYJVm5lx+uysNhf
E2IdriK7pC20k8XWaOGnUxFK+G4cTk6MbHxtKLTiKysvw2k3uWADD5rLkuSZpmMMZ6lQX7XEpt14
Y6tOJBrwmIvGCvuKUYJ5GcSTLfribJhufoMT3DsxZOTqFTZFSegV28ADg0CfRlMTJ4q+dOyZasgA
FmxjOON7SpLD06SyJztWVXqdIiK5q5IwR0zTDN4aOrdG9Sz7H81U628hfhmkZNpa4fMB5uewffNq
1ObEeumD2Vc90p4222Zeia7MtmPAh7KJzx6JF9OZ98v9jFsvhxY++DzHI3MbRMOT1nGJJkbVe+UP
X3tCrB2YWt8CwBD3oQNuQ6SVtZMJ4z6rdbDTmLytrs6J1x6z8QOJ8aPBPnQlhqY5e1E432XkFLAu
77JdMRn23te9ui51ZG+Z3z5WGoYLWigqo22TVQXx8T5HFBnY0EvI9g2oG05dhrHCYiZ7cHQBPFd3
9nUhGavwpuVQSCrnYXQLjJVV5W1BeyarmBNrIXUlt3YVsxzwTgbDsRseAtBl7D7HbGS4x5Rh4l2A
fkwyaD/gA6333vKEQNCC6IgZ04Hh0CI/noy3xh+rDZBofZ5j566LCExp89y8Z4PMEGtK2ydrtIzr
KQPYtjI8xdcN1K7f2j7V1CWWNZ/aMa/2cdQWr3hpWso7fAsR17eVPC5M7oOC5nJBvGKuefIq6HU2
1Dxn2sXMa46DqdQ72eCvo1EhtMPTlK37um52huKyAQXMEoGhQbcH/8iwA5TRmsOfLtxJeRABAzgy
aPssUXNvrVYMa1Ga6XJaCSTytXxHoMTswS+a8ZWKeEt1XVMJRma+ARSUbJmPuY9+xYnCyV9n26hA
9mGABjqYDf5jSPfTprGmiQ8tFcM1NjYlViU0MsbOjevVvHfsXO77IUnFllTZGtmKgk0e30e+AFci
sBOmBzU3ffDJ4R8AX7aqzewJENVGz5IjCH3WI0UgEZi7ocHBVEfuwUu64dlIGoaYE2pAXAydIB6m
bOlAAJMpty7OpGdEmwhy2nMJ8Oo4u6CEdT0lpF+087YLyWDTsYp2rpWaT0MwelziEseTcYoQw2NI
Sbos0h9ay+AaJs6FTVnzQoBMd4UM6uyyuFnz8PIfEIyYZMU0BLl39C7tCXXpFL00btmZxyxxISMZ
lZgt1sJQGXZSy64aAHEYVE4BjZt/47eaTRGKGdoQXI3eG3gaDnUfdARMImOYTO2ji6hnuVcxIxlG
zqnN6C5gfjcwzXTMTr55YcZT1+oQvK49NlrBTg2+k11V5pK/kxSUXBuTGASPq8cCQo5AVQPZCam2
IAZTiLi9zbMpqsp0OpmwWu8naxA4Qck0zqqBslwb1Gd/6Pj/je79F9n70jo7NPZsN6WlaKOXP/+D
ZBc6fBqR3Bgf/EJDuc2KQo4vsw1z69Vmj4KYNNNUI0UOhdldDQkP379+Ab+mjy2vYMEY8C+g6ryK
X9LHhtAVxWy1wcEZ8dqtoNEGwHXYJlkXBs7EybQIAolpisLgqi39GXec2/iXIG+B5ZsdfMEioar8
61f1b94WLT3pmJTtrq3UL+FJzLJ8PCvww3PIu3skZWOwHaOCmrSnOcbMZVH5dNlMcWT0Qfn219/9
Z3zXH8wIy5vBt3eXfyjBxU+h9R8+FfDMSZf3M+/JlNIKxaKaYHE3QJmhIAH3dwyq6MGTj/hejaNY
yu/cTu34qrcrRCA21jb2PmbSBuGhXTrosgry+AdsTXqYXHLQ/s0LXt6PP79gEOLCQf0Nb1WJX9+v
Hoe3gZQpPQDnReWELhDTWegmCMxqiBjVOidtfOuOTfWeQaC8r1pmFVVILx8VY32f5dX6b17RMvP5
8ytyqYFsuez0peAx/OcL23AWfiR1w4GdAWWja7gQbhhJPTeMeJqVZyzt74DS7NMWABzLnv4iZwWU
7kXNI5nYpHLpwXhn//qF/RrAyWfLAM2GBuJ6wjWdX6PbVG8igK6r8ABTigoVJHmBylEPA7tLqiLZ
5A8Qmzz7OOEmZZ4gC0x8vW319x16W3bi/aCfTXOiW7Z/1sWipY01IpooYMyU71HQUHP7C/KqXmY9
GKi4s4FLMy1JVD12Z3YP0Lx/NqVRNoz33bxMAfKpHO/ZTbGr62PCK5Y67j3KE66tufESlm0EqMx/
8zlZiyfgl88Jhw+JaMwNbKLRfjmAQmFU0dQrYy9DhzOQVWsennB80rXkI6+egx9yM4xT4yG3ZoYn
LCt4WVPUzQ+jBqH8EEhBd+LMpNawIOC3vFn8OipSc7Y/x0PSwmi5GmpQ9dfAi4LoUCzS13Wkyh5h
fw+GcJ4yvjsEO4Y3LmhqrhAagt/i7f6r6vk7Vc+ix/nDbbJ5b99/5y1f3rPv//t/Xb4P/3P6Xjff
pz+6XxDwLF/2jym0/MKGg97DthdVD3vdf06hGVCjJpQEwJuK49LiT/5hfhFfmIJjccFabykF1PFf
Q2jvi+avw/TFmWVzQrj/ibSHDOJfL2Rziej0hPY8rmfxK5THquocXjtYXfJKI7nOa0lIWwCH7oow
MOcK83PVPwTwjVlug2ZgWpy3d8gi+myfxGJJP6l7UoxCmDprBWIAvgqGBatE6RwEvh2xumnMvUpy
ia27itfzaGBWQwUrN1i6/cfRyp1XN+/fU0R9ONezx76CS9AmxXzX1PoR9R+QirxM7FXhLsEtdP+Y
FuF8nYlRJmTGAzJzj3lWQi1pKagSEbsrzk7rPs+H5NTUfbtl00ukXckXDi7OQWqL8ZKNRbOh2Rf3
/gxcI2sM/aOxaqj1KC3govXZXB/hLvJcsMeE0JxetPifG72ebcLtf75RyUyaQa3Cb3z+0dowlmSC
QfQ1O+J69vYIh/Fkx1l3nJPYXivZ8YWNMxBgSMsI+cdlgK5fOLYqCCapZ76itZnPKN/1mknffCAX
YT60Q4Phxej47sIb2FjF5O80UavXQ1TIbhWSPOWs0ADCahgQPvPo8Dq62jIw3rpOOg9eG2cZ4iAp
rmuv0eZ+IMeYQSGjAOQ+nXityaGAvTAyYwCiE443XpkaP0C66zVSXf8ErTv8NJDFXEp2J/ufr4/d
c33kygZ7E/Pr0UrZZK5yJmXkJ6p82Jl1l+87Mv7WTC3mXVTwJqNCxnA4913ImDayrgNPsN3GMo7N
4xqTSxge/FQk88EFSSzBp6gk2kss1IwR/Rl+k1Ekp9kujn1tk6Taxn23I2fLei0N03N3kDg9c8+l
Mh869oevrOZZRXb4h/nubOobXDtbPGDOA6FX6XNtyPQhLOvptSpDstZyiRJ37r1dKK3a3WBEkOi1
uuAKPXf4EiNwYZ0/OTBh+LA9l0zAVdI6pPYuodcxCXQ4ra0m3zsYzVaJU7UDfW6LKSku57c5H4jG
shtwSbA1fwyuHEqgmFlWrNDHkF0bWMhRdjo22/CSpHDjZs3UdecWroW425Y9nzDInELFlJZJc+9n
ejpHM8hRWSTRBtanf87cDORfz656L1otdjWDsOe085I9Widm8YkbauTHbZR5+0SYzUNb2K9Om3bX
GeOS3BsnPGl9hbgl7mZjplNOz1ngs1puhOvuIm/GxqCscpHAkaLD/BCzVufVN/OcFreNO2d3jSHd
3TBN2S1AEnHqglwzHq+Il1SUhLNy2y3h0PMptJeuNLEGuR5SRz6NVB2AdsiCQ4rkcqOydGcvDmmA
nVfERTUgAMzbftwumj1iov2YeMShMfYw/ZpzJ3V8MwLCvMqNwblllGNtezov/kfVmMCVMpDOlE/a
vk4hinZgf031CqUwOvtCBB8TDgVQ+wVGFz76uST2MgeeD4hHUFGvpliCfjH5mncgQtz0RlyP+SEo
MiwkGoM2PAUR0hz2TLrYYc+wtiYTAFYVXnpZ1qfZLItnw3WmvVUpkhTkROrfCiWeaWzzaUaTAfjX
3lghREXZ5XCsCDaDA9mlg7npXajPA/yFu3CcmxfNzy+Ptk83fCyzArsQsBQkPH4M0GFyO+olxArM
l3KiJbFyE1w1h0DaUSSSWVWnVvjoqgC/OQEhCZuSjAK8Jb6NBg8+lhlbpKSCmWnwz/fjPmRpsR4m
BOwzyqw6miyyTyp1KaaOyEVSJXBaWfhY0HbFoNPytIX44831bU3xdVI5BSq14nxnuYjqN43b+W8/
T5YqaQkDZHl5SlFNboAZCPO3u4jelvnMzBlVY4rcuIbJsdqD5uHUmHjC1IWb70fYFiToIXHidhis
e+Es36gNCf8iP4NXghlsPg/m0JOPORg6v/DYni5NnYD7Loq53bJDnc81rtWrnzXAf8ulvymXaIgJ
ifiLxf0x/4ze8z9poH//mn84he0vSjsEG5BRTg/0h1LJ875AJsWGRgHz0/H7p1pJOZqCSCnnt23+
v2ol9UXxB8uX/e4v/k9qJTzlv9RKyAJotZYUC6wbnvV/TR2wrEYzm88lEQsZdJWm705MDiNCNdPi
MptB1qymZiK9tjP6AT2bJa7dsM7OMxKpcS1EnmwJGeo/VSeymxlE+1dtxgRuBTohu4qvyjZj4SPk
z+f8a+awSjRdYd3U0eCSNtHX8sxt4aHkjTMIOI1OXcD53gM60/SeFqm/Mfv3rKgxDuCufW5hYL/x
cOiN9dyn+YwrsxzfQQdm44plycQSib20vxk1+IUVu9IgYUpRJd9CrAzBStYZTdXEqBFC6xRBDEf5
hUxZd+cl20LuSI6ZQdPUlmdv08JT+Go5honj9WK5r/QSlziSM38tY9V7HHkqIsIhT125Toyk+Cib
snwrWnO+dM3EDFOmzVWgm+EDHFL+ZqP0xNznBdMVbJ7qbirj4N0KLZ44yLZXGXN/DpRy7TJGA37q
DReUr8UtQIiCzApvrMjWyQa1T8couXgyG+84NeddObWIv4qjUnRUqwqvbJ93JPTZ036wInUrqoYB
eSyzj7FJBdvAzLt1HQG6pY3bBzlBjY6aptnawyQP/owIjqqEh6HTsmaMp7m7IvEt8o9zg1y+n1PS
g8wAdfwqcip17ZmZla9rY0qfZVZ2D52doKPuBImqBD+L10gl/muLBPVYDg6Rc0iZrocZcDHNsrsq
IJmvh9Gfr+dAdC9pMpXVekkMvh78urqCxtP/0BAAyaeeWiPZNKkd3vR2nm5LyHcxgwINT4jupT/j
6a3FShMa9V79JPs27LP2AbIy1FHx0HyNY7K1loSkCmVnJYPb3NO5ONAjR/dhmcgXK8go7hf57Eqa
qn4Q8JV3XRXaV8KKcUqGXREe8AMHOOiLcmO1fXUYJtHfB2FGijcr/Tcj57ElzUx/h1qn6p1rwiqj
HBq8aMsGXt/jfp8H8GFBYbzGgXRvQ5vOnvRNoltWupmTD5tiXePchuHOEy3baAfaVZWJ/JHPMXnC
sBreqjFuzo2YwpMCpK+3ohjAOPq5vTHcKcg2XK7Foycrc4lEpSkwKv5cFIF9ZiXYFVtUG+UlhikR
UZZk3OWvbEhjm3S2QGs0u8loeSbo/T4y+VeRi6BtV6Pup9i9bwpEBOl1boKwa1cW+SZU9cOi9u/J
27ufUOVNp9AJ40M1uLfCi/Ht2WpeS4lDlWw1/TCm3D3bZuzSN9+HbyVSHwuZ6sCLrpPSKkD2Nc5D
1yEVWE2RaNetPVXrEOfcxcZjjHWBCAOWGs4KRQThAwnjBe2jl/SoM9Y198u931DYrCKIqE+jv3h2
cWub8a2KkOvpjV3Onflgzw2BIilO7v/D3pktx42kS/qJUIYlgADGxuYi941MJklRyw1MoiTse2B9
+vkiT1W3qs509+m57psyKzNxy0TG4r/756X7aFuNcRj79k2QI8Sz5+uWcB0TdsgLkzHwHqqaCHGh
w8S5jhXXfTHfiGrbx16HjisdP/bnLr+NrQODER+wDidTyeME+VbWvJEOGWZaAJmccoQqGE/2OuZs
knce0lM9Uh7dO0az73UkOiAb7emQtEtaOk1J8tPkurIwTvBtdKRah6tj4Qg64QlcWzp6LXUIOyGN
HehYNu08jLV1VDtdrBCgF6v13HMk1oHuUEe7s/l72w1nrCv5OlTmOb2nwPFs4SPo4g/TPSJOVtyX
M6Fx0uMA7XPEV/sZzSsApZ2/RSTNvTEl8EL2HEYOA8L5LHUondn6y5A4BQYeqdajTq9THDpwS9SR
dviIzHpiyNwg97A6D50OvxODbxKrO7VOd1Y6IT8H/rC3uSdsSAZAIhS2JDOLqeyE2VYk/HlcQ4im
dA/BNIqdx+nS5jE6ezqbb0Yt5vR7Xp9q572BK3WPks7TBKfncb5H/LvKGla+zv038xw8Q+uBGQTN
L79lmhDgBe13WcXmKUsi67wUQbM1mEIWWOMnSy+zDagBn8fvVcKv3riWW20azSRYNJ0g8qL5kRpu
6JGD1X5YsqhnWgdwzw6Sm9saDR8J5lQt0X/i5PAPoDIWL0MehjdX0xFA14J3r8x54/A2BQQwN5mm
KeRT+DXWfAVbkxZszVxINH3B0xwGitiKtXK8U6cZDVPPo5Ma5kdX8xtcTXKI0ylcBx6/qZ3J95F8
5TN3CLle+mneOfMS7PpR5j9R9svHZeRICTFiVAJ4REv+95E1xrikKgEu0cRF80y7UL5pNHvC0RQK
V/MogqmL38UdUsGsslujoT/zEOaPQWXmTxRbwlLSfIsE19/GsswnKTqx0cyHY6F5GLnvBBuj14yM
0friDi0hQcvIXhiA4G9Q0v7IJa/ZdXfQBsuhhm5AOlwz2Ch3c6KhHK6ubq3hdBgDxA63G2fKSpLp
6Cm2SKIY3tHILc/a/Oec/D8zuFrOPz0na1nx4ceUvP8J9Y2sqL/s96Myfg+Sf5BiGPuZkL7Nv5tb
Sev9ZvKWoQ4iH+pk4N90xXtckCN04Nuoi3/WFZEcwYd5DLU4TNsczP+ds7Krx1+/6OOcufnxcKkE
bhzOy38dBTWpyJeR4c2ltftk/ioqAWqsFJK4nclAEFHAYc9P50PCoKAwjhU2PLfFqy3LAx4Uc+8Z
HSuuE0H3NMzaBYsxD8t54pPwo2lzCbeFYe3S4GChm1tb83LMiC9M3haqVVYDYfy6I36o0RTmHEFE
32aQy+LgaiaGknBU+sFyOO2qtp5fnJIO+LUHU838nDsj7airRRjkYFrA/nDlEl/vIrBSVvZQuCAz
VtHC1Dm+kBxsav8lho9Wjena9B3u9lYhFLPnlOFR90p7swdwK2VNMElmSLX0+7IefBuwgAnc4YyL
LqO8xmzegR22O9nU85Nr5yWLzDymfKk3G8uXujRl8vCfD+D/5ANoYfmGAfWPHeZnlJ7+PfuTqv/7
F/1xUwWNT3ro98+XVu7/cJYHv7kMpAWyfSB99rBfPnzBb0yqAwvcvuMBZ9QViX/kdT0QWX6ArdwC
d2Xqr/o///t9+l/Rj+rpvz5V3V/+/09QuL98+JiLMxawfWYLTsD10NbAq1/msAwX4xapLjoNFo5C
Nk5L3kbaUHcO1rU9D2FwGsxvKTGfY90IYIOUSwR0wQzqAKxo2DuN1ew5alEk8svL+Ptv+utvhkj9
53WBX40/zgUNh6mK6cVfr9BT585uZvveUdIVWF3JUppXf/E4EAO8d7OV1dNDZglDbJM2XKmIw71R
D5BJp6APv/tlad061p2m3db4nuRH0jTRI/SUUa1F3FmfixjuQwuAC8l5GTwDN5WLPn3ljOx3BjBb
ZfgH2nmWjUDCBIFFdlGAmKioF2g/xPMQHarJKFJwJm7eAMvpMKoI2XE245YXnLALWvo2nG4nhhMN
VAOapwJm2k8UyvYfgoqBN6G9YsC9ByQaL3fafCvmwqT+hsrwFblZQLBETckQ+RkHo90Q2nF+gvCc
Z7tkmPOc+6ADILLp6OHAicrS9EZRoLEnxdmemii1UNWd7j0x4/YaFEDIvLQ7Q0U81dCPX2WZTJAM
aeWRXa9ArVKkPhmDsUnkwpWYPJr32Ahnpgg93hkJ1GRualb1bIjgs+mkHSYdWNebJcvjTzbASrky
e3d8MLiC3SBLgDWS8dxtx2SYLpFcXsw+yq/tTPJ3WoIS1ufoWdHOzwzxre3AzgZI67hTQHJzwTcT
79n0s/qZKZJDha+PSjyQaR3WYGGyBwhOnfMhjYAzTJaRoCo3WzGH9q7BNPk6c4dalTFcg8kjvoPw
WO5qqeJsbbUekUX2yS2pUuswOWG9BVhprLB8wXpGej2KRWFhaiLvxqvenMHDt7tU5uaJdGpw0vsi
uXMzjzZhaeafagrLXitZpT+bkcg+2QKjfmkwu4AVs6eLM5jye0QqYwdLo9kiRQA1t+nWzueh3dpJ
hejP6y52C/4XsCB4wr5mPPYrx26nteJJWxHzGJ9NOYyPAVHrszt2/RbAScBNLc63kKVLIoyg2JdS
Oc+xKlrEloWxOwotjzStX+FuHLJuXhPv9j4xKxRrMOjGKvSDfgv01fpqR8jBRTrPP1Dfw4cGtNHG
n6b2IGqBNqXS1PuMA2sBHcbd4mgPXophZnTmeL0osuv7obIRHqTbdf7KbgppIzWQIFyZTjBv8iiP
sP50ofHqTh23R2Hk6hggKpwD+s5dquTM/DiAOO1W+KHjS5R55Rk7P68ePv5lLYZ0m3YD3H/i+IzT
/FC8g/cYsWTlYwt1sy4vui2el29psgcXoW1H6gGCuZ/oTxdmWzAcmGuH/eDlDuh2zFA3Samyy7Sx
8o6Zaj8E8bh8k8NCffvYiWNA8+Eq8QCKb7D5Vo+shONn2p98MjNss+aqiJZS58zaDD4HFO6ZLFgr
v5ShDPqNCysKZipU5OER8UYcJwt0yopuAKyN1qDi4jJXkrFUgFX4WEVeRZE2iwi4dLjOEOwqnF4D
06orusx481oSiRBj42HCAdvlV8EHAw0Kz/dqpFqLGG1nYSus28V79FgOzgXDG5oXw7x4C1XZPCe9
o6rtxDjpIdSShUHDWbeRWshItKQhGbnlG6tPxMbUkod3Vz9aLYQMi9s+EOKOnxJ7zD7UWjDxtXQS
UVu+KeqREo67suJ2WfaeRgq9JblrL7AbvCcMjrnxCYQh6gweyuDZvms28q7fRHXrtTuhZR2cZ81p
LqzxM0h4xDwt/9As2RwmFKHF8DDdR1omMu+KkdLiURzQHyvHoX1xHegE5CS8+Ga5tv2xGorkWc5T
YR26touegILWjE3oNM/XOGa6L9XMWW0l4EO5+1aLWqGWt2LmNfRpWdPwoBAW0Vqt0Y0JN/p6/jSr
mAS/FsvcAbYXkg6l36zvaE9GPO4aCXvcMwJ+RBSYywX2lrNLZ4e+8Myeto0W6VgbpmOqhTv4Uhb/
4aFjnedDnnFlXc345rm061JS+OWof6kWAq27JihnAgArs0Mq5E6OajgoMHfKx5+s37aD4cdkw1vC
1Iija3uw5LaLvffU4XY7+qJeZ83kvCH61Me0lvIpcGKLn1q845lHxQzczLliNb6kIUs/xs5LNPsh
wmZ1DLDXrugcoFrQKoyNb9LoUtcifZxdCmtEZdR8wTLZV2JWaHKgLsZHnH/m2raxTePlQmRp+U/i
m8aXVOuzre1MZ+E2Il93dYx+6wbD+6A1XXp75KaFpYVZBhBcrrVfnlKXBPNdEsa8jDw8a6W4o38B
H6zvtGfH12qz68TIylYHVnPbzwbUR1SowNnNLY2qG/Bf5puXKlVuG61bi7uEPd/l7EhoaTu9y9zq
Lnn7sRy/EmnTetRdFAfP3H6m9id7w5fB2wVPXqTD1TBF9jyb3gv4C3ef3qV2hy7lhf7G2Hno7mI8
92H7GmYlmpKKqy+zVu2V1u8RtHm/6CBA1jectPziuE3B90T1t7X+Tycl4hIpueLBbzrr0rGc8SnS
U4PoPkDg3MUwIfdBWIMXsLOvXNg+d4ZF9+lswVjA3FWfIHEYkjuUbwjcx1MYr+n5o0bRqJrima4a
9VhpbicGpgQFUcM8NZcKWxuBkR0T8ecoGNmsucE9UHsSM3XgI3ZJbM9yNygS6BCjIMrARFYgF+ra
11BzRRHqmm9+0NQDnGYjOKFFUF6B8YVSH0iJwXa+Q0pbzSv17+jSQFNMGcYDNK2THBTkZCyyWeFH
HS64W0mKj3cUanvHonI8aT/ad1jq4GhwKgyn6canFpyqyTMQbgNNWR3Slp2AgXjZHCiKEdNmGsMY
ajhgOVCEueO/TBPU1uoOcBWa5eq3GQttHGiiP0aS9KGN52wiYi8LtF1/esPc2jyjPcsvTein+8pD
DF4ROYZ7ZoUagiWbct90LUQ4Iypw4MfWwpbRyLjfJ0VtPdkA74qTX1MFEvWSVp/SFMQ/zMg81n6a
m+uSjs4VfRW0p04I5Y46e/5sV95/HbL/M3/8l/NHdtpf7iP/za51rMa/DB/vX/D7lS4wf8MJyt2N
jO8vk8fA+80TPPYePmMoxr+qKcL5DUSxRSmj4xPtA5L3twudMDFw6VmmCe74Tmf6dy50wvnLtcnk
JucKx2MqGpjAiu/uzF9udHOh1FDKxD+ZTTGdjbSrQZ/Y2fPkuFAJ8Nwe6UcUMIdyF6JLdmcG3umB
qQYJhrIznoCrgReM63l4Eo4K37IF2fTcJJAIY5zU0bFqNCowLNHV182dW2iFgDemXL7NrhpvfYvR
YtXOOClOAPfy78MAAXFoev8tpueU/eKOSFS4nmYYI3xOFBOBWLMUB01VTGMHwKJ3hy3iOfO+YzTN
f6BrHCPSpY9pMA0fVdKIZ2iSIBv7oQ5/Ks1xjIzhIaPtAwxemaSfF817FGE0fJwiDlf23MU/KTLH
sxtELo3s7SSfao/u9800Ox0KajQ9LLK1xlXQivmnhDxwq8oUF70ciuhxMOzw6Ila0jsC6pHgbOWI
ix2nGXoOQiwwxJGmkaWOykPuhd2W5uP4szU78HscHyNNJ11AmJCU85fZiuMrkxjgkX0VHZKRKAWZ
Q//kcsjfm9VUOxs4ON5LEUcYtDn85XI1z0DmOFfaGDfijOnRhoxx8H22TKrcOJtKisfyAfpt0Kq1
HWYNTo9MH54tTxtPWT/yZgrO7cKoQGOryxWgAv9RMAdloDLI/nmQRXOI5rg6ZIbZMd0NfbUOkiKv
iAh53GzyUZ0s6QOptCdeHJKtimt3mV8tWjfMlR8t6ZVzc0URqiuHT3nP7dXrhfIhO1cSQN1CBJI5
CcICt7BQbSLQLtu8K9srDUVQ96YEGiSeEupkYKBwh0g6dcKW5hAFiqfoyVf1T6S7uT+YammSjUHr
+s8xAi/CHrcQA0u4wL3jufOMQ8hp+i3sMb8MTtlslwBzDk4Qb/ha43J88sYW7iCowx2gqlYyym2c
nVWRxlhNiTVeF9VF6VtjEsgdbovhJ9TWWgv04b20huR5nGX8RBPabOXfeXfhyKzjok14bSdRotBd
zKWdq4TYjUZ3RR1NWYVV0Wwg1ECfxegx17LsD5HPz6C/eJPmy4vo8OFjYLdgfljWUB7C0tL12kAg
wS176wE16TQrke26Iiv4eDvtGrMzOeVsXMkSDiDR6GrbEVZbY0EPd2TPyHdw16D4mMBMGznFJs+s
M3cgykFMS5JlFc+mCA7Yh1yQIyJcz+Q5uAuXM2yLhte9nyZKoAbu15vSb3kCRdmYjwagbW/TdT0Z
pzaknidd1MkudIKH/f/oTMF4geVEtRLVf/vGhalLcdzSnL2u6U922hfPs1UKbguV5+69tFTPRtDd
lpgPZsZ9evGdD5bBMkDM+LvfVmKTejgAqyTtXo3ezh/zcZLrrgSDmEyu9UJEnlXLp6qFeS9sXlBQ
dNqCQFmlY4Rn2qYsYuizJ/p53oj+c0xf+GAblXNIVfTsUVEFec1K12ED4i2FOuSumOv7By5VMNIy
T7/a1fhqOk68MQE2H2Ullq2de9SA2an9TBgHeGi+ZFuGse6RGrli6xENgLEluv7BRb/aNlNKwREV
Ix+dXAg8nG66iUFyQSMHeSJ7JV/xrvTnevQ0pSnqWFMY/4CTTdzQeDcXbkN88qPlanJJhiscpU9o
V/mPLGLwVy1CHHojSC+jZQCFiLpo2oX20q9VaRZrbGI4bZOseSz6IdlLvJzwJe2vJulXMAT05U5h
gUU8aBQeVw2fwskW30aMCdtwQXGhDSrn1badlA8qwy1IKIQ4ec2dAYBxMqlpTc6+vCQgmq9p59M4
YmJ1HMoM6p6yza3pA2NJhey5sPrFJ6a8/hOwPJCuEW//J0g3O9vt6dLKpvJqDX0CSzcyXylGzMkl
CvVZWpF4kc1U3hqyFRwhG3OX18A3h0X5R4jZXQZOyOBK6ts5i26c9C+JcCj5izvnK8mD+eA4zXiZ
7KZ8IAHWHSbDta64PTMwePhEumKcX7jneD4VjVbyqIaAiSdD8Av38/BgxsRch7TLUAF9lsw8uloB
WI6E4C5Fg730ad32JXdjJ9o4qcKCwpl/OZEkj3cFVhy6J/LwQ0yFUrwqAIF9Yaym0WLGkFxsVJoD
XekNd31r+laoHqSRUy+vzuBAZA1TiSiXJ6T7ZNN9aLCyXRaonxekBVquc89Med6a+Nn1euuFClB7
t1RpvZnHBgg5Jd/xx7qpO0ruPZJWXcWdgYWpObCjT18Jl+evTox8uSIgOG1Hghdr00aKS3kqT26r
bqqnHRvfg2Mp9clsPD00nBkNZ+an2SBtgBoq2+SjYMZaMgyuvJ6dKDOpylqqmKwbkSNQdRadhrMz
TMW2xrH83VeDtw2zGXtBm7AEx45gcty2Y7iK4rnfj2bxOk5Ts09QOLc8pOGRtzLf9GWZ3xzt0HFL
iXXUqDeN1yb/OR8zr0jU/C/Ox/jVPM6V/3js8fjjW/u1y/50Rv79i/44I7u/EesSwhUBRDyqcfh+
vw8+LFMwdcRtxwSRwYM+Qf8RZtCTSiJyPp0d95nI34k6jAX/Mtf4Z3MOW9sL/zRl9ElxMzKBocNI
xeUX+/OgI3d6A2REPFwcmDVD/LCw8tkeSxx+l7m8DBJ6VV0cE05sP4iY+uxBPHKvrt96x25R4Ute
+OGyKvn1H6Bde1e77bzLlCKnrlRu1JRUcPVlbWyNXbkk/SfRFcVj60sywoMd9LtA+cmjje94TZdb
pFb0ntvb2oqpnQA68qiiwkVeJUdpwrt8yjKzfFIjpGXiz2irrLPZWzuP40kYrd+vptYr+RCSru7N
WFdm+VXwnMd+8dza6s3zs+XICXXioCKjJ69xl2fTytvniZAr8VB+/SVU09YYHbKkIGvWk/68U6k6
bcV9EWCXyF97vTJIvUYg9LNccAKcnhq9hjBRjT+yrffz2tRrjKNXmyCW1ou8r0CTl24HEzDoyjDL
6QImw74gYXyg65flC7YPS5nQq5qp1zdGbCw2LHkZonO3gtDWHUy9IjZAxmiV1Otkcl8yG97DD7le
R31oxztDr61twXR7FesVl7Z2STkFBVKEAFiRbb02GyzSY5YiFaZTtln0Ct7RQXQwx4qNIC77S6lX
+vi+6Cu9/sMu6YHIBIBOvcy+EjHuDrPeMcCujxehdxEuJM5XJrXVKQ0s9YIFlO2m0DtPadcqW7Wx
7R9RfntcmOxRjSWBKYZ5eTOU6bwovZeRNMx/znbH/qZ3Ok/vecyejEcnkTsCt+oTrxVbI7td8NTo
/dLhcLmz9B4KIs/kmMi+yqHN2HJ6nb43pOKv6HvVJdU7cXDflCEqsUEHeq927tt20+KSWhn37XzS
O7vQe3x53+49vfPP+gyAy2jY+RyzodmIr3hV/XOpzwzCcetH0YIA7PWJwtBnC2iH044hDAeOQZ89
an0KyfV5xNQnEwBo6ZNZB5xW9Lklgy9bw+TnNAPnnYNNeD/kYGnjwMPsvT9jX5SsX5yHEn0yIsuZ
blIjdz8lVmF+RFifLuw95jbWpyoCbhywqroZbq0RLZ+bvLbdlZHXEw2VSfQaiMy9av2/9etoPwyy
fErMTj3bQ2xvM9dRnHyGJSt4JplIuVWjb1ZqctHAGL4woiIjgHIJFMJJU7DhgUViZ4aXA37DEsuK
5D4Rc68NizeWkfppLvPlUEaNucVx6m4To4bCEMO43XNJrdf0rfpb5KTmiik3uraxsDde4zlf8oQ6
GyYj7fSxC2Op+777+cXzMNfCYs8N8gFWfHC9sDj1CwxiTifEHNaD0bjg+OvZvAITsix8UGVWPGKz
i96kheEAE14V1mvRNCErSVIvXCqr7zBCIIP2XjE9OIuEPZlkbpLhSR2Mt2joSFemlotslhsR5uXE
Siua2ErYDOzES8EEpJ5uRNqtjy1uJm56td3WDeWblWtOD8xc/Yk0gRMV/WTv2qGONMN8nD2fiLHZ
d+ZL2M327H2IZEGcXjlxPxwQI/m0n5Ya4+OyVrASqPoVg52NL206RXAzoyyMy3XMJG50PxRDOjZy
69euke0Mrhbp91nWtZXt4cW0LRsXm9t/dLJ/cQ7gEqztOP/4HPDwNSl//Jpo/P0rfj8EeNRv6d3W
c2xd3fUrqVxa2PRNQFmuZUmEsV8OAZSAuSQdfYmARWDedP6ulXE+QHgjhghTz8QhIf+dQwE/4tcj
gfA5ZDgm3yfA94Zs95cjwRwQLKAJejlQagBtyp0fOKv+8mr8v1wM/+1HsBG4OjPJucPi/PHnU0c4
AlKLdDxvCB3qFvwV9YEr3+Ml/dtr/v/xU/Qf+ovkx+V7mtyYnyLLL53xpZp+KPdf2TH+xR/CwezX
HyGTSqBJ8yP65SbN25xsmuXbP/8r8KXp7/KLFYxUCCNRDSMg5io4Bfzl5eo4R6X3sLJrlO17JT0q
tRJztLdy5Ee7IdEFPOAh16k+PIEP73dT50xbLvrWfp6GcZ/UbftGxMix6Djp0k2Lf8t2qUwGTDzR
lNxCJ63gkWwcNbGVUvbzwghFZwyLPn2dMyJlMpXpufMGCUOp/oI9F9O33xFasIZDT3sW1+OYwiV8
AJvMkPFDXgPQyJq+Al0Kadhr+/QYm7k8m5hVPhsFoswKuE38YDaGd2YYziDeNLptbLh4hPUaiSuc
eiAcE/2lD4rlA80M+SauIdaC6nn37EKewqSgQdUAu9PJpdgLu7uIzFYfpnIWtzEEbGr0Mt9WTpse
RcHNPe8tsaNMnPHJVFsPvgnAlzblaTXZ0/DsSMU3yXx1kUsKqBpw7sx4tLMeQvIqhyoNEAqqPr6F
6TC+BwpH9rAQSV17IZKLHDCWAC3/MZZe+CmGx5VuqARfPngjJkQM0taPtgX6t3Y7oX4ajQARNKW5
egvsxI93k6fEbcAXQW8uL7Ar0KHgYBNCUzqjMbseU+VQUZgTOgo1j/RKyCUPgZOiWLw2SjLASo1H
6NU/VMdQa5xV/508/wex2D8CROPPk43SIXoj+aQyxD9zRsPjSNbAfx3Fj0VVbUDSq1kOaYNRJM1r
3gSX7CKHab4faMQa0rXMTkXgdm+JQYcMsEF5LvDwPNTFGG4dt8Vbw0ALdcROj1HpDJugrdsdQ3lz
jxsC35/redE6oMZ3S1jSJM6c+9HJnYV9wP/DD7AXb900KZThws8OqZsOLySZ+xcQIPzjNuh4MLBQ
3/KI8SAdr9nJd3zcy0bVw+gIxNUPeDlXDcXam6KtCQqzdj6qMUjTI8G8YgctCFlmwvodrvs2tJ5x
U0S3OUrMl7Tsswk0eOJe7dxK93EUmXtLtOG3EIkaHds2wkd7DOiigjQqiVdaJe1RYSiuc0wH9ByB
gEH4Fyd6fZpLA5Ln2SLQe/SC2nsKIWXsmew6T9IqossoXJpvm+WmGL0zv3QH89DHjWcfm5bUZd9P
nJ3pSQi/KYzw2IBG8o4O3Q/7ao79n8Cl/J90ppEsxSR+bhm+fIsDE9ZP3wiCKfRG4R5XAS2IgX49
QqSxDXCZ7zCueCW7Ycq3MenJg9VZ86GA2XqhC0a8mtiVt+Hsozc4iEB7Hwfo3sVX8sm3wwEnhxvf
zKIxQTMj8m0AT1O4S7m9s+LC4b9bGbp0A2fpkXqp8WvrOOVD2UfBFa+H85oHaub42NFnMzXkBu9E
RS42yw7Pg/9Eq0z5dY7d8dbOYEmnNFaPU9d4F2uS8wNKsXvOaqfcWxzv1qgc3kuNCwGY8byQ/jD8
YQ3YhR/QMAqIV7lNT0+7mLJckRTJ5Kr0PHcDoKfCMjaaP0XiKXL3eRW/NO2Qfqc7oztYA4tQZhTd
nkfD3UxYc0k81d1eVSNJl65Oug27CrN0UzTnfPSwPMRVE78udsFdkPw939MNY2+TBhKvjSyXE79t
9GpDuznR3tCcsdPN69wNk2adeoDjGBGnwRGXK630iNkbKaLg6HZBtVPeVCEIaetanCVo3R4cvTUw
o2XHKUFtCUa0R6M1NT6g8ecdE1xjC0MAPqFNH/Saviteh6laCEowoX0q87b5hu6lWMaG7Jaj1lHH
bs5rxSrwhTathdJ4KQ9444cf0iyXnR357tkurXI/Vgl9EHSW1SgglfUNhxP1CTl9JD87ctZvIB3H
K97N7HT/53bpuQxpBGXqU1TYeCfkeB2XdLreI+yDT4p0yzN8z5OBwbciMAH3H5nQji4wRokB7DZX
1ZWTK/Nblqnuo5xUtxlcxgkr0TrGNmGk8lBqvoHdRfazKKfwcyri6m1IimKvAvLzrruE24RkrM4l
IPY2ZkAKuc9OXtV/xVCqjr5EF8BFQyG5H2bmAS8GGIC5HR4DZfLylTFXydYKEshTWGAsgxprWiGq
6QAWCAOHX1vOEe8Gt3rTH4oTY6UpQ572FFj2dAE/gI25XZmTtxwoPPdeLOxen1Q3LLdEdLx1tWYr
uLVf7uWoqY9L3fNjkVnC07T43cpqac9geG680nkHvsCYeOt9Z7EulXTaY5878ffA4l9nFHW8FK3n
nkPGNfvI06ngJsIP0oSGv+c02h6d2sjexgCfXFk23kvQaKw3Kam1jwdkH2kIRas3uy7AWwVWbnoa
NfDBsSAqVEHH0D5E7XBoM/xqFQ01jzUPOIYMqAI80WtpClRyYZY/UvbwI9d4DNyZt7zxIKG4xEZ0
VWkfUHNIrZWnw/xJW5d7n7nUJ8WBVJEEtUO6XMtoXndFGezt0JielMqW22KYw4+hDI0PhS6CW5RK
rQ1Qud/fp0xN4c/Z5JedhAM9QYChJb5tvEYIqU8YieZTmtv9FoJd8rnsO/8WVAMNkrgzPzr9LD4O
rSE+pm49P7JTebu4iY3NnCTGxqhFfJA0lD4skdE+U8lVbm2oH1tCnhOoAV51KJDxpup8/2rrPBNc
fja+Lj2DX7Zo2IwJmfXLuK54EHf0WFBq3gAZLINUHYtZYaMncbeeWpNiVKxy86m35/wa+lZ0tLAK
objoZxk423ILDOFzrvDFeSFh8girPtwWuYyIo+ALW7ncdK9mkxZHuv68T0GIvU+FpnDJHbEZ4iLh
7V+a5QHK7fJg4XLiDho4xdqcs5glEJoHvOJv1K5MjywK89Guw/Iq22UBAQHKgXRuPb/RTerSW7sw
o1zQv3fSghYE2iElhCnTKzkjPDKOnZ0E1/1zOkIVsuRoALOsp2sjO7ZuKt0YGDaV4eB7LWRGfr0N
ASVb9NexNw1HOgXwrISiqx9GlZfWupRl9dpXU7nrWXA4A5US266w1bXB97Nue4/yojhfKP2g3Qtg
/biDYW7MZFRL47UzTQaC+Nc4MQvG8DndBWsz6vhoApVN8ZMmTJ38oXFWmHPKvbLK/M3seZyKeuFY
HSTWNzMS84MoMBaLcTS/kRez0RxhiKwMCghOcccHM8Fqd1qmcbm1mZQnbxTz1ldzy1TTJknvzEPd
YHmEKrxSQ8VKV0IcuZnexGcenEY1r0P+55WqFNTQQEuzvTIYv/FPn1IH/xMhVlpeOvKT+8R0Ftir
IehUusf1X3SV8WSvl8CNH60lsbs12MQXGthoc/DTcrvU98KESlFI6M72l7mcfVgzZfPCMIUe+Cwx
zlE4PPV4w1eEnmINq/7hN0ruLFF+cnoCvTmFihf+jGyTmxUrpxsRuvD9dtzSimLvQ+jaKxoO1ZmA
XtszWjcRJHp0q3pxcTTEsMzrpFoTOSneZWm8d4t7nezO2dnTWOhzW3PEZ0bj7ZK8jlW8rFuYXQdW
qz0vxLBGRi83UYifl2abT0bJpFelmm+SdE248QHH4t9r1cb0KV2iro9gtaz5e5FLgV70tkeTYl0+
TDUF7mUcrWn+AFCW5FWyqpyh3+uMy5eoH9xDNlk5/T/9NGwnf6leagHmFH+jySSqsONznHr1U1lm
9SeYYiUQl7nAZVb37/UgvRdptbiqcgAqR4oul5OdBNmetGd/MGJs6xtw84IqjnZ5SiOvfamZQG6H
opfzGrUXFtXieVsmR/hJ2jje52SSd0OTcSU38+SEh30G4agoq26X4mwxqD9gOHeDdjNCbBzrnd8D
OT535TeO99bnySv9Byvolblubbe6DU1Kas2u+vEpXCgXUXMc7FMj7nbK7/koFgVFfRkGTvxuLe/i
Bh/fNyTwZlwPmAyuwlLprXRVtSOb1H72Ws5XOM5j+3H2A/UZ67s8ZbhdP4YzDNtVgyXmzdQ7pGcV
NWB9Pz5MZdmf48QXD3HRqY+4tF0w/s14woAznEdjzt6VAPiOS4w3t+pV+DTIuvhedNg5kOQBMXdp
hUUTh/3JymxxofSApJ/BBZsEZCm463ai387G/2XvTLriRtq0/Yv0Hg2haZszyWDAGAwbHWxszVJI
ofnXf5eo6m6TZGce9/pblBdVLgLF+Az30IhvVuHm6zSwjXQm6UY3pTb+SjvX+26WbrHW/Qkr6jCb
NrbKkmXSUfojxpt4CqM8wtIUcubKGWtusiRLdtgzo3OPwhTLy2u7H8kq8Gm0pkVveBiaU00Ekvig
ZTE0Z/zIQm75BYUbdOb8kaTYkE+oL1k4J2Z9vNCFWwGNJjLelr6TP6A8Wl41U2Ze4CxDKLUOc8SM
QXqm0mvxaFa9lu9Ilxzt14juDOg/uuqIAHmPjQY3nbzT25LF9AtTi2kKWFpzxaOY3RIqJq+DYZXf
kiqtvssWl4Ct1EBELuKgilPQ6jNTEnazSTLVFHcYOfTFUpXx8JLWDroMLXSzfWe2v1DHQVaY8s4V
yo3FpUVk+7OQMCJHcFKojaQ3U9mBc1eWlm2b1K3osSflVdpJ2rtAH5sb9CjDG9R6nAU0t0StPc+u
rmtscJYKI4N7zv8bvXkgFrxpkNPBcC6soJn28Dvb2xTuDt4lWfRIW8Ti4cJSxijy4E5Jq/xhafJF
JKp/EePwdWpNJTZ0ZbqVVvTGNqkmbnapWXgezw68s93VMoqqGqfzTOVLPLc2TtTqMF86HIjZ8SCI
S7GNIsfFfRuy+yKtW/cighu6gycd/qBLBS2PmxCgrQZtIxzcB1Id3hPMOV+CHAaxDP0ngU79pS4N
c8tPMWHtVs1XEYs3N/Nw0Smb8Uc4BR3O6L2HioU1Jtc+bsBbjL2ZMfAAW2grA96yPpNiBe6T20Xi
Ie5KOBgtJWqz9gH9FsRUGNX4Gxu3V+rH5i05yCMXcvplkJOzrypkgZq+cdYyK4JXHBAmdOV7Dx9q
K7nBAAHOhK2RxSDiNexgGlXoifXFPTKAOO6a2l2e581F4435XRBrzq1b6SHcGQfBTmR7fhshCJES
5dR13cbhPgC49KWw4fhldmp/FTLxi3CJw63WPicFRIsoVduc63bdSQswezPod0HQOiBuZLss0S9D
ox99qYYbF6wN8Gof669tnbUPYQvLeXB1Z2+F5bht+vol8gt3l4QRLxaBIF7CrrbLLb+7IpTDIU2A
U8MXJCX+LYvf1MW7eIXOzg+rSuSz8hrcgBdhFaU/Sj1J9EtDtsGl18/OcFrcs9mU+dCa2jAuEY23
/Zs4q0MT246qQvWjLqW9qYphIjWLav+mGOvsochp7cB09LdRrMKVpIT14Jjq1zA0WP1MhCp1ZdV7
fep/ujZZg53BZySoIkmqOsiTRppcIIKLuZIydho8EhqSng00xnnM0UZf4u0Q7ogKsxXljp/KRJAJ
RlQA4I73lYborh2cV5cUZMDU2q71O2Ioh8oZZSKt9Yyfws/6S1Ha1tqpLAopKUizMDB2na8FvyPH
sm9tXTPv1OD/rgZB/4Oj982kQRmtbFVWMVDAIVjRTJ0FSexyq/tDC3GnKlZOE0JyL6gAnC6Efq6C
4qvs2rNUpG8gtXdQa3WgaRSd5tW7HgOrBT21cBkj6JTn1ZZ8PN+eHu1TFdybR/MNC9kzSlKHjXF3
sIcGIH+9G8vQXuiKP+Ic1Xw6eNnq74cyzJlTbJvQuA4ZfTp6xZQfDT4s8sKHIRE8GUlnXOsNmLnT
Q33S3+Gr6CKDghWoJ7v+wRwaqa2PmcVQRU2DN82adOegjrkM2LyLKhzyLZiZ8W+L5AxqGpCvqcPZ
eKAeDGqjN21qSH/s8JewF6bgD6emZEdOKs583wHKd9ZP8jnQtDBcoaPgeyAqmnL5T1Jq9Q4TcGt2
ydNodFdecpGaVDSRCKhu5WhQQcym6LrNgFyent+5Ev+xUs/40MOFD2qZHs1BpR6DIRnpaah2Xq5R
gC/4QKfqv50e5FCjeP5I0CC6Z9OO1D9pFGOU04yNb9ZI+lO6dfuIKCJ0reAmM/UJQVOQiF1L27lE
bnZzeuhj+8cCwm3qPs2bT/rE0NQHIwTMMRdJxrW00OyhrkIhGA8dVEmskAhsjLBaPj3svEMOp9US
MF7n5hRQclpff7ZZLOU7JQq5WKVXSbY38u4b2LxpFzrsWt9l/54e7tjZt7hjdAEkHckq8+NwYV3p
huaNDIcS7kNlVgjzB3CVwKGcuWWMmUj86cswnRFk4Fw0+gHR2EcR/Z+1dKa2/6ne9+YYtG9AFYaF
hn4SQlEOXH5v0l8jnKvRsqQUf/pzj21a5L0ApwgLs4lPh8a1GpQG9HpnuaG4s6GTXcuQK/b0KMcm
lSWc21c6jc/3Jtcf3TgxBKIVOVfP+y3QobeyxPJ9APabyDPrd+yDBGpn8BCoymMP9nH90gEN7REO
5K7vK2iNffnieOXL6c85N8bBpYafuOnwUNc7w2wQJ6u3wsvvTg9xdHOw/+DPshVnZNjH78AXwutr
s0HFm9j1Omx1c2+WBY0yrFC+YxvMliy6WXOJNgsUIP3CC1AhO/1LfD56SOmjKOdx/nxKFwc3msBv
x9JKH/S7AeqkgZi7BNtYXWUaDotgpIrV6fE+zyvjoVDnE0eZCHAfnL2KtMpDJ7Ta5cVAgOKMd+BE
3DOhxOe9iIqEh7YApV1gdYca4X5oIC+RZgC4GkRylCzjZSm7K5BQ/0IlPygLfODrfzrfSANghTcL
XdsWPJaDJVRxPI2jV+642rDl1NQlIm4Psk4eT0/bkWUyXGHqBmvFzfUuvPfH6XJknlp+7Za7CVOR
OntFkn2ZpAWmAsH+9EifBQg8PumPoQ7eWGpUwG0chmo7n8J9IbDV6N1/BLvaddUh3TkC8t6irBJg
Pg7HYaXXVfDskLKuGxT/1/jLFFtTUUbLa4sCeI58+d72EgmJH23AsI+m6yAjDxQVosctxiFr8qpm
nZkoyO3dLhtu+rKlgj22TrakzAbf14mnMx8qjM9rR8PdZj8CkYQ9dHD8wKxrll+0zKmKmicfqZEb
o/PuR8eJX/OpBV+LwRF8wOC5xntr4yImR8/auXAcsP42nVljdl812295QGKEhwb8tfxe9t71FFBY
ysu0Wqu0p94YQ38J6sSCng5oeVF3sBkwwG6XA7IvO3rb/appPHPJOMmKEp57lQqwDEkKGGngvl75
Yb+cXFBJqLllPrNlzvbBk9J/YClTnHm0juw1BGYNEBy8WYT8c5Dwx14L8q4i+hiZlwQ2R2f41gWr
PuzCpIYdjqxhvzu95T4HPBYmFe+gWWAvcMg+DliVout6mZc732sgjcdlvq7gFl45lmy2gRc2VxGl
1wfI/+E/SqR/c3yJ5vRZbMRDS/zw+NYh0K+odYodZa7xewes+6Wi3/OAZE/y668/EoAHtxG1Dv45
DB3pi5Jvjm2xy7uargjCIzXlWrgTWlLUF45KY2+paLCPi96kaH968CMXInEV9DggySivHOqduGiF
UXYqip0KMBir+uIhHEKgHslYn3lPPo8k5kvKcEEYQe+b1V3+3DzUgFQInSTbmZ73NI4FTp0eUME6
s6y/3qaEGwCmAEaRfejOwfGViHC0Yddm4ArafoVCClqKyZe+t5FhTp23v51AoVt8mGkgPwOc42CL
hnEmMeKo+Cw7t3aaHIuSHiI9HZVZqTozh58PIIMR2hAa2DS0D5+vCmxI5LQ5X6aJh8jSnqrJe0sG
6yHsnTMxyHyWP8anDEVa6vBp3Pn2wXdBL4vHQgOIYclsbVEr9XFAXbhZNyG80O0pU56LRo+P6BOK
+jMAzjt8XuAReuU8YmV0+9SXr+VoPFg1cnxt5GRIrZhnjDmO7UgCbyQ2iToY8WBH2oq8owncdAde
cj9m3U6IFK6efmaYz4GNwCiA1BC7AqKPw4JC5+lDHPOjd9AlNcx94L3LgRfx9D78fFUyigGnlpsZ
gtKhGcGgmQOEOCPd1RYVLSo9yyxpf7uFc5dUDQ11lG+Rdz1zS5qfX0pG5eJA+N32uS0PjhrQ6MYn
7Ut3PtJe+LX6lOEwHJiuB58uPfbpaqFG5HyglQkkCFGWwQYWzZNtM1ThRUYfGcFz9wHXsureb3EB
D6UkOJjDgqo07Utgcc433+ydXdiof9Wm/9c7/ujCzPRjmoHAtg8XBkhClNHZyHZUp4t1MvrJXhuo
c55emKO7DFwlJSW4iJ9CzlxUPCNhiVFO40KwL7udnuJj5DbnopYjBxaPGWJb7iGo1QdLYbuZVciq
4CKCKguQJYgQ+9GHzemvOXYDOYQAHowSPCYPMaJToptD2Gop4CEMGWDIzqAY/BWUyn50CaT908Md
mzw+Ceo2llU6BJmPj4bXxA6iIBzRMQ3e5rmrY+cur4On08McOzyzrpYLJJfE4HAbDwru8FRyePAj
927T0aDFFthvNFvKTR3a3s8+k8kF1UJ15qk6dueBiBXE1VTKPiU9lE7xmhZdugvRtmkK7XVKwo1M
HmUyfeW6PjPasQ1P2mOy2cksPxXJMr7RRZw+3clQ4mvg2GibmYm2Oj2Z735Gh08Hk+iaPEcWMOeD
e9VvzaG1KbnvvLbXH+NILzeQksGjJVaX0Ztz+2+J4ZXLtmy6L9VYpDd25lpbyDqINo3SobEMhcao
AnSderwporZNzmW3xtGZd8mwOZmWTfzzcWfVgdLtPs95bQZBm6CpXo0GxxFQZeoidr0nSNLQE2Bd
XGWFFT+mfacuAr98iUB0QPxu9rLPxQVVJH+ByiCOoxHfcXoij5w1etqEoMhNUlw8fBAzl98hHgi3
+2J6k5PRbHQJmDLIwK+Mr6fHOjIdxjvG2J4LtUTdH6fDNJAIE15DaB8YbzoFh1Vu669qhMboon8N
kdJpzkQYRw6dYdCxI6LhxfoUYnd1NuIXXPJ5if09ikNtaYLaoY9RTwvLHKtvVd1jZWgU3e7vv9Uw
qGJSkSJAPLwpBaScGDeXckeudlNBeqcqnd1RjUfjIQ0fRxSW/z5uY8C5DICGn89VdjC7Dt1GJapy
p+khJsbY3CyKwmru+srPd7lDIn36C49cm4xHDDWL7hMsHpzAHNvnKC6Z2qEL6VyIul/pVVmtLBCx
/5ehfFQ2PJRUqfPPd84fOaFEHrnJC1I0wy+LWzS7pkXtNs5l3BrGmevr2B61OFAzD2Gu9B/s0Q5I
XDFRGdipvH1oo/KXbVcPmWL94rC681pYtn8/jRakC9NGCZII8WDZjIFem6mmYjeZExg/t7+v23ol
qQOcGejIxUxJHeVZi8ozNI55Pf+cxKkHARaQAmah/RQOw9abqocz32LxMw5u5Q9jHOwJX0OVQwjG
ANBvLBAAkntlK/vebJ0AZ4JeMYt6v7D7WmI1koTfSvzpAAvRq8WmJqX414KGLGI6vQK2sga7at17
Y4YMbYNJixDRnekj7FGMXfAcSL3Y5gpwFtktTqVdGFxEtkeTQh+GW9vAE3SBKIJxP/k5YKvCUOmm
zPGE1bGwwoMA6OgXdH+IDkusewpk5b5EgxttjVqNF5kNRLOzovy60+oOY1L/IS5TtWSG001OrQgP
B4CCO8CJ+aLsJ7kO2sgGLIxTUimsGPOnpN2cnt5je5NX3DXYJxZ9ioO96VQKUrnD3gQm/FoNzasX
yS/C0jbYm64DDbG70+MdO+HE3AR7lO9pCB2MZ0djgbPAWOxQfptrTje9mV70TXEmeP3cVkOKmK7h
XMukTOcfDCOGNIJK6SO7oad3Us72zL33s0q/0YS+BpCybG3zJayLMynToWgP7bx5XKq0zCjJ9WFA
5su8QknPpiZSjtP3CO2NhVcL7Q6ii56twcyQ41R2HqybtKtWGdqmNLcLLvLK7C5sUP520msXlt5q
G6MRxTIAGMqGk1v6nXSw/eSHjXs0TklAAVN3Cld+gw15jOjiKjSCr2Yq1NKbbEjPTSLSRYOEzTrh
91k1mfwF58O4RcUHLbShrzYwuvj3ORaxkWqStau55mNl2eeW4tiKO7D9XZ82HAsyL9UfdwQsTTsv
UhRQ9OZ1pFO4GHsdJ6rmnBHqsbvoj3EOA6NOdojb+H2x8+xZeIt6wxJl2PXp7XsstHEsl2zVpN/m
eAevhl6ZsqxEXexoOnnLEfszkvGnMkXAMVLjGdLZ0cFmzxkCX9hth0mEU3MZFRlnRYsctGjLadsJ
uQEBCpa6ic8czGMXgUPZn9cCyt6n4DcbR8tJQFFhJVffmcpFLT4Yn8qs/tXEYBYi58xMGsf2xdzz
JoEFQuAe9mkmJTPmlzgtgb4My8s09lhI9RcmtfhVaWkRqqVVsxykb93HehDtsJlX27CMEfwIPWzT
SjF+c6EEQc8I8BM9Mx9Hfz0uRMpI1G9pX3/ctliuKC2NCHP6Sv6y/PAxMruvmQWO5PSOOjqO65Ep
kv7OlLmP46hOGyMJHm9HJiqp5jSvxaj1q7Ktzzykx8JWilOANvT5D/fgHFq9D4MD7OWugTMSKSCu
fXFXlza6gsaXrKwe8sw/U2Y5toH/GPIwYE0mkYHR0/MdstNbVD9/+SID3O7s67I7k3N8MrWcb14y
UppkhI/kwgd5UTNrY06Dm3PNmONLE8nffeyjs5QZ3pLybbjUpBajKa0X67iauQaaMSMza0B/2FU+
CYoqT0HlqV1rwliA1QbPKGrqr2h5lSuvwBgHaxJvM7i99+jZ3JrImqmZvq0GlJPn0mZp/tZ7HA9x
kl8NUn9JyvYGKI5cIxb5K/a6fpGPVrzGFsX8KgFd89hDcT+9m46dYn9m6lLiYN8eNmCzTCoUuCSR
n5wu8C43Fo0unmxpX1IzRWpt7M8MeGyJZ2YWQBmXYuvhtMvECMeKYGgXVz4KQbKt5QbxLg8liSAL
FmrGpJ/+xHfsxEFACGLG5AM5LqSZBysd4qRElzTLdw4KIMuob52vIjK6ZWFh1BiVWfYoTTzkEgFy
8p0u4EU4seQt/m8NkL6thhpHdGYajsw7wcZMgfYhBn5KeX1n9BBGsrJd6odiHdWjc11EhI1jUqqn
pDZw6MQy9MxEHCligkqg6jPf2igEmh+vjnCwJ4mnEFfHFABltUKxAZBqbVRQqy0uEdaCnQJy0s7W
PgLbWMmoFOaF+NfV43+tR1pH7rCZFw4cAylFGm0Hv4gONMLJcZiEt5zgJ/rOa4itbLoDW13Yl8yM
e9EkoJGhWCkUnCkiGxpeLou4jrrb3ur1zTgG+vdIEHibzaR/JywutpiRvjOm0EgbfHsLJP/XCBib
K7tbCyeJ1mCFxarWimYXOYgIDFHrrrzw0ixT62tqFcMXji0kNDxtpqfIa/19prvPejumZxLzY99P
BwwOujt36A8LR5Tbkkw1Ft+fpcPXCFjabnCG+Ck2tGhzetGPDQXwGqwBbHSejYMAhKZTVSEKne/8
EvkyWXkzm2/A89SPsvDp9Fjv63Z40ubqr0X2yjN4mP4XmpO1fR6THHR24C0Q0hghe03C2GJM2a0K
NzMujVIPbpvB7G9MUwvvzEbzcS7N5Bb7ivqfqP7/yzeckW+wcGBnof9bSuCTzOlTrH6WhYqLPyUc
/v2//su+wvkPyqRUBOiNsXFoevy3jpNv/gfCPjcq5VWAGB/0Tl3UHWaMFeUmgjTX4tf418BCmBhY
0Gr2bcRS37FLf6Ph8PEdmYsjpE1zl8nip6G5M//3P7IErDOitLUj59LHiHpX58acbRc14MARzHdT
K/tM4fDYgHSQ8eU1bBCzh4oOKV8tTQnXi4fRWxkAlLa47w63qBTOwpnKOBOgfDy4/3wgrxXzRR2I
NOfg1Zpt7dDndsWlW0bOa+IzAEo0xoOykeP5Y+1v/zmgf0J4PkZ670Ox1Kw1zWrilMM7oo76iO64
IS7TvMeA3k3qnd1MsVw4ZmjcNNPkP7oYed/U+JHdnx76yFfOQhkU7zyUPdzDAl5fpd2oa7W4VGYi
LgqQB7TQ7AL+H6Sl/Ez1yfj4AL5/KDuQC4puLzHfYTY2lDAg3CEWl32JNPfClbXeLfoEvtGya9wk
RKoukdE+HwZFssZbo74Lo8yQvs5ibambhX8m///8+Q4IV0ISUOQOkKODwhvSPkGb4SQHEl/wuT5S
OFtdw9D6/zgW8YZNRs2LSyb18cSEiaVn0TiKSwg2xk0rNPWGGsRw3yamfD69qvOj8j/vwDzPGNSA
LLXnGM/71FOPG1lrsI/FJaJqvxVgjnVr5tqZ1Tw2d1xCKKww2Gfcnk4Xzm3MDJYoRM/LxOsiicKK
1JbGlMIxPv1FB0jFfz4JiI4BhkQwhYclUnCHRjdphnWZmHGK9WDHmGh+4yqV1Uo+e1Vqvwpn5JDG
/nBPq9jCGB5v1jO/xucd7OiCa0+fj6og1f+4iAFQiSBwUnE5eI25t2jnaVCffe9KaoodSpkdFlhq
1g5BTDsa1AI5vLZU8ZYbpP6rMOafORF02FCWZaU/JQ9p5jt4M0sObxcM94DMehg6bXkpZO2vT3/4
scV2HGCGSAxTdDwsA+JuWJe1W1mXsc30+n7IkdUyhBwwWWclTg/28arn+hYgQeljU6FmuE/bV0ZN
maF2p+0D5DswwNVq+VwQojxPeMbedsXI7XB6ROPjFTwPSQ9jVih02M2Aeg+eM5AE8N1IFvZ6UKO2
5hVatlC1Gu6dXhvuYxWwrpYNyTjyEvMhDjlS+dCUl65WyH7lxU61myqev/cbBJVgiaPqZMbolEXa
ZKxiGIZnJgm3uA+n3ObhR0YJQITj09ma04qPexG5hYQCuSX2KtPzjT5h8F3GjrYJKXK3i1LPKW4v
syypERNBK3B01oB9nLu61rJ8jfcGv2OQByxkYIfN22TlzdtgQsSjxThxrsxK4+bV6wSdDtvoU+QD
QzTpqsgb7jOnqnc6niNvNVDsCzwy0nqlEtO6oM9bPTedW156obD2dcIELsYUzhAIJq1eA9z2Hxuc
NpJl5AeVQX/f5kcrzBZ6SOeRk0IYixFtCtsYy8OsqBiDfiHixfB6q4rmPQKGAnHhNoZ+r6KSHSKF
IZ9nY5dpqwWT7+zxKygv8aTN69VYG0WEcEHUvKX4mj67EqHAfW7E4z31ieFWIwLuUETA3PnFGH2W
zJ0sZxZoAC33iJkOe69Jndc0NtntIjHt1xHp2TdlyPmF7jr7NR9T8ycUbnPXVW51XyP6gZ4JpEQ3
DgXSlBQs7EXv27wwxmgYD5pVcUgHz7sSQaotrUEwo0EcPJKYxNvAstRbrQC1aqVpPIBnZX78PnDv
lQqROehs9SZ9wTrlTu8/GlAU39I8RPHWsRp/PanAsJZwC/xHONb8LS0YrQs/KPgpWA0ZD1PDvIlW
V9U/L2rBS72RCoMezJijOtmFAlmkxei67GwROWLEpX6c3H00Bybvgg1hlftXmNAP92hsODT+dE3D
+qLIjBuUb9g1KQ3AV9dJmc0xSWSz7EoPqdlOD1xnL+f7UuvQ0t0q0VXZ1oScjXeo7aKVVDe8i04Z
cf5KPcQHN0eT4CYi+2Qp7bzx4Kl7Vb9yR8F706RBkC2MwmIvd4nmPyodFd8tbDtKOpo13ErD4y1q
yISGzUgmbeLSTKl4CZh9QnE+m1A1iHP7tSsr+xVepm8uqMf42ezjQS3JmhANgrrgrszQES9F1+HB
M8XjdVZh8FupAe0FJBINb2PEer2H492hlI+4+EJB/VnSTy/bla4C5wGsb4w/huNBr3eRgL+hRKNf
5kiJyEWe+v4ytmGaDrYmlmMxjQ+pr9vrtoyk3Kc6WVzBnoxQmVHFXSMVSO8kaPNfpV03vz0xlRe2
6bY3oHbwCx6HJBiWbcrNhPYRF1evYxy6aLRRfneytFYbZY/Oz2FyjZVqiuKqVJi9bqiSuOjvtzJe
oTtYwNZtyxsfmli/hJ4JYx2xHkRHGnk9OpGzrYoxuDTGxq22nuqdZxnnzQYlxunFAWK8xxkkhOPc
i+mlyCp0oW0Ty3WjYxm9AG2dNO2Ll0RCF1wVXYSPml672zkYVQhnVcpc1XWurStiQKhGZr5B5h2x
gghWZkECe9+mCu59WmGqU8MpH+12/BWEZY+6V6zdjX6Zf4/TTuD2haWzLGK6gHiDLbD1grIoOB/x
pK0CM8eTpauNTY79WIIKwA2SWTrXvxXACE9rrHpWDninssHFxwfesagd1wvxxFWD7K+IdL2daRmj
vSpiyoViJsIuROYHiBaF0QU6ZmqZNSpaTeWorc28bL/J1KkkRrtq09rpSNtD/5m5qvyObRROPb4x
bJQWWKs24/fwgya/41VC02rier9yYMcvZKizom5oJoiz+MWt3rTylmoGm1qjXk3PJmiMG81MOBJK
kTGsS4naziXkWwJs0xqaaslt27yFNVZM6IX4BrZtE1sWNqD/WAMGCVFTGGx9jTTUUMDIqPRugZtZ
NgGc0MrnwBDDLbpc2tIdMzhiyuc99lrEWRBEEuVlWWfzTzMGyv9p3HAFcRsTmMmS23YgjwLRRQjn
dJPx0EnB0adrWu3EQE13B4FePkvJtkWQpisVRLoiezZLUHzIzOBBCL/cLDnzkZL5i51Envw9yk4s
VOfCCsvcRq2LRPS/cq+vwqWdavaT7wT+RR35aof4RYjezhDG7QL5reiH6prXRMJRtUUchktEwyr1
HVh+q31FJQiJes+MvJuuTuKlk6GfEEH42SWaM21Gr5DfJj/M8ZVwRf+ts+v83gnlbzObvg+mML6k
jdnsuFddbKF8LAhFK823sInCtymO+69h67JynPgESkOK4o8I3dmVKooxDqgyhbKHjfwvtjkZngLK
4R5fpq0Ke0i5g34JymO8rqhi3cNRi7VFjSiwsXBYhWRJsOM/akU3FOvBaLLroa7Flymesi9op7b3
eexVS2Rj1E/RaYjXNZP1A2UAVPEciYEdlscY2WOKGqNBhs9fj64MRt9VxnXhB/YqyT3kx/ruRyC1
/mvfhOmd0bb6dR2H9kvaO2m4rLOIqlJSYNVRUee88cUYX9eDbe01v/edRdSF6tWMe3mZA0laFzHy
swB4tGAhGvRStgZX3kYjmO1WA5CJADW6wB02ERCpByeVctcVFsA1pMuu9LFF4Azs18Lvwv4Z2Zaq
XetKiXg/xMgzoiaoa87CC3ovhYGu99g5R63azfbZVwmesN/0uDb9JSLyOYZ+mqunu5bNc9Pzwv82
ukpdt1J224GH8LJIVJ6tpB8FalEapBcRl9s2FYERLyWRhQad3e3uQrODdFEkAdZJiivvGaFBC1uW
zL4aYpNr1NJHv1nOKjCg0/O6RfG1KM3rxh3pU4yYoXlrL3MFF6LR/ypNpw1wyqhmDbNQXAhRmWs4
MkgotW58r3Kj+tYao3r0slGsu2FCvR6e0SKl/rsQeoTf2DAl7sqSvRvTJZyiNz1veIcafeyWAXrP
2UowVbcdCjVbdHRdxBbLIP4Cd2X4pte9dm3HDd4c8WzT4b07diDKBCNduTaKQ+iOAN1g7/4Osmh4
kjQ7f/Z24L71ToPsoy4dBAwhGtoQhsoMAepgdg6hxouJSP1uKOJiLWLPHiMqme1GMBtv9ta7CUkJ
A34VvVuTCLeu0XSBRa5hRo/82Gxi4ofE7OG7tYn+bnNiI+iAu0KL+4km3O579G6J4s7uKPq7UUow
e6YU7/Yp+ERqdxGaeUvebGWIHVCAbGgfh6iCS/hPBvv/a6FnaqEA0eY69f9eC72OFRXKOv6zFPrv
//RfpVDMsn00bCn/AaAkNf1Xz963/4OSLI2lDyq2+n8cMGmODgZ61rCdB/8fC1/Ahexa/gJVUpCp
f1MBtQ9bmHQPgNmBS4dNY/H46wfFgBqKTtVWYYQwmT5UkL9Dp2sWSMog6ikd0T3rvA7YtdjlfQxf
A/d5/E4rL9dRmvLbZG24syIkwmPjGnOX9EvkNaiuO1qBJatbbwc/tvZNwa2edzG2PLY3eNaiDHyB
d13auxt0DKPLLuvLKz30kUkozexKRnV6OzuXbHPdj7YBex7B0UwgyJdryCm0qbOd4qi+SKnsXrcK
a5mJ6I4spB3BM+W9Z166Q9m/pLkzpqvBhUU760Sj3cNr1hVlcA+gAj/imB7xRTvL5k3lq5tmcM5S
i7ytpjKy5i/gptM5wwYLH+dLHwxIUBuOD9AjCkr9whgDscMIQPvZl3X1250N2fDh8y7w26l/hQNe
HFj6YNgWozaD0IhV3wsl+n2SksO/p5P50krMX4le6pg1zilgBqUTld/QuQn1IrxEI0f7WbwbxBmy
NG800vOLMa6+d/5Q3Se96WzTyOu+RbJpvvp+M+SLTJvqH7wz4fdaS3EXbW1SH7REkxYmij8tWq+4
yPTUjRcmTwYwMz918Vo06tdqHPp2aYr+iTTdZJKL7AeC+83On+JmY4CB+znpbXZFjvBFm0J7n9aN
3NewrS9lkNEJtV0UzgZvDnudeIwWPGpmzXqG6XeE9NCNZ5Zafhrd642prOxyxPWJJzx3+NDBT+jb
Bu2VEdsaeqZ6tB2qIHsoCxE9pU2M+25fSKh/41CWa9DYiNph5Iz+UmTO1KGYvYciKJL5rYDRB1xa
nz0xEendRBPZEzqoOl6DqohWGQK/IUY1Q/87TkzMaORgFSQnmQKjlERovDuowotqdK/CupxWNnZR
aL14+bVEYuzKBMxHEIOHrIb21+iOCL/L8DFwJ5OqQxuKHxUZAxxHaTtbN0NAqpSgEeiNk4F1qFau
Sq8wbqbc9u/CABdcvBXXMkKUBlfolVPbyKbgaFm4Vnqh1wSWaItp0apT7bjFGWq4hAyP/k7iNwU2
0EnwXcudkDITBPxkjbyL8Vb1umoXkd7jyIW9S7DuxtR4bvwsKJZhUbVEOkX1Uo+6uUQu1XglR6i7
JQan473qkdrZCSsF4Vh7PqhfbM/wHCO9n71ootkW1rAerU6PLis9Ej9apwJuhpH2GC6Rv4MeEhbe
S+Lq7jXyXaN+gRGC/4BlWKktx8TFiUpgMkb4Eapy40VF/mqHkf+tjsUPjbBm5cjaukanafxly3qs
2BNGWawDLyi+J2GrDAorSYNGaVbUz7gw1ni1uYmE0l02q1zrMBttIN9cRebQrGRT3xmK3jHUUc5z
raPUg8+ZICyR0zIHZL2YupmTIUgXRYSh8QS0fY9sp7u3deXin4P/HPMgsGlsW260Gloy2jYAyztM
lO/NDgWhMtbx9db8JhBrnnf92QTBs54El2ln6lgw+EUeJ1vCg+wCZ5/qhkhrFqotrea+9mLBxLp5
8pTGSUXIbDQWLLwpaC+CcChISbRevnTuKPFT1gCKIMwZBgv0SdQXof4fe+e1HbeRte1b+W8AXsjh
tIGObGaK6QSLokRkoBAKQOHq/we014wkz7I/z/Ec2QpUN4BC1d7vfkOnvTeOhzUfNnfjjWqVxuay
pMGm0fKg24BNjogJ8Cx1JzV9B9OYXpRdG5dWn8XVdpjwGF0N7nBPC8i6u05VEBeRz4AqctMJDqqp
TSZOcuI+KQgChDqKge6ak1OVRRu5ROfYa4YOgQKQ7NdcnXFN2MnXrJ3GsNv9rFcPSe3Ifb8m8mSf
4Tz9Z1CPtmb2BAPpPe2a47NYIyTZcU33aSxZbfXPyJ9yTf+ZSR4hCQjRoAtjGW62yJ6Wz8Ag5dl1
oT/7qiBmY5N2n8lC8jNmKJ5jbNvWoBIjn+LdsoaXuFWp39GHJqSjBESbrCEn1NqPjl3Xdy2jpTtp
9DEtX5bHj1NHQIr1mZWCneJ0StcAFf8zS6WfeK0wiaRplXN1Ax2m3fUJ8StDVthXtFJ92KzhLPln
TovBaRfOlcqupEmMS+uviS7WGu6S40z7LN0CzuVn9stqX75GrqIUhLfrklm65qzMg0kkdU12TLfG
yGCE5x4xBJvwdlpTZtI1cMZaNHVda4nEy1VrG3zMVHwVNELcL6zxY8KFv4usJboRb7Y9rTPG53G7
vBa0qsgzWjzsE6NUu9zG04xWC3X6gJqkGBz2I5kZC3FvC2ZehMmHxO3dtKXsNk5rWtcxszCbTbaI
76YlPjZubtIgNQk2ngshkcqXzU2yeNl+vZ8PuGUZ5yBfMIOwNQ+TsU67LopxtLamOeFUHVDTEy6Z
HbJZA2/t2lnwOfqgTgB36hZ0dtoHKgiOoyH7xy5uqpvRcMYD75OrNswMcGsUXlCRu5GMUAaU0qMh
r9MplFbQ3k6Yv2MalluYuDJE3KZOhottW9rXiHpjcLRgPvYcjNlGwCuoA/9db7Lg3egtE9cyXL6e
MwCNV32Ki2NPbvG+tlLNxyiPrYbll5LiapeWE67GDbtszIsbFDDTq/C8KSogzNL/Z/ieKgxRh3Td
NOHGgZQuSG2XbUeeUHNfq+A5M3GF3I54/4kLeNLSCPWa/h0ntil4ybS4uHdAbtsbt+uzHi+SoNU2
mCAWDhnsRqufUWlmnGOBUevthtiuTIQc/Nz5xlzUfdcmEWpDTJCt1PV2InC9MK1xYg/zZLoFQGny
i6FjwnmQg5Y+O3jXZG+myyseAo+D5nXTggHdpnDJ8nAvDWOeRxz5kiLT5Ykla3YFzgO1q8HrjpcX
yt75qSi0+j0fZ/MxGKT3YLQJtqNt9tDWntpWVlsdQVGRD8mxwtSdaUW5kL0pMZ5O3/LBffHkJL9a
TU8FYXeoTXpHvngw9A/AWOVNa5RbfMu0Mw8Hl+EOI8m6GNoPa3FGcB/Rrih4a+EXl8msPHSNGm4t
B1+eUEo7JfW9C5LkwXclwcIoF27ThXoHvGhyKu1/3dP/LRAMMRTctb/ont6ADd7qbz91T7//0B/d
k+f8hsPjajGgI0xAZsIc6Y8GygughKAGQSWPNtlYW6s/AsGs4DeP6abPCb+SwOmj/t1FebBPPIj6
yPZsihH+6B8EhP06xApWseXqMoW0B8L5r9yHWifaoUoLIjQSw2FcNtr1GWcA9QVGCWa7ifN3gRo/
z8Ydrhcd3udUkW/+Z23igHR40BZXHeYZ4jRpV7hEu5BJfngI/4HSEfwym+NT2AlXFzTYNiBUv8zm
BqdHYAKkcSDSij3cnNvboqFSzDxbbHVtAsDkZI/IQNPWwnH+8tcf7wQ/D6rXy1xbYPysbd/kF78K
KjjM/WxU3nAgi7skJgrHk13ppZjqY7lBDGPanQh0gneIo2ZlbERsAWl1IoNz2+uWc98wCk5oNn1c
8Sd2wk1iYG7rL1OxYzfj7wKlgtFaNE3jZhbYzIMb9oqz3FfqA41KcWflPrFfGNseUhvEn9FPe6L7
aJ/xpVf7eKzoLURiKLQzLSw52C7ectDb2XhgSCiuugn5MqEZeHNbpI5MpCS/+VWV6TiGjuojJSRr
N9bl+FjKWu37fK7PsUH4BR7PvhFOjVmf01hHSJkp8WIkOj84zVlw7tvZpBd1yWUavYoarBd6c+RW
gYYn4AZGGDOgtvYEOXKZuteTgoLR8YNqlB/RGqfXDh6fCHwC7IrwI8ap1cu626YcgchGBHghVba/
6V08ZhZrzpC0VFNkxVl3KqTZ3vbVEJ8W6c17lw342DLg2xrWMD7mejU+tvni3vN0TAZ5ukmoGaiZ
5MR4V83E++DBm82mWn3BAq15kfrKEmph7h0YBfIOTR0+0gM0GdfQsgNRnepjYgoIiMePKFqiJxer
z3M8AyPi/mw8yHKB7zpM9ZneMDhXFbTYKMhbO9/YFT6wRAgvOhh8KbY9rSqN5Ghum9Ys7oRLsSyN
BMtHs+ne7ZhfJgVWU0SKomI7aLSzm9qW7fvc8zr72qD2LmXAsaFKviIzaiJhPWdW2FtYBW51ty+P
DLZgLS5OQUKBNu81Iy7uEsygdi6V+JWNlU5YBsn4nYmYvqmxbEeFxTw4Ho3mNZvb8ZGyYbkMmM0d
hZWqvahgQVJH+udg0sRVTMUUuiR3XWuJPmIOxrW4dh5shiCtwhFjWsJ203r8bhSZ2hMQal8nNk8i
xoaI6F2haJOYa0XElnBfSX5988rACWdcPPNomLWsxqQ3ju9chpDv2Bgsl/WUqi8mlMx9jZF1hDsg
oVlFPXzTc9d4yGycP9PVFdjQuLd9wnPM5Xqr1yVa1vP4nel1sVtwzE027cKTsF3cSG2D9d9hdPJS
Jl58KvviZdJ6eUqzjiRu/0OXgT4C0FSk9sJcMI9p77wSW9E+Q16Rj4nJ2gTphuZk4q8d2Xb5Cuwx
fiedXFyJ3GFRzuYYzikPCmv+YRe3trgWUA2ug2FyrqWKjYc6g3YjHbd5xf6Y1eoRtNCZcfNq4Ul6
kTMsvJ995Qss/n3Kxnpq3hIfL/kws5SGt2dQrKP5gkaWl6Bveu1uVqIeopk440v0fv2TQNBxp5rB
8DfI+srQIFb5NJd5FbqTnh2GBrpQOMdztsdvv3tHnkK2ms0YhPI59dtnI8MynuwJDwdSk+ZxgE7n
m0/0YkbhvoxNPQ3vWSftlwxv3yI5jNZS2xh2LVq9pRKd5KUi59E5TYkl7Tvc/ekx7Vl9MXw1hKSs
EnZuODMGVJRzO9aho28G08SUtZkHtiZZX8mGeTIe0wHhkcXNoPcEd+vlnebIK7sSFdfuObdLhyrJ
8WbrigrtPnbiqwq33EhHLXZIzCU9VmbxpXdsYytLegtpq6+ZXzFOGuW3IjWro1Yn74qC7JguKItr
Q4pzU43TtnTGOURqM3wzsr7dJll/QQcT7/CtM8h9KILIUB0JO56TYIeRZFf2YqtLWvRRhR2G9G7u
n7QC4DEr2xqEDbrGEXQVvztttkOceZ1NxZC12VRl+ZGIZfDpiGuPeB6bzt2u71TtZUw9teAiJwfm
ErHnhPcxLyzhAcZFpnA8lIGfHBcEmqFpjPpRr7XxUHlY1IvB8rfNpJG/u4YVjvUalqNjeWVqlX4x
OVlwkIlxT0hhsGPs2Z+NOrDKrcm9f+/FNLmhg8ABD6yFZwiFfRgPmMJ7O9eYXgExu7PszTKsTV3i
BhZA1IJMhdN8vKbkxv271UxynzgJZx4HuL/Dk3wELsMiLK/d9g4CkYE5etHv8P9JZ+TcGpitP7/6
zohVmFXMFwwZMakti+IFv9vGC93ZVfsgG7MpxBvBjwLHx6dktC3wdQtVsWH6O1sCQh9RrJl6pNhE
iNUoyOWjqyIZwi57cUGvSIKKqZtH3Df6yEpT3qp+myS419RId2hbDOck3G7+skxWHnZrCgZy5sNU
wpnTmpPRucubKHUH3Va1PIhcNFAg+uAwL05wrGSsbrLCWqIxlsA5BGmGrlkyi3WLcVOS9r7tbcu+
9XrEik28+lckHZ76uvB3rTai1iWOajM5lorgIufPnpsQuKCraWfHCn/vYNR2LXk4WK5Vt6WhcZYT
M3bMMmu2oPWMUaIlwSN5Tca+zFjxrtUwRh/neAsBxr5s0JAx15q0u2qY/SujXWhw/Q6zdNsJSMwh
ibj6biftFUaW3jkAAXBDe5o6QpphWWP3khaXol+MI5gh9JwsdbuLcomtF5nDJ4GXMWH0Zk5lf7Gi
Fn6YG7n+XeBJzYAMh5s50nN9PC5tG4Si0rq9NErnZSplliEpyvKzPST9e2Xlrn5pQG1By23URuK8
4Cqt471bwEDQoYXnG22ui52XOuPXJjeacCintS4Q7S3mzWXkYnbWbEl6yS60eXWAw+M+J6IZusIR
J8buHLR9Y+PVhgRtMzVOhtW9H/dkpzfOtTLj7LCktfhqCl/rw06oYn02Ov07JVKeW5xDOHQAFPf1
OTBjJqS1GL75WTwJVLeIMXZ60XPgCHbhDxQZfiSUFt8J9Ku8AwVlghfrIo4SB5aNl2YE3qfCYb6c
aXca2AmXm1npTpLji1k9muKwoshLI9udxddZSHTSKbYdxEdwOmOw155+L77aDLoTsQPQm4iC8yPT
ARjbGFDUsOJWytxShrr3c9FSlq0FIxEpo014ZmqWRySg9bkkQ+Rg6z1EsmZiM+7yJCfs2yS1IXV6
DvegarS7OgnkY2ZayTXQUxHVjiuukuXzWwQtyNUakBO37bopL5X6GEihg5jhUZ4EbWvcsA3W3yzh
oqfQmPdwao9slQkb0abq+Dpresk+NTT5mGY6z85oNb8O9apT+4SRygW8Wa5fjlOUrM7iDcXWC45l
TPjVWv7iQ/viDXN5NHsuAYkQFj7VrD58JbL9vMQN7IYs2BjZRDaScmLdBCO3SuyHwWn+uokw/lMP
YWCvQr/ELI0d6GeCYWcGRZMk2nBINLM9MXcq13LYq8MWAIpsp7W8t1o/grIgXnvVET8w1dxsOTh/
19D8StD87GfWbwLh0eDr/GrxLBurqUTeDgegjT4NMbN1rj13MLfJQC6RsikI04A7OyT6fOMlGPjl
vUNkxdC8JnHNwqyt9tRbIzP8SbTPABj2Nfli85eJinv3NzeO5vgH/vXvzddKk8U9Ap+fP/lRI+co
vFGzIBlklr4Z+9q9V4IXTYdycq1B/Ik4ilhgxsiKJ3YK/0rOqVNRzw1sFOpmj1iny7/+Up8t579J
4euXgkGHMmT9Ulgd/qpOTjCgNwOYq4cK4MgKUT2s7uqyJcZeG/ddJ9OIrXnZKsvi4IklFVQuaF69
dH1N8Q5iama3p0/igYyd5pvISu/Wh/KyDQYi/WKta9pNOzh/5/ODKu9P99PDTGh1UCMvy8WG4OeF
6EgNcziF3e5MjECovEzAmakCtWvUzO6UwaIIUsv7GE01HohfS3aaYb5h9/lEypOFbQHlkuZMSSTx
eLwcO9N+GQURLdliFRe6XlmvJq5hM6bEoh4vSEPxj7FrFJFuZ8sum3mhK7aSQxIQ26cbKfEDc0W9
WsKCpIBcdvVsqQucUKaoa3ECbNYdxiQG8W5MOvdeczz1UfmJjjV5bTP6snr2WLzFqXunpjxKyQa2
jkVppH0EdQTu8pdAgVkhHclmsLbWWn2ul/YWusm6pxDYENkkvT0HFQI9W8+QVFqF2JpzLK4Ky/DP
uYQuMhpADtCmxscE4B+/TscsXzuLGfBpgOYxntt4SrhJWUZe+NwTTO4kRaqHUlhxSRIIwdWE3xAR
qfV2xAXV5mMTE/3XtxZYoecuZXIsKGmieFl/I6agjyO9R3ESxhkSEIjDVNwXaOXROpTWTB7yRE3f
6WleR3GccsVJHTTbmU2YNL2ZUt6bCVLTFEU+7bSOPzaNSO/b/RNsYzckrcQJieomZ6kKBO5vHY2b
n9riq8plseuyIdvLkepKLyZW5DLQUKS1Kx+HrHz1OvrHZTZQC0ylBfdEZSNNJfcuWEMxTsuyqhmd
VLvrcpjMBgfHbUGY9z7GGawOfWcoj4PjN2+z0po3WxnUhmYJ75bXtthZg9/d0In6Z9XqxABNNP1u
WfdPdUUvM89EuOkwxl+Htber06BkwD2MU2gv5TxuMJOWO2NJqiOZXnQtjDA31E7ebWV18lE3pLk1
a7N5cxgC7bFyVhfCoHuOunrhBBjgcj2ZOYBSSw731eBlhHrENrvJEKPlsfyBzii2baIZGkay46HX
Jemos8EfDvrSolWbuSvVAumd7nDjZDZh2mg0T60gwp6SiCNnDtYjNK3YLh3lAQBVZvuMqZ5/NiZg
ll6kwTkxBCxY5dVnlznCHvW62te66YTMbcdHRPW095PK9v6KAKF5F1dVAT7kZbTJyNuXD5+3dNlm
/iJeCpchxeyJr4McaLd1J7k2aptgpCnF68DmH621tXBev/VsB4BYPlZEXdhAxz0rayqPxvqqzuv+
rkM3jQRgyatDbPiO+KOcYBjU31vC1UFG1uY1m3Ua+HS221u97ngyTU4p8nkWizqp8fpPTHVR4E+U
rkUvuI5F2AnAKldXeupiSVx1OY+ga5/L0CSZHdf8utUPs9QI9UpAPKxetbefiE9tsXxwNS5Dlzyy
DeFs5ZEIsuzAcLQKSzjZZxm7WH2s8ICWaNwGu6WzBXDk1q9A3pIxiigEgNCUph+dv6jLhdetDmeV
UIxMaxCsn4Be6WIu7lqBVoABchGswZ0OQ36C91oi2A+kpPGIk0kvj/PCFeEAAZcUwhRVfzABwcUu
TOuECUYopNZsg5wlSCSiMW1rkkdDMh0IMy0IY6Tg0RmousjzUQ+DCBIF1z4vlg1Q5gxT+07ohLnt
GUt9qQlR2sRmVx61FVzBG5ltjY4+Pn0iNXjj6xufUqNjHJbxL1UmYE+7sMVZBh//id98HpJzAXZb
N6l91HTtu64va7nsaTy+sqJYanusen5fmhnQpbCBhmqYe3fMRuszxJAiah3bP/tD3z43Bhia0Sdg
ahjB1ecJMto1WgP2rUQf2Nw1s/+G+3HzOicUOx1ynzM0f2QXU8othMTavesk0hIQAxcT5+UKKAcS
52HIeafX9czcjm0YC9z+ouxLEMkg86h5i44f5xBVF+uk9yFdUW/qkvUUoEF7NXyWhL3I/pts4+Yt
NeLkGu4osFG3rh9isMi1AocsXS4nXtGvz/LWhy69IzesuKumERTJ5ph0UVg9fJ4NxgAELP0kvfbY
8sGdAFGZydvXXqI5HBUTJP2WkeNli7rhYeqgCgYViZluQyVs0w6HqZsbD8K1YJBIHiRhDuVRlXp9
JrG4PjsmRWy1PgOoDyTgYJ8ldt3SUJxPBruZnYyPaqJMFgX4nN6U5oNW1Wy27GPP5ByKF8xY4xP4
hRt+QoLjAGjpExZ4ShhMRvlM+dmzmwgG/bg6Jf7MCmlmkrIHmp2KF3slDoGCNiUvhdLH5rWEexkO
E5ixlcW0CgOFs0V8RmQCLm857Fk8n9vs7HE3QI7URdfYyRNdvRIbZVZrP9HPoFAd2oIO0OYLM8rl
oEEVUeHYj9xMmKv7dOQ9KgKLU8sdBT2exVrToK3PE3iZWc5Vdqxtpz1N0JbevHWrxPrX3HaFVVyT
CU2MtJs5oF4kxVptwPmQApnwTnag09h7qksvQEditZ787tXxvGduWW5qCjwrzAKaEIFs5StEWkqO
tl/KY85MdpPBl70mLvYVzQp3bfE062j6Ka/KWHAPBrhNcPGn9pmqJLc3clZko5E7FVC3SCe7mog3
NRgIUk40TUwFqUYVjZIHrmAEXBYmkPrnLz9fTFVB/91ohuzenYkzVXCoHOtlmG/IOFa7Ks2zfTM1
vNAZVWXiOWwyqNaTa1t4kGAXJ1suhbvQkU2eIm68+JDoHNxt2tPAfgLFXk8OF3nJd9NaBai5pSUT
5iL3AAlc8XT0ynw6SN9+Ye4KB3+dxAwAKlvpeHxY0Uj/NMTDH45Z/yN6/h3R08Lg44ee5E+i96uG
fLz/F70VzfD207jy9x/8Y1wZuL850Dx13GXpV1AAMlr7Y1yJSSWjTBct/L8l8X/MK20ookwSV9el
VZzJNPNf80rb+S3AYoJxvm7+zgj9J/NK2/t5tIfqEoNlPCNwQMICGePRX7piahjEUrNnnhcci5Nl
T/iWGuIIUA6/mP4SNDzYisojPnT0nbzdkCGyvGhm6YJxZsahH4V2jmGsblWrVTvcWBpG90t/2ST1
IaU4PyFv8iJUJO5FI2vtvq2Z8Dd1ol0MDLbQulXu/eiL+Qu4+lBvZJNre0O0wLB93oZuDy7Av2fs
TIgCNaT42IIvgo0/3xug0kkOyDouXavqTjhIwAFs41viWq9npAZMfRkxwLs8wCqwUPP6ReiV7smw
4yiWAMZp0n6TjjFFEnlJWKGLCDurVpdxl8D3HPRoHvX3VHOh/Zc9YawI5neIS5a9g4CDzE5zT5RX
/cTOkTNPKoDNStIz5+66K6CuE3I5vBFHYjGprPxQQGM7WJXL51dEBXOn7Gio/eCgepndeUnaRJUB
kCXoa5n3KWoeiPoYOOfXnQr0sO3JGUfRbWwgELl0SdgVp0zDoySDgj9VZM+PsHBOReZdpkYQIy2p
7gKGdVvMuvdBJQ/CnqgmSAWDk09ladORRGas77UsN0Ks8R6dAax8HNaLEMUQDZKeulQSAYSjudvS
l1+rPoisea5OguLuAh2WCi0TTc7i7TQs3XcOvNSIhkzbYK7n4TXnHoI4OA0KYqtfmGKTEWf3iA9R
g2hAOtu+EZRLcp53nKDBBsxVHc0mzR+g8i3Hnp4rgjUDr2o2HKiimor6WbfJhXSwu/WT/SwRBbSY
OmwDI38VM+phAKqjquOK3sdqI8lcmkDsZJ9aEmkLDQBwobYt8vah6d1Hf17OuTl55JC79k6rCQMx
0CbtPVG9LU7+CkRj73MAdghZ0xp8mWun1gy+24vGjGwMkI9QNZT9vHEnloTfJZjM5qR8JtBKzHXM
UyTIBX0DrSW6VkB259iaufGq7MUIEa9dzFrxdVH2jH2ML7Z5lquDU4OfLbiAb7SStZDVeRt5ibAP
6UI+p52qOdRLfq8wumetH6qo8IiWww+K3rJR7d7weYINQuudm5NoFVv5l850k0sCIqud5X9Ngl4/
EVfQho5wtQd0hFDVpJvakVdm2V01ghXXvUsCeLFOHbOge9BrkAkExcXdgitM1PfLZQ87aOfD8dua
pLcz1ZNV5Jhk19ZEXtFKajr02W7Z6thTbSFfok1zCjNCyp5vGi93j4YJ3TBLfEYZZkIrOpoXPeHS
kWam4gujA+4iOnka9ZxxQxJMEcbD7UZ3CJ/pnVz/AukaVFSjOydgY9nhueWFgVwMCHJFfV9olrqJ
hdRPxtBPziZw3RQLS0zVtq7wmdYOlRvKsi62lqLe4qvKM/Jni7+onWuy2/dN4V5pdvE1G0kigc1d
HtHDJvCmRy3ymE1diqV3Dl5a5jAa9Y85TlFpgl+fBKy/Te4O97qfHYlWcnGWg2YNZenOjfMWAaNF
GQlxe7NMJcmcCFSRJwfvcijvMjXfxIa8gQUwbPQ8Mxjcat9xdlc78OCLbvDO2cTfp5nYTy4zvBrW
4o4iFwgB5wCmPWO/SUnYgYmbvbVNMm0Sf7nvG3M+eOiyNmXhaYiB5RBCDlAkEDawtOuWJZW43aUy
vZ2szLcASIQGNF9zP3vnPjYJ/q08jBcYduq8anv6yu9jX07Ii+EYOmSx7PXSME4xM6JdXprjlnQX
VONDIaIpqPxDaunXVMWvrtuf88TOj70zP/pT7228zB1QNlou/PusfiC08qmMaf6F8L7DPqWei7Mh
nJLywTTkhWcP3ZXwzVNGXBuE66a8xI9rg9vPTZnG4DBWiqi2bT+AAPWI8hGO7CKbvW1LgB1HAbWR
7Hhe46729tz5xJDGwaHMsVK00tcAy6gH4Fd4JrVxsbgYnoLCtaT8lmi3fD6xXpaHdrSzG1Laz7nB
ITRrMQF5TN3CwkjKXSdJ+tYr514UTAlcyrQL1fZHQtKoCEdL2ySDNDcIuPUorVr3Bc+m5ymW8uAp
71sjyY2lSWbeYA4TINmMAL4Ga/WqMbgeyvFGTwBDkCysX3y6FG0fh4NjCuzh7tCON9sJjdLcIs5l
QwMzSLUnGZDW3WrzN4tAc/ZCKZlBLR17TdZtFf4PRF/O2Skd7WmfoFLDnpa+QkJzZ+BnWntgRWeH
mI/AaVQJROwIY594+dM0Zs5x0fwHNfQXfdF2G6ElH5ZGvDAix3inoUfe2MI1dk7j+VvDrvSTL1aE
n6DjzcKuuoND3ETMZRar/lq6fT18wRY57okW9bUW+9R50jJbhMx5/WZ6HCDZeLyKrdvnJZ1AOVX+
NZnZwSQ2XoqenZesyYEQrUMLxXI0MCJ3zfiLJadVb7xRqusRbhDHye6NEeoiJgSuNTOjO3gQntu9
kG9fL/WJqVTvBci7YI6R2p5j15LSkIhu6brfcez/ldd/V15TTTJn+CsmYN+/vSNd/D4M/U/19e8/
+Ud97Qa/YXmHAspzHMsz8FP6V33tWb85OlU3dhiw1lablX/xATGPWkl/+Ep5DuxCfzU++UNVZRu/
mdZqeMqMyKXJh1/4D/iAPxuNALXwCQirsObj//l2v1TXgaVIdxaaOPhZ+ZGCpO+JR4YB72Nu8sPd
ufl98vGj69J/+iQTPRi+/FTzf6rjS84Be0WDkfguWD3q4lXUzbyZ4lSG//yT+IwA020GMLa/fpMf
vLKSAVMKyLWCaMVChrHUr/uxyvEQXh7/8QcxpzORpPFxOp/18weN+LtRpy6CCrn4KMriI9ayj5z/
/jcfszY/mDX/mVtIzhiKMWcWjHymYBv4cPd6wJqwmLP/4taxVnGyI8kJhuqv/lQJ8h+7SbmiEWHY
edYl9XhjArHW+d9clMu9+XE8xsLzXeg5+ARbBGX86k3ljRUUNTbGAwcoIjyp7lQyPxqaehTj6Ed/
fQfXgdWfPswiPoXIL+aDv9rNaIbT8G424sAknxk6SM0h99sY8Un2pvsUs5ndWRtUcv/caZ6r/Ayt
/LTi/PX14vRg2AQ54MBkr7mXXWuh5tKKR7IWrb95v9bF9qdrZOLIroA1EW/1z4txkblUBKkJUo8w
i6mgIW5zU4/v//pO/oe3mFTTf3/KOjr84d1aCcyjBmfuoAWzc2F28yNs//pUd//drfvhk37ZmSaK
kwa+KQuklCpy5/xtaYDY/w+vl/7ni0Kb6vusDEyQyL9b1+oPF4UI0vGrRlT4OJpNJPRR4ywWQGeL
XaltAKs1MgJsK1qI3Qcd2UiUl8jordauT9COiQ2YgPe3Pgk6iARrAsBXloaXI1hHdGPspFd8KHCJ
Y7IY46Xw+hjq76fnT8AIF80dXXuKzIkpmkmfY1G0z211q7rAfCo8E7eROI9fxwr8b6pm54CADzqQ
qoP9lLOe6a7cBD6DhD/KTBuCQAt0OwyEH0nsHLbYi9b36AHtk04E/Xsbs8sbg8t3dw0+JcdDYvL7
EYcgz0+brbJL/SudlUakC99HA7Z4q2IuuhgHsWuCRFzDk2uigTRBDIStOM43hiwD8qYxxNm7McBz
q0M2Q62LqU6HRVmlc3VLxcZV4UASwv014SezuaRJVm9pfGRYM4lcWyS8P0as+E82Itw9kSHYjukD
DsOrVZwf4Krmlbr5lKSjczEntNSJ35SP7sTAtu0t8dK6lfkUc+1UXBOjR1HZcuE7jfjWpJ7ABcCy
FO869gKMizRGJY/95DsXYNrVraZlw2vMrblI81ZcuzL/0A2eqcxd86nys4+5n+L7wcX/ZVq3xrTH
i0uVK4WnA81dlZpBmd7kmTvf4QiAdYDB1VIUZvsxwe+HMiAD4jVlfcoSAlo32JZkV4klguvcTeoP
VwuMK6PJuYmyxJQeURtkmM9lX/aJfVr02D+nLrcMEQuXKdM8XGi3w6oVCUY55joB87LiNVhmjth2
amgo0hwG7TA2C94jnVvuM0h4At3iKAK0czGSfXwlgi18QGxF6mb1EHIZyJ0J+F6efPCjB8hT1Yfp
pc2Ja1TbGlLjBj4+FiK5ETxilwA0XjesHwcAPAs72OcF3jHpSIM8M7PvZsAt1Ag8giGeC2czmyJp
NsBPWLjlLi5CLVW2sPVFC6nxUSSqwGeYIEa5ccpJpI8kKCXjHkFw/hZMprYLat4jEkvp47NgLPef
hmxTF4zPC731nojbgYgJrTOzXS7wEdsucOPbTYebh9y4c2F8XQLRfzMX3i0bow8jKien/4KliXhJ
ctu5+HRaqZgzY0EDG+KE1iODYzdhi2gUPAknTYrXNjHr0xwnNfyE3gQsyT/A9wNo8a514osYOyOp
VKSpHrg/hR18laDn28qkDJB384SkxdEnLXa11GfA5eDQdZ+PnSyiVMzp91oEzqEuXMbVOAAtZ9uQ
z6JX457sCZSUgWQhYNFWnyY7++hh+dNEDVD8jHIfdMn3QXZelPbzfd2asHfHrzJV2alCGriVsXCR
bPnebSp5KeFyzttVvXg5DljZAQuKHaFB8cYUXvHkG2K50IN5V2HgxFBkxl+qmgqaIDh42cYaShY1
uyJmbSWc7VrmiMspKmHB8dYXsmRqMYoYGkautkvH7lZNwwgIxLkrbK7brPK3rNf8a5/EoLcSM8pb
a8RUB2yAYZ0dW6dZsqJIhY1fZQBkpZeqQcvJ5Tv9wmtU+S29Zy3J29a6stskPXtOahf+reF2LUhk
+eY4bJSrx1HokrZ6u2Qzo6euU1HstcyaHUv+f/bOa0luJNm2X4Q2BBAB8ZpInaWpinyBFRW0Cmh8
/V0o9jmnWTVWvP0+NsJ6rIeNTCQQ4eG+99refVhlmuE6Sesk2fMY9r5uDrDe+m06pyxiVl9tsadW
W83c+5i0XhdYQozfYjIhoFyUm7VvxROMj0An+a1dd9U+Hm2PH6Gob9tmrauB6VxyUGas5E3cJ5tC
SIIquDtJSAOpcJhjPq+6eEA+d5knfpgjqxWn8jxQUINusrBLblI1RfthJlTBHakkIPZ16iaN1L5F
xwT7S1uBshdWxK6agmFxqg+o9f3bxaX9MJngRoBhYjXkF04ZOGlNDxfT41BHIXjBsjyHS1/ctz1r
jxGxeow+L302FNxzv+r3dkp+RlQOyY0dWuZXX/TdhUkm9WjV33pZmwPhMQEYxFDkCz8yrjud3NqJ
PTwaadrezlPcXYfp8ikx7RF1OC4PbyajlH6jOi4A4VBrNMVtbejwLs8+u40utugbf1bRGjDeJR94
nz/qwYyOFrGSuzgqmqAzbVJZZiTGbIs0XR0s2qrCCu+y6a3I8ZORxPnHpmTl1SUrjll4+AFMUAXB
wk9a/1pkHdlCZ+c32HP2Glfn4OoMJWaE8PGpP4Kjl/qAlmRjoXQYN13r05WZ4VBUm5RDXsMjkvpA
5yITZ9+I/3nj4VUh5kavYDx6gHpDgyIp0Bk2nYn6eWyKTV1YH9rCKs5Y/4ozUD2T8QM6MZRfbb/t
BTj8nCnzVLnOZR6tqcAda+aa9a9wx/ChQSxCClSWxsZBJkMRn3HmYlLeWEU4eGdU61W5CZ0eokZA
LQ57fLOQK/2znWE5bbwhK37g/kc5m0TuaUIigpdn9vU6CAVJBXiLdX32XMjWUIa77q50aDHqVPY+
OdtelMKMj7VEmNgLTJGtaL94mZkh2J/yd2NqT9h1BEyHtbhGS1y783Au8zTbJrX5VXr9sU5T9Lmz
jVhCQQO34MdsWTiGe6VS41rY5drHdouJvdqaD7ynFkyOlKFLn3vd0WrIKIS+8JTFKtu5hOXsrNVj
UbmNeCw6a7rp2aOR3kTa3JbS6o3Az+3lhtc1+hblLoLqTLQGCo+JdkpuGKdkAjxCv7JgfZMOy7eM
qE44LcHgGCUZEbT9Yn3MEBwhhZrV8Acn27PK87c6fvWyeZTwvkLRSPrs78VouyyR7FszPzL4Zb2x
xuGaTHPTXQ2jrHKUljcz6R84ShbqiszXKwHMUpfOLhB/C/9PBzXsj7+fK35569aIcAJqX8WcQj6L
eAf4PLoQH3uTEX3Gmgra6KnM+4dwZpt7+4jx6mTor8lAFlcS1OPA3F/cADmoImJSD92RIqwMeyZF
JeCzsoyriyHn6vT29V4nrawXdNXKZPZt+1VuXKkpcKSTkbDJKBBiDP7sbdKWQ71NdfHUGZW/y1pi
n+A6j3fP287IwM85xNYo9thpjCDMcvVULQ3YqpZ9/e3P9zo+gM8H1AeTw2orfXUor8nHNjzZZ8e4
KOS5H9riZ2U3vFMjXASz2ESSYjuHPArqPhXdzbCyJUXGJ64FhTYupSdKmfLsWYiHZ4uTZwsUANXT
3KsLCEz/qtSpRjADZbUbGuQ4HYLTY7QmR9u0aitgEUX4zpamfGKShSrd578OniHce6xJbMDhPJH2
lSTpl+ddsSxN3wvGJQMb+va9EOsp9sXbAfuY8GL8tQrPxouHI+oxf7F7ZceOKLONMtpq002kl4y2
fGwS1zgiXcUHgkh9T99VBZH+13msvr1mieIn4yfhMX3xCUgDGx3iSZKjz3n7oIyoujC3/NMy8Kpj
wVVoVIBfZiZPWNaLI2mf9EPoMOU5OpLi2YGhEJQ1Ywhme5wznKwCy5NyeEBgNjy+fY+t1/eYEgUx
gLdGKZJt+OLaQBLkoPORgKF2jEIUclgQjDD0vxQ9pXGL33y+9Q3lfyzl/DHz5+anUSumuPOgoqCr
StArrLdABsAveDaK8ZpyUmb6SP3tX8G6bL83oQi7kxGSzfir+ffffvWf+tVCrCL9N/rVyTfCNp9+
i0CgPF3/0N+tao/EAmGx5uJMJ/5EObRc/paC+OZfEiuuj6x91YpIB5XG/0hBvL8Io8T77KAVN2kk
8w/8v1a1468R2Wvr8hc27F+0ql9Gu9LZEra9ikFI25CEUr54LpvJYM6St+JSoisEqzlERTIdtaJR
gLa5dDA2x3NRXaWZMEZKXgK50ZLHoDlav4aPmwylJTB6pWt5pAgcmInrlLlML5EFfHnzC9qL/gOb
9j/u9N2v9emfve/1k/1j1QJ3zQf2uLUmC4di2fh9S/PafmRiuOgLiobpQcSACxVl2tU8uCY6r5mT
8dsXZGN+dUlpMnSAVC5pbHHPfr8kYge7NvoqujiOf1V1LgDofGBvOaQSxxYe48ZojkKb2IfGxme8
2kuIT0ffYeHZAzoS1Sl0safDHXJZceBu0EexOme688oEi2dVEgYRr/LJ3BKAoGVYQqWHi6VxPpbs
EaBWtLNpdFMsgZp6DFjRWHKvDWcAv7ywFVliUU9dWVcttFiPS8F5HKKddsP10KFCqKYjeA4PkY0G
LlV0bd/viR2bIeJiENe4uBsWfrZebVMKzdLw9e4Zt6w9+hiBGyUAjdFSQ/mhqTPdQYGCh9vEkfVe
oBZeNonb8t1ajSfIQLVwFznM82hPJN4EftyqP1vDCIXaqawmvp3igk/kz8o+UfTE0wcNcQAAR2Pg
KrHSWLQk6zCRuFmAxRl7x52d+tFCmxmfO00+hxu1IF0Ny1XDw6JLCy51bk2faqjYxhfb6rhzSTvx
eWaObdVJ17jvg0Fn/KHQwWDB2WGdj9d9xqez0oEdfFoaNP2GmabxqoWHIl7pcrV+YYlMgjQr1VPK
Ev6xnznzDL3mjyMx5kDVJM59TJNpCcy24SYls+RXcCSjrscY03l9lIsJypj7aPeBSmxuS2Lk9DEm
hfnk3bxU/KwD4HpxIQEsj8/L+pO4683xmzUx4BkJDvGF3kqSdwaEqmEYr+NoXO4Nz8TDSYNsOq6G
Kw8VfSKIGtczL2GOW5gDhuMiyqoGK9+thLhtriC2oIuf5veYkDogfz5nsyINEagvZA0+RWmnrmdw
dB8hXYubcajzO9vOoieL5siRxrH0Ang17lMZZcOn2jbTCf0/j2w8YmAaxgHSdZyuNX2Rh9l8tiYH
lC9zYf+j4YB9vQcuvzK3B5fHZtAut3dMCkffmh2YVQjPkVESgdY3toDBLb14sekaSMP6RseW3y6x
KRJ+zunc15/5yyL9ScYkpPvCpMXhEMMUVBHPSIsctg84OQMJttZfPs+MZmWKj/y2eCwgyS8uiHTu
DC+Xm5a8lFldQY5qTaNuH1cA8QOSOl4Eg2nzdEysekXvISu9QISmKxpO5CJEQ0rPEnDidMfwojn2
YEGnK7vsufVu1XMVmmRQ/gRvm7+D3MF9AY6PzL1XnDfKmMiF99myGMZHo3eX5qqztKHv5gnb6B6l
BMvvUnCM/JBIs8gewiHFS4SDs6EZatunZViLyGUuuJecKbmXcGIpO3/lHDCD0scw98BoSFaV+Fw3
kD+C5wc5mwx+uArbqwZovL4UnUZHDPgaBw2LeUVYQG+sQHbhxc7jhCTMuk1DtN5o80VWfXNtwkBi
x6N49PKCaxpZBAYZ7KJOv2ih8edsVI+H2w69LvukWSFEjOt9Ufq2KsAPedQ2Rujv3BxJy87KiM7b
mDxO57YBZI+qV4ubFMLv9Mnrwyb7odzSsuhBzQ2spMIcLOu2YP9ZGkS+WGxOYWl5BZKDiuQUMGY2
PQJCIejvG8T2QllYkHujQbopSdd6VAPoWs4e79whmsZArIRrOBnIxVbqNQ9GC1cSEra9MrFpzKMe
KFZStoADqLaxW6gjnR9njctNGyOhjc5Rcy9pAECMq+o5LFlkqlNde+bHVtVWYBfmF8DGUIZKtNqg
0LpNEo+TdxSZFX3N29D9MUU2kHChS9QfzlU/6mbeZbme7p3Kjb4oeyh3BZvUlrLPfmDoVn4REpmX
VZq0m1zYghuzc/WdH82IH+uM04m1ZPl1Ukf5BytFfuObbbdfjI4WwADkvdQ4Vhg61bdDvhRXig7H
rsfYcc+yXn9J/T5+N8j8bnTNKT3oppX7Zm4mpEorYz2pkncRjOgPhLy30V6vOHbYVvR/s2Y554YP
IMGmTzE0Y7n6PujeJINdvWfTqR9LVdTxNl3acu8lZvUpdpz11haYdZiZQYJ3gHnf1M5EmgKdmG0U
uu3PRLt6m2N/PFpLGu1HDEw3KmpduUUbWYJsnykHtq22BhqyRXXw8mZep1x2dXLjydpHStynYVUf
TOLbtprv+Ih/ge4TyAjnBBReDLu5AEaPEDB859exczDaJdsrg3RHIzUWj+w4B6FY3DUXFuz5SGjq
fBoN4ROAiDhubuH8drjNgqafU+wprfN+SIblu4mG7+J7PqKuckX0v12hvGgrUBKRlsW/ns/4sGFf
HKOaqrA9MjHQ9nfITrNybeuOoLM2EpbdFt93dQl5y49vX/XFkPT5qkoppsBUuq58OY+VwJjdeFT+
+TloAiAIC0PdWdQYb1/nxUTx+To4eR3KZQuak/mi+hriyulb8IdnSZ+cNdXUrNmr6Us9Y+H//cXW
kS+3U6AMeRlDB2K8NSKKwLOX07WuVnPOsz7ASPo/5dK8LmTpkeAboxY3yVR8OUhvIt+tjcl0zvaa
/QMvnBMwcDg6gR0BIGuy59tf7T9cT3AOETwmpgMp6cVQW3hoVcu8UOdlisOPv7YgGP7sGKpcpypt
MnN7377mi6M3vx1fjjiIFSfFj/eyWJ+LSHa+7uQZSxXVlWuYFD8sqOzA5URXlbYgfyowioG/Nulp
T//6IWUQqLjPJsBjS5kvvjQcWVCTOabRvk/0cRzxjUxi/FOgzetXgauQx4iulI4KJ5PfDwh5aI1l
mLTOOcKZdJwTvECu98f80/90FQ6UHkk3tDNe9WuczrYaZfBdnpUXTrLC+Uk3+vePCbxq2yQwiR8P
2tjv3yVrmA7X0BjO1honlOiYh2KY4XwhH2SQ1NXTsPzhSPd6/WJNZw3ja0Fu5rK/X5IAinBGHCvP
RhU6jwJnF+PZgVKkJ2V7V2KoIyCmXXhE3n46X68shFsimRF8W4LdXn5Vn3a/udTKAm7F2x1WrJOd
g2BmSbEwvn2p//AVeTiQNlGDE833crF0UaByqcLCfrUafgpRXZaWCWku1wb4eoKb1qfm7Yv+p+/n
8AoibFO0+F7aPQYUtnbsO+Kcr5lHZYFqIje9+MBB549v+nMX7fdzOS59V0mJ7cT1Xr9p69jVZD1h
Wtvi2EpFocaNcs38AYm0vqngZTE8mSmTp5G6jtnf3N4MDYCUPU1IyeGiYmCJhfc7+Rg2VedSMv/3
MqfO/3BbXi+EeG1sd9VLoWASL6VmJDaMCVQQnvCCFnaQhHj80slgvyQXjkft/yPu7Dni8eXdwXxD
U9wHbOe97ANGOf2SkD3ubHgGtS58WM4PHciU755GLx/Edbg+72jAb5qeqCd8bmRvPQfCNa1F0FAT
9Uuzp0rCCIZ9O/7Xbz3DAZST6NSgweND+v0VNBuQdIPHW/+cWZSa2CFExLC+zVdINvO3P7VxXj2b
iArXt4FWDo8o7KXfL9gk7Vr0z8t5kKF8arHIp5t5jSFjZ+c0/i9fBC5G38im0e2z1LzcBVBz+GbU
+DNGCEbraQlcC6s/pxxl1hwX377Yq2V6vdgaEW7a646n1m7SPxRQRWaIug3N+ewgV3YoXzueLF5E
TolvX8hax1e/PVTI4RBLsiPw5Rz6Yr9fKbfjZHJqd6SCIEnozuQM1wfgorvsQ2jgy7rU6UAnREa4
hAnqZPCX166t6SWv22DVTA8EttAnMEYOS8wbca4vJFUcCR2hlUXXy96b+dr9IGuTw/HI9OquKyEZ
Ff92IXaUoLyjYeoTzPqqFEpKYGtu0bZna2GE/RwEiFU+OURkjezevmmvXn4uxTMgGQXQ0ns1oIKx
YnXDhH9YIyfGk0sE1qapGn9nWBPJZuX0x/7hixqInj/robUGNnvEv776lcqlsEWjlTw7zSR/kKU6
nLUM/Y/PDRHHbenqNEuuPlTTZP1hpYPY//sjIleRJmJNmyuvQy9l//6IyByNA1Kb9CxAyhULFCjP
ySBnAqGxrWCcQu8rtJBMbskrEi0ga9QYpa2j5Gh1GKs2lpXOD2Zf0EVcoCQvNCHd9WBBKMayebbh
6gKFPjgpkdy53WyU/JPGRB19JElMqsm+re5V2iIzWB8vaNdUD6Q1iPo86NU0gn15ulPjRGusDZkf
XzIaR0g4mgFuvhcxhb5WxJrqrSmy4n6k23Cjnc7Ak5I4d9UsjOVQuQTC0MUG9Ga68MdAYadmGbSu
6v1NLHV91WUSTJsL/x3CCRnyHKCX5Aw4QwS46hVc9l7EeBA2fZOojt63OcD8s5d0VVUTtkTzqK9F
Lr6P2stoihsp74s/1WszFNpWfDfME3/tknNTnZyKFiWqIT+Mj86QcSoqm4W/uzTu38XnkIV0Xvx8
rWuamneNKB4FeZTU5XH1lazS1lmD0D9FHhGO9bQU8R1Cpby6yqJm6O5b9D/FFkURb3clijp7qEjZ
Elvdd6LZMxEm3Q5H6VXkOFX2gA6h/T4xBl/o8KZq+WE7ZS+vdSPWVtSY8zPDj+AP8tXVk4KDtLyr
ETYzqiVZ92pYyWF0NHBp7ZOsI43OqYGcbOmD0LkiD5FGuFfMjr1Dv8g/EXNZiChstMtTM6WkUU0Y
rJagyRZ2Ld9EOQDBPLdb67YcB9U9CAwXhKjxuMR3nFcxK4rZheeFglCehkG3brbtu8EIlnoNrHQs
lnC1RDxBZTlwkLDcMXGv5BCK8RRDjgjZVwWKml9ZXl7dE/Aw4XuzNoxn6TIiAJj0e1EqnQPzUDxg
ZYy8+sZINHvDcx1Az56nDyoGrYbYYQp3hjUFJyekEeLh5Jqr6affLeEdzBuUrc8tOJX3fBg7nsR7
mZK0mIRxHO7avkWX/eu1wp6yUqhYe0cXwOxTqRJab0wAxXsxiZgpKLtiQyg92opAO4qnqPGcVe+W
K+6rRVoSlp607b8iTh6H/YQ28u7XaEZ48ilU9lpIRJLazqtchKYiXTuxmvb8pk45/sCnoQP/vP25
Tk+TMaZ35V4pl3nEJjOTKd0DxjLbC1IjXtOiNpg0EMzEjZXQjW3SJ6wouW/Lhg8iTHon+zq32ody
Ec30pZ9cmzhKmIxZ9uBV/tRfqykX7500LSUWozCZf3gGk4wdenFL3s+ipgscz9TGNu/f6Bbsx4wB
4moT067gWZFMc1CGys52P1GYZx1Tat3BDNvkCVbkdBOG6DYClnCVnnPd0q2fc5qSwCXKxfucSARv
58I0J1ptdMg7jwbZ0g/p+GvH/++c9I9zUnaVf2y/r2zzaz7S+u+6Tn5z9ay70f+NShl6mhSCqypj
9c78c1Qq/uIVw8xjUT7+PSO1+cu/Z6K2+RezUPoZxCMA4HaV92/sO473ojagAkFULBBZODaGWfNl
5Za4SaOyus1ORQqL140g64BN4WVcCo7ZqoM10jUrW5op3SrDAi8i8WFDa65kNX+AXo8AlNkD2Cv8
pJBjfDGznGXrbICoE9DAs0GJVWcaz2ibJv1yCRN37nfY5IlFY/R37buQo1bpc7iZYzllN89QX5CC
7I9NAtJLx7bPjI/C8IGBkBtoAjMP3jiyDK0koGd2MGjO8FypiffeKYHB8DHhcYUk6TzZfrns6UuB
y0CLe5ppU5K8F0uygI/5XEe9fkfKWm+cvSkexWY26O18HyI7cvaj7xrWR3MIo2RX9NGk0w3CdvU5
Nn00hyt1pYsvVWez5W8w79bjXWO5fbxxI2+MbhbfiL19lc0iehgj06GyzIpGbpKoQCNmtQMWSSNm
Jn4Scv1/RqCF3MdJZ3V5cBqTOhqQmNo4MyFRQShaBlli9BbbQ0TsCAJ6N4UTYpdCchR9LZY5uh3c
udpVUHWIf3BnDJkiarzHpZ86Y1eKcdqx0UF8dZZtx/9a93xwH2kz3LhearZBZkb2MaeyQuCKk2EM
kXdrEk88Pz8UujDBZHpsIP6+1oOXBgNn7Isuxn0jm/quYarDA1O7mJb7pAoMMlbuB2eePpAPlD2a
8UyUal7GJMf2MDSTTP0wyil9oHZH+o9bGNe74e9jjPenDrDcZ4iXBBqwNm4TV5enxC+7swyRWQmR
P+BKzu6HiQY8HbbIDdBLAqAenXNblSTxzO+BEQ16Y/h++1WtBKECKth2gjBzyiIHr8TYFRdO6i1g
A1kEDGLzD9UAuqgxRHyIpsr/5kBpzTc61OndwBDvKRqQWQVIAswbbLRLvOlSYZzhbvGnZrM07/En
z4cRvvBH28rfp0ZtfXbg7UVETWXfElRJHx2Pl4rpqtxDyZSnKCsGfGUTGDF7/BGGrfe0oC7f+XVF
IN4QR/AVlnaXLmxkIh7lJqvHyyBjdZujk93bw4Lu0UFoddRsgSfGfs418FrxebJ6eKvkuVDNjt3J
TzM4SnImJIs57fuWuf6tParqmNmFfQF6Pd0wL1uORVSre/SJ5N0PdfrYlHH6mV80P0xTb1/6itCj
vixB1i0y/1aj+g0DUBLuOdH2ctdAV7gqcLJumYuJYRPWnvswpx1bnGHYLCvA1a8JOrbv/cV0UJ/x
ShyBSRBgU3tJcib9y77tvb69GrSdfKJ4A6Rjz6N5XWdDct3FWfO+Rzf5Lkmcmix3dPMGgPjPlZxT
BL1Od+lU5Ru7qXfTs7kQUrUXRVzc0SkNTzWOhkO3mBGnAd/b62ZQP9WAPpujzPxpSiExRf4aUVsX
OPXDawaeWK372FyDoKedKKOT5deXWZlzEPr2ps5k/70vR4qTrMyPJmfsTalqjD6ihc6YlO7eis0J
nr7TfIUl2V/MZkz2OcGagVPK8T6tFNzbzJuPle7te5qB82OPZeIbuoXhnhsS3k7Un5/IgxGrq6HY
8p5026qYUuDAxDTVMnXww/RV9qFOKOv42XlbDFgSvpvV3wGjdocFFmm7mULT3k0OuVZNobs7mPSo
+gaqV1DwQwy3S1k/Fysm7I6Mxp5HGQmtjyYBDtlwja/orh46/8Yi3uyRCIr8AHm42U9gwYcN9CTz
2kky89rvMv/GqArrfp6Gno2indGNVKuXIJ9u86avYcPyotKUjpD7AoArgnDsplNC8X+uKwiDzCBw
f/R2ed03hAe7NksNsngUH5Q6ViPFO2culBWYGDSDtnHmb0zcJ82X9shL7ts0PbZ4Jb5mjrubqNTO
7CW0OJvK+pIyaTjlraKnRLrbe6HT9iFyO/eGEx9zQeCLHIfmrPnQlr1/Myl3uR4wATzVVW+yo4nx
IU9WJApvj3tVjuP8HaZgSjZa1GCxKNV4NqJiOIQkJt/ggbDPgAbXKV/TfByxDhAbS3DfDGL4YCdT
fM/OVn92/L766nWl+3PmiJFvnK5FXuFH38dsSle6lU8OWb0fEXNf5qlVW9zBXWBUfM7AN8hT9kSW
klHd5sNTjR49R0+BmgXWqkFlGMvmYwhjYVe5TGQ9VSRhoJw0+1lKTj1EnDefvKh0nJ2souKrHUXe
AUhCeN2L0LsMXommeVpIzSMy2e8zhPHgtNhPSCbMbzpp4jjyivY6I1F613ttdW4qA1l+R3Wbykzd
jLmLsGQo+08eLi+MIP5AqCgpASQt2GN/Tyiad7UY/vzDtPu8X80obNfY2aJLPnbG+zhWzmekoyw9
mVHJDcD5FDzJ2NXoz5cw3HWmV4FCK+2bxAxLliXMbRmJqgR8h8o7uF31/EyMCbJ1slhhGpPphAje
e8poSu/NxH5i7lVdG8R2vfOiqKW4n+yrsfPJFY1mi4yxxQxg0V6vPyDzPlsclq5Hyl8ma+KCdY3/
IT1FFkpKHZfVXRVZ9gfX64bd5Br5vmkqdTCctESWwDGRDoTFkDhpSYm3awRAZnvvwiv/1sUa9JDo
6mXbj4P/Tqi03pf0P/cmp5j3OPdiGRRGLe+ysAHwZQ2Tf59HcNtpFlUBqI0rD5gEP3shzevGFNed
dKaz31kQCRKj+YFLhChuYx79Y9g17hElV028a0uYdTi3d/WS13egLIhJji3rOIGED4B5GcE4Eg90
CIV2P1ELWO8n209RzWNS/+kVRv+5IHJkH2b1o2pyd0cK271tAcPk+5kddQeOQNT1YxJt0i7FVFBr
4+SUVousSjo6ZNNulm9JrSGeENE2nq1+2pIuOF7mzIPgFsl2X6SZgnACvEQkbNYkiMl0P3raJVes
Wag/JhbhGxtS7hYH2EcIGcUtShx4CuFiygP7Xbkf0D1jX4NgZiTCPRJF7d26wuU0bbrJZwo0p2XK
7VGAzOGxr9MwiJDEWhtXaJGdVB6JgCcbOUBVD3Gg5ZQSqm5Cg+IYjk7ByMYHR6+hy4s9nhxzRsUA
nI33hPYkD4fvfqfwjXfIV61DRkbANWNDiumJSpXIJssc3w1mHn0wsyr/IMmu3suoXWSgAHzcgijy
L0vmUK1EKjyZbk3mX4T8EPVdxQ6G+yI8IfTVyxYRRXpOO99v0BsI0rKTiETDorGi9oeNZ7L1UV/Q
Q/fqDQToq3CAaczZUJ9VHjf3iOTsayn1fOM3Wmz9LEGHGzXTOS7HZRdR+D8ujndJpfM+cnCL9FZy
w0RB8C3luchc8YWcHGtD8lEeNKFDT8ktmGktg3WaDbfcDGNsb5seOl5tL086JhHBNe69WkJRhL1H
TKWAstjAV6y6cjyYtoGpCUPQxBHhkuSi2OVp9IGfxd6TkyMDv/X7rZ1T3Bh5AvExsa9bJT+LFhYK
IV1A7rMs32aZR+BlkXNjCgKx8wKbjmeDfaFPUJ6jmHDksvf2cVTOZ8J3yASU1kdbI1QJvKkqAtMp
9V4wYQ0WY0JDl/X2GgzfgfcoGHWi01/gx3yeaaIeUtLHQdx6BwK33dvJIcOzdkq6LDx+T0br7lDt
he9RIDrHGr/gWVmteR0XebIlmE8Gi6fZ5to4OSW1i+Ci7ZaAfroKZtkTIV910U2Jem7vZ+l8q0y+
XOrlu2TpCs4Jte4COuLtH/rTL1u4CHUBSIGQkChmPc6Hv3dR41DOedID+EmLlmOdQbTsWS8eq7SC
f/VOmmXzraaWKtmyIRH+48j8HwSvLyYlq0rYggxHjpWnbIACLy6+JKV25qVOTmIirGZJNUDGJI+x
h0FoevtSL0YX66UALPOf9fT7WpKQNEnqIM3kUrUFo553ZEYJNkfVj7ev88qYs16IFrzPoR8ptPMS
6J1V8yx15kanvg7nPaNDeXL65+CYpLtrNFmNV4Mfmwk/evFUr74ZVhV4n0YYr4frMObTvf2RXv/E
DASZR+EPWPUKLv2Jf05terPz4o5TBj3LcrlGNjcf7HRVsEKzo0NvRrH+hnWS31kQVPR87f/2j/7Y
P3I9xO9v6Oyrsnsqn37vHT3/mb9l9jSO/mKwAVcR1YWJpp75xv8QF4UDcRHDFUp6LEmwCP63hfSL
uMjfYvSIXI43+n9bSlL+he0GyT5KI3QWSJv+TUtJrtiZf47omLvjMuKttW2EUoziX4zo6qXKCC6a
gavWhDMGuVHQtmTcpgLVONl8dBEFl+RNRDBFV2HrNaFcRpAnUfy9Db2lontSAHxC5dtMhOQ0BRE9
ret8W0g42MGc9eQKPZyvqibT+adkkc1V1S7m99SOJqIW+mzqNyYiyDX/CSDVITGc6oPbda51aht/
GM6TnejxWrNC72J6+5zerXxGnegQN8IyEYg+7DZqNq7Mfq4TWAsemStpuVjbZtZfht5CuGnFYHWH
iePgnGKzZQDbq82MHnnve7ywOzpPKg4kTLbrnOnQiSLXPRq616ehKtJ6wxFxuh8a42ClvQWN0od9
P9mH2Mg7NMRRtX6qeUk/TQqcpN3b9bZHYhv7glZAulCdiC2Ba2G37as85ZDHjFNRR5Yrfr6iL8ym
FWaw4vjlucvm0hPObSXqjMO3vSNxJ3UuI/Cgb9wRKNk4UUP9fnFgEiKIbQ15cXU0ZbtUrwTLkSSQ
g/bqmMCeyRqvwc0S95IfXcptYZZ7h3PmgO9TxsDvjiknHOasQZthwHcvNJ+Q/y2BaIWApEisSp/G
WMAijQLxJIpM+AM1vw/1gI61YJj9PAJy3XpbY5j9PNiWeGhb1PU5CUHTd7906/Snn4r250ycxmjf
WGWrCjStRSj2RIKuszqmRO5jTdTLeub1hyuScLKzU/YM31ydhXEw5316SqRf2judZ/dCVHpnJrji
wzgbb9s552yLH43Hcsqq7VxnEcp78G/wACvie8xlT35KdsiIlxNJPT10Ti/Br8EzBMnGeSDImy46
e17nykDa3O3ASr0Q7aQ5dLvcntWpmEy9p8Runyqrzr9ZXSNsNngA1BvdrM0lD9QcLLVU25uy9cW5
tbtxA9Myp54BaHmUZf8lTuXQBUsl1Z3BHVTUJnX0JdLSvMAhKPbQPozDYMuSJDxTX9Paqw9iEdN9
WXXiEI8ZucNShC6wBw+0QWaZ2YX6tMGrSntyixKlPA2w3G+glqVE5oLOvGIcuZzJ6TVBnJkcunqy
S7Wd0mEtQJXk0Y0TE1u/7aVzhUANP8CUhV9iHft7NP8DueO23GVNVp574dYfGJPekEKl7tcn+5Ym
p7l1TRuoRyOuF2J+NtCou8Cza8VxurY0d6A2f1ZihransugxqhMEpo1EkzxgwWxzB/Jz4kSHNB2y
AwK1kHSYldUAceBQO9p/F0mDniqOmCtiPz4ulnlb2pBYXSN0rrJlUFQaDbnsaTt+Ug2ocCiR03g1
Jbb1uVAzfZ4e9wJ7c27aDw66V5pDrf3TgH1SBB13Y58taXeCIPENEYgf6IS23tbo58bfZDDr3tX2
OMWB5Q7VN+nN0XuVysikea7V167AMln6bcs/ozZO9OSQUOPD2TQ9lPD/x96ZLLltpVv3VW78cyhw
0GPwT0Cwy2Qy+04TRMqS0PfAwQGe/i6kLF9LqrLL8xo4yuFSikkSOPiavdeedKe+yCG7bDxMz8Tc
sVA1q9g7KNtZYaqV9IIR0M1usGMArO44pJfCT8YHesx8U/D5PPSqveWyru88YyZkD0aLnUMH1AAs
Y+Y2W/fC6zT0yGTHeJ+VUyU3fuGl0Jzq6rOb6n5Y6PgK8Jzjr9zOtUWAlS4I38juhrIDS4oyPcy5
uu8FyUIlXeBsMD4wo800LI+enmGfUnYMEtFtwRAgEAoYsJgf6wKMY5mMGnxJYWVABhz7FbcsLFbg
EXe18tON5XbTc5701J9mVl8ZEFwRL7nqN8KZ5FYa5vA1zieNxqElcqtIetblhvlioEW4XkTqX0vS
Om7myq53ooiHG6Prmks4Dfo9vd6SM1Dq8nZX13287etWf2OJ2oWWGus7DKNQZWaaGCweoxZYNERf
1cL0spKV+4r1ZtHChUtrC3APFgdGRieA1D6FVc3J702dFriedK6Mdok33JEmXZ4wHlHnNJfeZCcX
td81N61IZDigU+OT9ZP5Szp3w70t4zbDtRkRvKjPBVtk0TM4U5g6hKC/Wrp5Hjesl78QtWluKZf9
AOdRfaWyJtsQuNCdcKlMt4WrwbbM/asWDXcauHOaRLDUtfwq0UUbCqPNPha9BDbfF82V23jzvT4J
sK8auZF3FtlcB+kxratVlDKNiSyoleQHXHeyyZ9L5jbPsVd1NxWZdxDio/RyVIjmE7YVj6KzZkC+
dbafOzlvo3loGTRWGA4s3i1DGdrg4VgViyS2wB0fse4x/E6tvgo1hkIbxJMEA+iJftOyATG3rhfV
F9WkWWBE8mm+tLO5zHEpA2T3asvkcxymF0sBNrQlavZZlXTuGRnNFyIVzm8Gf7+2qaMqvUG5Om2c
TPef58XuD7q18KD3yLhdczX6dMdg0zm5bPoeiFvsyFxB2wS6MSLKPvQmdRrbutuxPkC6/9/iuBrS
Yf674hhRKq3gvy+Oz1/k2+cfa+NvP/K9NhbUxiZxryj7kDmucMM/auNVbvfdc2qAH8c84HI+20ii
Vmj59/0q8ctUsB4QBcpnUnP/ER6Rfe5PxbBDd8XL0Geh/aPL/6mTTQZLyaprzCs36l0SFCybU1Jo
uHSWgtRACKltqJr6gia4FUEtWglQOO63qH6K/Wj07YnQsNF4wSqYn2u36JLLVvFE3xhNq+xw5OZ6
MqUlX4YcSMgQzwRbNChON770JG6/ISOj00kq8EfTLO5Gs69fKxnJ6wWxjiKLoVqf+0vnInNijrhL
Sys/uOQQol7IASi5zTzsHXQ/ddAkmcrJeEZAEULcwPs1z66zSxS7zgNt7zKGuL5gf41MF4NizvPP
LWO+6zS2Zcm6p1TXUcT5GmBl4r2TqMlGEBtf7h7rubMoqcRIodlTjetEr+AfukAWPbNYtNv5iEHO
zsKynBWLWn5BhGvRArGsbgnIujW8pr71rSy+W7JcXreAe0mlK4YQCSA3NQB3iDJT5x5Kv6jaDcwy
4jqRR7Ck9sack8bqMJJcmbnxiN18cBeovnDbhvYQCTsd92VkxKa7Z/yRxzu3Q0MNPB34dKVv8spT
ZxMnUiU2HP3a0epFDd2riVuSbzL0pxUQ5tQrtEI9901h4WOSxHwEHT0UIyk7jaQ65620fBxeRdr5
THzirtw1LAvBMWNpxuUO3CSLqI9mbcfTWMDfsXvE8XyYo3SHE/Y9mYQxS2O3PhCpJyLgekkRha3V
y/XCIfZiYXjJGk5lUKPy0iFX42IYxrHRz+T9ZQMiya7v5bRAgZuMqRcvMY2MsbyqtJir7vMwtUMJ
kRjfXhHd/vfA+w8PPB/Z/F8deNP/HN7Khtlfx8DpWwj98fP//3/v4so/9CSu/gGwB1MlTrxVN/L7
PMA1Ptg2E0qmO6ut4T1L/vsRaH9AGox9g7ZfvOtN/jgCgcdiu+ePk94naOH/WWL8z/M15kr8Rask
nyPV038ee1mao9AgcPnhJmb3v1Cqwmp/+tOH8h/MC99fBIkrahbe5y9Wg6GWWoMInTCZHKWdcvsF
t6J0N6xph78ZmvFo+PN0A7QpkEc+FmT/uqv/YjCoQRm2WWwuByVT3IxFSsdkYGEED1qSOZUOh1J0
aDUX2yK6CTnGX7/TXz5Och1xi6AAEgKR0M/PE6NgBDs5BuuaanowSvfZY6f01y+xPpL+JLFemb4G
qiCDBA6+N+aw/P9/EnN3nTaPeiTagy2mB9zJT3Sf9WbEZcUcoeUq/eNy/hffHD6AX18OKTzOGwTK
NET6Ok7608vBsmJhRc9zQBdBskxeCgBWvlZe5HZUXhTSerTeQVdgBwagVyYEbNTcPkbX8h2M1dcR
Ba0RC4SvYPqOmDmBaMla+u2GOFbgWj3jjQoCvcD2WILf6tD0HY2sND8ZGUhw2Q9sRVeAQDfoxtMM
7WEVr4D7z+Hln5N2pA9JcjOEXqSeZiYlJxrMKQ5Mw+2oYlu/fHBYFT2TpFYTWorCIYqJdrUHspwc
m+GXtACr4wqO0VWQshOX2GtXRhdafLvdyXFZjmy9rsZMkzuzLL9abnFXp9ZvDFZuh45dxGR5RFLo
6mOMFICXyBwCEvk7Ca9dwrxZ2n3erujESoR2n01f6Lbbo0t6ZQOfmYkE0w3LIFVxqifnrJS5bpCd
6IJn2pNLbPtFlkCgp7wmv0JKtLKaD7WxT8NZZBkypjZ+GByLZHsCRnRfxliFY1YtUySJNSuibYa5
9IopzGZMsLRF2MAubfRO+ZbWZ5hJqZ1jH01PNqpdiiX+oXVxHCUUXxvDQ8faACDQoXIIBjiV6jrn
0apc7TnJZXdN+hd/j4dO/KEWOZOiLh0PVJHYmrsO2TL2sOQyKtvuqiYlmdQ9IttZ93CJlG1209YE
PRFsIbZyHo2dTAv9yarJuYWmpjZakhrj65jqrYg3+ixOeN7jhzShgaxSqF8RO9UwgcaOsCJd/a4w
5U7kIHa3zUKzQx7BKfJn85Vl5PBgjWZ+aLVEXAllOoey4logaTzdjUOl9lVpvia0+IwZ0zHeZa6p
wOOk/q0O3GwPdKi7WmKtvllph0Y/zlcokJp24xP9vOsm+BK1Y8fQKp0G1Jqy033nW+Mli1MAy0vi
3OAz30WRiUshGlyBZCFG85AnR37sWckYHGq01pnTLfHCj8zOaGYkQTRWSYAmW6kcWza5CnKMp1tg
AWJvmKl+EDhFDnM5WEe76dtLMk5WMW9s19flzHODK5phM3CBWL81o3Z+69n9rsSB6iTjjPyb2DEA
QPmEBBQaONKsRFrLFtsNW73l1eLcrLlfEAdtSG+IdlGT4FbRvOjVy4dqE3mxv4+jaLpUjDsI3Rlp
1lDUQevUCe/NSy0ArY0mIxrVhmhgGl+nmC5QsoiT8k1vF61s0LquM/pEogIdN3kzI/PZF8sMVGjQ
71I16wdDmh9dvlfNK+L7vNatQLh80ma6XAxWzcI/yjuS8bQhjIhlC1sPP7+zZFda3za3tJVFiHb8
Mxb73gtwls6BF8XyGGkxgyFNv1XzuBtUHR8yDVVM7TfTfgF0iLLAaR+RKbslx9OkhQ0M092ImuCt
l1jl66Rxtr3aAWY1H2y78TeVyBHBVa7sb0atMd84t71jWk7kUoiEXalk6Jwk42rwsZrlHBX5gDgp
aubHmryUEwfSwjbNpy427NeunrAh+N6alBHVG3zUBvOF5EQTv094AASlZFAZxDG2hKIU1bkvvWMh
jce8RBJlRKLaxGyPoW8y+WDSHEa55l3FUf4lUj5Q2bbfuqNhvY06WZ/ZaMrrxupLHxwr9x5HgnOd
zpk64dMrjhB3yQ3y0jysp2V6qRXSaKqh1RyL4mDeFA43ULBKBZn6asWzwJlFQ75Yt5gVHPbA7BhE
UWZ9UNuFuXdJntg6rOe5Txz1mYZBu87bipa+r2CsutmTDXDzMPuISzZtV4wbYSmLjoDTo/BwnY2L
a50IHJ3awGwWeV32nnZggeZs2tb9zRVmTFQUGNGwjezs6GWeu+bjiD3S9nLbGda8ceWMlyS3jC3j
7OSAGBLGnhrtgz3Y9rWTClBsWhx/9OwtzL15X8wJH78ECSM4uQiEQaHGh1Q8mEAnNrYu0E5pQ27c
W62zdfCKPA/IWz8qclvODgHxz31lhhBrpjTImq47j6IZdnlJtsdAEvnBAqdAQh0XGQ/PrxVh4YxE
OyJt46g/8nycjjIzOTO+MSIH8U6MNFZ65Puj/r8rv7+dagiHouaPqugXyfj5y/Q/r3WX/1jfv//Q
73MNV3zgaWh4fyJh/VHj+x9cVuUWw4Vvmz0K1v+r8XUqVbx/GLUJOl0XvN/RWgC5iIy2QWFTevmY
WP/Jzo8O48eK8X21jVqAeoUq/OeKUUinlboe10eJ2SGlI47ta7ObmvNSTP/Qq00cA7N5n+weGhSL
nmddav+pXJR0uliHRXV8R7EscoaXMpr+08wncEJ7+3fmuZ+X5Lwe/jWo7us+lcfGz9WwRpUHz4TX
K1ey0KQ3nEyZgqU7KMzF1RAh7zIVPNhpRRj96Tr4F9XxL7Ux9jUE3NzwfHt4mn96s62m96ruOfcX
ODefy6LsHbxZksBcsag7sDL+Ewzdv3vLvzQAvCqflgmIYKWu/awLGHqWTpPnokouhbrJOVA/Q4vC
/OavdqF/blCEMIY7gixAXpGegx30j99ppmuqMfrO51iM6kt3FUnPycCy1zNBW0XSef3rj/VnFBxN
nP3e29D+8uGypP7xBeeeELQ4UvIw1qqFoe1EWLOWdxqWN1l4cecxFWeP0JGjO+fiDrlw9VQ1+E6J
Uc0XUM1u794Ns2GMQSftUQaopvsTz1f1Mhve31wFJMf9fIO5jCkNlBp0SrDyrJ9+3wppESTlYTzY
LitmklcNO7rs40Jvd3G9Kq7bWEwXAn5dAY9ssImpr+L5buUcHQwdhfpF2nvmEQmU/RabPRZdAkC4
lvoInvS7/VmlCexfqRvAm1DOi3Np6HwObb56splD4v3QuhSi2myAhGlsJc5a52LrHpHDXTbarO7E
ykiLUh6NwdLJ2v7kSROgNxlpSm69vDWyy8601Y3DKeGEKexg/4DNTnvGJu9DIu6MjkuOADETAVk/
Q8YE5ZMI8YWrVCEkFGyuFPJGX1q3qpqnE3lvOJlRBxMG5Vso0N4Pgo51AAo7icdSQ2B845Pc5IFg
apvXMTPwonS6efxmUlRSNuRom/JGB/Nbbnwii1eYVOZvM9HZb14Hbu+bp66UEeStZFB3Gg6BB3sg
myBdUryDIFyoy2ZfveKCxDiDvoIN9DtJa7Q63ilDCPrOoscV6Vdp9GRkOd7Okc3PWzHyOb4b6qIO
FN4IxehugUb+NLWw7RxmJ3dpDFa1Ra1v7rCcYG7zlYaP/h1Z/+1aTRhHAP2iYhmv0lz1n4uMYJLA
snmzxiybft9PsI42WM/z5MJ3o7Q8rvi+cggcasBxO6A8fE7k5D95DedpyBYT9EWJXMkJZOVYb/V7
vm/ccPOzTj/5JEs8NZRcFN9VypWhcoDpFi3LZaevMEKzqdXNiHhiCiUhx+mGu7t5/cYBi2vQD/S8
7zC5hJh1UgjgaE1wj+7SCUIyqzMMue+fv6UGG/GDZ22T3HVD6tWk37SVr5/f/8wQRdWmxPnKubEk
B433epu4gwyn2Pd3Y9tzASNF8Agpy3Ek9n0WRZfo8yFky34aw7xVnn+HOVuwYx+guozBULClPA/0
fI0deGVuqHtkIjrLn4jVl9wVrLyDyNTWpXyRCv04icEFBxmXGo7Jvh9SbT/rY0a0e4yT765pKpvk
iJoSPqiScYhOxuLPaL+N6bOctZbwaTbg6c2EjHBiOgyVfd/j8dz3BuLLYEEYGmieZGEFtIYFlLT5
nPuHxoySrUpnYuMrf975yL7bVS3DBMVibpyZZ9tbexc5HehQFa1YrR4czALv0AW+dm0+W3buYBhO
xEuvG21I8+UEqOHFNSu/4W5KWppEEsnsj4OVI4pJzH4iZ9xP1aUksPtgeQjHg1FHbRLo9XL2ujH+
3PYcm06ZuhdVmjjnRq/I6RwXaz6JaiqRt6uVuAvIijV3swyffZptKDwaORYhF7ePv2dQFS5I2aPk
cd3oyaz6oQqFZj0OSUykSNe+VcLNWB6DGT20k6mDinRXelv3TviYc7v/nACmlAHnsrrjMce1bMCB
g4WrRTylFxAvKCxhKYnBfyrnhL4MvxY+SVtKdfdOClqNYOfGEs0r0UwwyGU+vanai58y2+HAJIcc
e4+ePWfdwo31znSM9B50jAuezmt8nURucKAhj9Ga2RDUvRSDQ8/biHcQvzwb4e3C3nHpG/Gx7DRt
OS6JNXpHs+xQEm+gKbDb70SHasUwzU9LLG1n21X5ReE30WnSmvgGsXWCWdp/cJOkfSqG7m0u1Xr6
p+KJXovUAYwwZ9oxznm7EemFXzfGx1GL6KMLsIVXjT+593TwuRsCeTvCRtdkaE6t2PiJcFmv1J1H
VIZRXavRUCOJ5MZTSYhnWKse6a4s2XBbs9G6yHAtWzKMiqozgxvrUyFM/nzDE6t7JJXCiD753pQC
YWibqN4tHubowIjzEZlvn2snlh4jH10ZwdFHu/Ayu159SK0KqXZi6mHGW9q7okHEMBtR/1orj1qk
GWzvZE4o1XMh+VpbH2hhWvQWh4VVxN258/qZXVvmnTU1+09dyeAw1Ejh+wyYzGettpIqcmfhYdGO
XCl9rHthTNghl9JIZnlIYq04m7gHYHQ6Bmd65vP3SIPfxhnI6egnvppNUficgyUYk4UtPwCkFGdO
HCT5Cn9SJsRip2hSaG5GznmPJ+0wJxLzC7DjHss8q8gTUx5tk5GbVqw5ABxazLjVTWPy8o490ZK+
x4kQ1wxPO1qst2XOOPDfj0CXjr/DhB/zLrBKQY8ZpsrD1N9M1mkaR51+2AaW2A1a/7kygXpDnOu4
IoylBSla8HzsU5tzunw3ZpNujAm5GAgsu0jZU4J7ff+1vjnH2ySjkoi0FU3gdpz2bQE5g8mauhkk
tW+JYmMrlgJBtTEZrPiRypSWugLgDztA7/z6dTLaJrk27JXRkZYN73WSq0e+ImnXvbPapsAh0DhM
XhimJ3GbF0wodOm6m1hZEK3yHqkOltX5HtqH/eokgoN17rTshMNApUGOrmuFGIr4YXJRa3NuQhW0
FtPrORddcV/Umn7RjIn2dehaf5+ME3Ed/M5UOakGrdNQE5eFV3Q8yVt/EA9mtxLN4xXyvutcCzN5
rNL1E21xawUwDHisj42HSYx54FDdR+s3miFyelveERIF+QFnTbR0DYOx6OQIoOjTUmYNLHbXwDKL
RQGPSne6d8xUG++loxAxbdIpiRPvjoGJ7/CoavxlTSyN2zndzXmqxYJAaapl0iqmAU+CsKHi6rW9
TXUrwi0KnDIcoAaDwJ2Nfan51CAulrSL3OqSs1kOcpPCrN3yD4NB1KEXRbY0DFGT9q6Gf37MZaK9
KM1PL7SBYa8kQm5jzV55YOiHSRaTy64Yp/eZiRNWOtYU3fUvCdGINi0L2djjSAeqMe6EHkNpWEQZ
dEq1x1piaY+HQtxV4DmZkXJIBJnErQPsYggGp8y/QkFA7iXr6OADioUe2RJlwB04EbRWfa06iOHF
fO0razpyXVMYjK1+7Q+Nfm2XswylXm6cfi4PzFzaLbVxdK+ccd5lPETDrE2mrbKsa0sfrCuMktUt
3zbP5UoVFzz5SoaiOYIdzUR2Vjrb2C+uxhxOLKEJ87WOX/gRD//ICM0wzzXBgPUGKjMFpCLsheUy
XNEbsxR3VH7VlgQm/SvqLPvCZEmfktdi+HA6gsqdrMg7aNnyBU0sX4g1cgvv2G5NSViOelFTaGuS
PQRPYFJmsa9xgiTr/JXnFafhwP57bA08NSY236s+L7hIy4TTJnU6rsiFwCqUbwod1M2cT1m6kZTd
4V+3UWvX8eOiiD6K7EcGC4IRxM9tP/6OzOeJRzqd/V70I4fFBbIiZP/6dX7pfkALrcAy7LWoMmjc
fuzWgIoMY1YPuLUrh8N4RM/+0PYdFBtLARVz4IEmF+/H4V+/7i+tP6+LxBpJNJ2pRaf44+vSkhdI
zQhOVFnhEOQAV7bsFVzZyU04v+C5zneEj602dblWuX/96r8sGnl136Ar5gbnl/gZ4T/3GdMT4dSH
byhrPCLGg7eeuth5OO2HGFFqoDcdbclaeRtAg5vg/Vf478Tu7yZ2KAOZ8/z7id013rofpnXffuD3
aZ2nf1jZTrpuwHVaBfpM/37fyHvWBw+9kWC9/j199Y9pnfjguyQ2AOdDMMQqGynRd1GS98Fck/7w
4nC44tb4R9CHXwJLSEURK0h+HQoyVfh5+hFNpKEllW0fuWGbKDSyJcdPD0sV0p3cIN/sn30Wi7sG
4NEOTkAEGZR6mXQq9WhXXvNqOVn/jEq3f4655f9mw/3zXcdvZ+i8fX5BA4zTu4/mTwM+f/Q6sDa+
dcykVb/ZECFuUP9Vp+od7tAiRtn7jU4UfFODovjTt/gv5m3mz3ot8I+4FoRFeoGOkMAyf5q4oXgp
GmdM22MURy9lG5mbcRpT/2oNynFCp7HdE8vsyuFjctxLZfnpo8i69KNaquWzO/atDJtlNi/iAhFX
DiJ9D9J5zLeUC86tS/U8bzCo28doKoeTaEyiLfTGYmBCTE1G2t1KZ+rL68SY6VKxaosNSXntHCDW
d8NxXEoWTFQv7CaYtgDvc4xXljYsjOgGgqX3GJ9RnG+7mnAdWLzVrp6tCivuYHoQ9CmSkw3nabYx
U0t/1lj1MJlxH0a8vsXGWlqOFNdpqnNnqZjaQJsodGpTHmatjDa5tphBhgt2DhZ3kqR4RSTHNwlM
h9JQ80uFJ9gONOQCJ+IJIiY/8/DsTWCMg1QvJj1gU7V6+m3POXhmPu+mpHD2yjfSDelMbKQQt7R3
/qhltzRTqQgzBE2vRa07wKtcvQu9RPnbaTS7dCcZuaIS5VZiDOrFRK61rcPgyUqGBzHWCTGD7jQe
V3RFHNLDDHek3XrJRpgTkvDUEfqOeW7kBVU05FRWttMIDWzcYl6ygtZJlY9TgwyvxB8DujyLrzXT
rIMNgBtrtOVgO7ftFzebvW0C/vomJwZo18ctCvURrV5gdQOag1gnlZLtdrfrhsm+IetR2y+GR6Oc
GHIHfmjnD1KG3Kn+kQF/ebcwsGEWUY/ZBZmDWejZg/vGTKM5LKW+bP2iGWCtdvWyG4whpuPIDHz8
aMcUuZfAtPaYkgWyZg8LsCdonzNjPHhTslpSXTv5Yk26vBY1K+QARkH5BcgxEwaaATNAQFCV6+a4
TYNZLjaxMW7nZCH33j2tNzOFkd015XYWIR67Fx3pGU3QukQ3biL2v/EmUxHqBq8Z8s9VlkSpB109
2xt6PX3Oc1kK2ugEMW4A00rqVzhPuvSNlTwZrX4lLeO677GZLeOyIjvNTL6sUz9CLpAzvy2UY2Qx
+6PquCvIKfyNYKesCDt/aNnHDkSub4exq7RtjfzgiilWNW963R3EdpTakt7PJv67A2t/6notqqjG
66orY/BhSdx8tPwJjyOb69WEPttVh2Yh1w9Li/8OaUR16hIA8+ytzfqtr2GaCcyuXOpKr48zPewd
Vpr1MARegpgyra6zZQQuMALZwzfi82rd+t5IabXvu2gR07a1+6gPyKTvn4fUySwMQZLfXsUopdpa
LQdwV80rU0R6JmmAv/Ft2cgwmbiRt70+Ko3Zixo/6Vk36ldZ2tlQSaKJWqQxmvqt6wufqDGtWBgO
cZT7vHPsSHiNtgN9A42SNsizSo3lqehJZ6g3+WQuWCRUBLFrCXkSiPnNHkcSPi48mer8T85UzeI6
AmdjscoWyyRfqlgVaQ/gw67exnmgVp8hlpAotjjnthf8xghxam03YUbIVjZ3s289o7ieq4SpmVOn
BqNSkanbMY2NawuMfUeUoVdcd3aB0aGKndom309K2I0uC2220kl5IgrAxVLGb8C1WzbWsWJRJM9W
26ksWEw7GkNSWNyPAAimOeDDyf1NES+oY2rPmfWAJEuvC5LWnV5rnAoA/Wf2rp6T1UFEdgzGbXyZ
+dTXn3oxPJpqco7S9zN7z8Rouh3JxypCLYcPtvcSD6CP8FJALkbtRxvLzqKdwBF7lZgyWrMV5+qU
gMJ9MPJRkbmQjPZvNlNVVEGmSHb1hMvKqDWiGmjhThaz28sokcmJXISup/PxiqNqvcZGA9OJS4Ic
wbmgynQDLiDtIec5A5TQ9Ama84GSA2gqXYOZeI8cYaxBGRIH4lbzvprMmdNPOlmHrAkfgh3b1k5F
HPh9afbP/y0c/yM9JzCLv1z1Xndf4vrHDKVvP/KHgN35wBLMx1fuk9ZurvFgv5eOVGof1t2nh1QO
tjd/6v8Wvc4Hg1E9P8eWUv+GDvu+6KWq5LYElk81A1pB9//Jopdy88eej6Hq2u9RnOkGz2kq3B97
orwfiacZ/fQmyzlY/I0JNoNk3Dh3rv2osaxby2mB+CHGwj1P6BflcTDJ1IEIhg1SnVtzFT27GMDW
SWU+mHfJN2W0zZQ71zcOmr6gkVV+4H7Vp5uhaPXPpd5MPJLdHvPnphOJhwZlFHWcoJMxck/ua9+K
t2XSZhdlVomvJuM7lEV9633S1sZMOeC13dxqycmIFxwn6OuwF0X7eKmX0PQL/TrPU55jlemMY8BD
vMwDwBgd7DzT0h5dXfvkoaJnSoaar6JWx+QGUSZdluykcis9ugybP07r8Uo55zsBKaHJXed6Ob6d
Ws03aPwiH0PjVHZbs+EdU8UtAyd5WzQh42JU/RH1mXwnL0zOp3SSw2OPwCM724bSQnhz7nXa6Uxx
ZvyVKaqY2d6Q5kiQY+QrXwa9PqTzvWsPjMv5JuaXaCa5U0OuB9KHlOF7UM2RH/Q1fMENgcDymDpR
crlMSr0wmRD23rGUfowrU259eKnVRhcZjj53cBKKQny6z3PH0zfGkNRvPFeWF1pf6awnbKxSmzJa
COAluWgMzMLikgBaxeHjqgQtbsZxROBK4c6vFI8tcrWOK2tjUBSoEOyhClN9NHmsMXrDLJx8dbuC
MW6c5oc+tcbdFJtk57QpeaZ14t62C9Up65Q8Dg3Cjm5zp+wu5hr6g1624pZwnwk+R8mo0nJnLeg6
2/k8YUUOFTfNmWHG0gTJXJcJZp6ZMmnXVlpzwoWXzVd6RVZmc4F6Z/Iacjur3gOkkpVQRShdqubG
ytukPi5VKqxAN0mIqoLEY+gSjGXPyDXK4ZcF1AGehwVAWKYVknucmrdjH/NdEeDu3jP3hKLhaspv
npgIu+hAa3yPM9xyCgU9YRNpKuX2oQO/o77I6qhjitzgjy5bd25I93BzNyi8udRO0mZBiFZO1Wci
kNOTrCDSOVE1vRllghcyZ9G1nRm0zkcVz8zweth9cNEKR08Oc0b4+AFyeCGCAZQPHl5UiMMBkoq7
q+I0BbWJ0mCTtJKw4LqLSu7syHMJY27mdAhxYbBMaKJGytOypIBYDM1CzZfwbYYNgfN0L5XWLUGm
VX58wyIt7TddOZbulSLg5wyRSd/DRBjDBNzezBVnaXKTuez/C81N4UnVhcTvEBUJqTa604Vl4U0v
RtrX+wFiHLpGvWdjM2TLLW3Db9riV9xT+L1xtuALs89DbfbUym1SDrt4nOsXFa0SP28ek4dl8Yya
4LGmq/b8R4b2vlYNw4GTaL5H1UuIlmE7DNMoUQ1nX+iJMSGqjcyjWTfdVxxoj/bIsNdMiZG+l7lB
7NWUr8lnHYGWoddoPK/7Xr9a8M7eWtW0JulaflZus5jTzB4ZBOZzm+0XZXoXmebNObYyTanTe1yD
a/YV1F7WHnvPi/ptIeKIBRjfVb2LmyULjcUybzVwdIiGx6QIHT8zLmun8rdEo5C7pKXNmuWVQGdt
FtzJOnlhfM+5FWefutbN3jJIWo9mV8hXOnvZ0TRaFveapWTIZNLclsLRhmMXx9amMJmrb3H2xt0l
f8AaA6FRXQbMM5qZQElvYQSHcdw20E5Yrt3oQTYXdE0KNO7G6B2EmrbTxaxNKWMPWtuZ9TYaygkx
XW0TDHlVV82IB5Uglwf4wuYTRpRni0sYjf17qplf6cbB8Sb31rFpDeMhmsPBSJA54wjXt9UyGFtk
poQ8oyBUd1XUW+eCzG32Uh3Snaupq+urZVicbO+1tfnSDuolVkr6jJxTpv8iJTOKjak+sLbAWjte
YVAS52UW/R1D3qzbYOZU8a1Q7C6QGljFvMyH0oQiZmcbUuBJa2l7To2z5eW/Z9r+dxD3d4M4ODCM
wf79IO7mS1Wtbvy3Kn37YSD37Qe/y+csHC0GgzfUTEip+Lc/qqr3WR0EN58Cap25reOm7/I5g6oK
ARRzPOgwzIUouL4P5BDdrTmyjOIE6pN1hPYPkim/Tcp/mKS7eBZx2yDtYTjo/DyRK6jA4a3qM/qe
Kp9DahsucRtI8NmIsPRufSMjlAyLL7awaXCwkiOX6o7s4JljLC0K8U1S6JqPhn8gYjphragFTIlJ
fPJ/a+QQXU+OM1+Ws9BDK0V0EiwsoQUP2x68pJgh8jmFQZqZyY566y5zMwQGSGuS6LNk2QPZr5+6
fuYpy/rkzJxSZ+e4LI+RoZkrLsZNtp2vN9mWZ1d7H+dsyw46sZBeKJTuvi0Z+G32tPX6FIHdDrWu
AcdajioKx6Q6pO6SftGEiH+bFi29UvzMiz3X2RhCBLVOgJJImhcubS+cC7+H1Wf/L3tnthy3kaXh
V5mYeziwLxMxN7WxyCJLXEoUqRsETVrY90QCiaefL0t2t0RrpPB9uyMsWs0iiC3znPNvib1tDEYq
EKPKg3Si/EPWEAwvp8G4sIiHX8dm7BLnLuS8pdIjrS5IcoloDieHeUbzaPQ+CV1VBfwHpG6uZOk5
H8OeywwpG9hx1GAZnpRYfUHQ29t2l2ztiCvvZq51hTladSsMx98Jf6nucFxtbnMmlx/SGF3pSpr4
G6DMYq8OFwZnU4ofJGNPse7D6qYOiHjfop3EXKBHvZGva8/8xIBPXI+N+0QYoHiwoCuHF4xCSc6y
jTwB3UF9cVH3o/NIuI+9g+sUYled5PNaYoh3g6wBvYZjFusKp/cbz5PDfeAD5W39M/6kkSh2xnrr
VtZ9IG+1EHIzTC4WmMBXLllBja4NnKNlDOOzpXGuvnLmD3LIvXUEEEaSplh7Z2xMo2SOxsvgl8XA
13l952k0DcrzJzg8/gYefbFRGnOrNfqmNA7nG161n4DmzMYS66LI83vMg80P+IIFm1hjeTT7F0XO
fKNyJ4h2o9ls4jP+F2koMMdbazdqeDCaplcrjowd+xUIYqrBRB5yOlkNMA4aalzKCDU8UinsCGx3
49feXcPTtsZb+YCMIV1VYedjvjs8LRW2GYuGM1MNbHoa4pw02JmMwJ7WCHGi1FAoLVZy2Wp41Cvb
9gbYNroKwqHb5BpG7dkW1uUZWpUdz80Zb5019EqCLBQY6CeEkmlklukyvbyGa5UGbmWS4cBI7V0p
IF3yOeZsxwB10iNJa3GBfvOvQDAmLBoWVgaMrQcbMsH04LGtAh57HUXHo4XzR74lxCQ7+L0Z3OHt
FKefZncBVB2x88ftLNK0sNLPFMeX2RF1ms2gH6/ZVQndSq772EkRClmN4T2hoKjzy6mxAZXKZoFi
N+fm4tYXfWP08kFmRCw8EL2oB4LJeTpYOKbMn4tC9Eu9WVC4BkiRvcFeq9aPlo0cGBFveMyS5Lmy
soSQutSiDMbekXwuZ2qUuZ3VYtHUWdmsse5J6eTOvKYAB1EWRbJXInSfx6aexGtQEPTpw+FZIrb4
chTNFXM66IUMdOkq+cOPi8scRNygQDdhXp3qYvSpMTua3rUtehvkw7Dmr+jFf3bqX+zU+JhrfPT/
36kfMxI03u3Sf37or13a+w0aOz9HCxz1Js1W/Bds5vzmBwHzCxAyCO3QsP+1SzvRby6GViS6AwwT
9caA41+7tP8bPw3KdgB52rZt/x9p+UHHvp99sMszk2GSQqi6B1/5/S6NhQdqIl7TfRiqGoW5bJhG
mKTEL7XqrrMJl906/qzqEMofyvX0ozli/gyg3RyyNMGqsvHxDO+lsyN+wIq3Pe7ut6lK2kPv1+Wp
qXX6CCTwyy4Wp1jGcwgPuXsxHdzTs03PBf4I6l0/2ppo21YTbABpG/2bp7OTGw3+u9irvNRmBylt
tsmDdVqfb9I5g4/Cb4w/ijnAjhuZ2PwHIa8RRskZJesxbYJtX9HVJ3N+wDm3DS98GdenyXExIMKG
fHSPo7DxnLLTxjgZrkd9sKT4rsA1ZDiAmoQpYta5m8B25qPVz0zmizT8XBZlaB8GIUMuC9PIvTVP
yXXeWuMaE8EOzoit+4Bwmryd1dGYxUPxu1st9SFh3r7ywsXdeL1bPGHYW289K3Y3Bsnj6zJ2psdz
TkvVYE6P5B5SBALc9jbGXDpgik2IIT2N8SwGTBZHNoaPqYnlSJHlJZ5Qi+yCx3bIME8KfEgu2wWX
zpYlLoZRHUcJtGIERsL+0GUObFWDqd+p7wicGFsXcAedGSBoQsQQJhTWCcWSvsrnLNdUZ+9GBeMz
XMUm6/Q1CqlsPX68cEo4YT3WS8fBcQAiAjG0EEtaIgq3oSdJmAjTCE4USbewjc6ZQFZfwp06f/k1
lCVukfzAWKv5Puwj+IznqAIRpY6HtKMFapknqvgxpw0h5lA3qEK6euFPE9qcZPag+Z5jmZEuRI/W
CL1n1UO2wZNLc5BtHGg1n01mFxOaO3JERETHmwrvpZ3Lbrhw8Q1FKjsPyyGqFcdXOtkN/a3O2XAX
TijQF8XuetK6hU5AuaK15ReYSMwgMCbJubpnOnV5jr1JYknes4cxOHDXHJR4qwQN2SSxxOFzN4jY
TC5Fq6PxkiYXbznk5nUGyALGNusfC8MX++syz+nUGwPhF5bq58xFjBcAXmZfn3y4MCNYLedM5H6a
+ZulA8ZxUXheznPKbVk0JZRyDyKz0XIS8Wibt/iC+pC5OCLZrKTA4APvXE4lll+rr5SPXMdjT30B
L9txcTbC3N3G5bnvLffFVIpwEleTM3wd4NkxeJLAbDMBylnuuXdJTgRf4eh5UoYl3bCN/RFGYWdn
mnHmlJyWqsLwOo1L/5MrcmU8nn9LrNrHZE9ISVYzf/X4Zb3Wh59o0Mcco74EDsYfHhb94GtAqKgk
6TZiKkjjIk9H57CbOpMyzJU5HIWKmkPkD81B9Q3/HSnN6A6jBJIggVoZHmeUn2iOO2hH5+CcICdZ
z61MS+0yCHtfFsKN/VXuGxyrtmxAiMQzwuqiGUkUOgRWNcNOb4t5PQeFmDYispf9sPjTvTlBc5S5
gsHCkwZDsBmtkOe0BiokiocMo3BcN60H0OvZcKVXgw0XfqzqxFkrMnKOYPjx4czK5GYyntUt1n2e
KgExr4dxLtxxiHdgpPOD5CnGASSsdgs94NqUiQfmJIbX3HAswlXYdB6hb80PoW+QEGRjJ7Sye4YG
yFQb49o3XYOzqwrsnpeGqeBagBg6Gy8iR3TNJZMYAmCqsJ8IrH3t8B6h/Kyb0CF/fGJOYg8FsBKe
bJdky3F9lc4j7YOAFQQXIckBq+nDZHnu1pU4f27B6ye0zTGi9qp320sH/zGG6mGKCTE7xl1ttfU9
xoJED2B7Bm4VFKn9MWqWYGdMvfrDDSrnKoYxus9laL2VOJo/hglxNTt45Pl11/vZH043T6fR89Rl
W9XVlmEg4dCZ8bHPjf4xtd1hg5haNGSXhjCmLSbfTKJLRC4Q08torndmWKltjRkeXlVJwRswlcOB
mhtsTmLd5q6qJcYgt8iHg4AFgPzBDqzLcemLG3zcvY03TZpYjwGUTyLhElx7SXfs/b76A3uC1N1C
eZLlaladuqrFHB7Lybi3Kvx2KXNhsa6Z/A/WdYlpW3fHLCy9lGZ0IeBP7hbpSEyhi/ZmGusGsHOM
b2uJWROCyFWdGe14b9X1k5NMKL9FNCzJhRwz57qFtWt/jKHePsJN6B/Kyb1NPdnd43qG9isZrPvY
soKHOhApRecswg8dxhc0sGW7xS/VfErsaYY6HZ4WeJKfRsxsLprZa3pybkmR4/1ogbslQVe8+NN+
brEqGFv7dhhQu/jkQ0OoxOrqeiJrYa1iHA/uhrRptrPNjKvUdoxD7vQ4a4GDtls4FbW5oc6fPsft
XJVIWUcv35nVOFZ71ZWIWw3LLQmp6hpMjU1xsuuCkCCiAUmfyhyar5xRXmUa7aX04fOsJyf/DBu0
PeCdOB6FbX6e+rC7aYcF42OoQK2/DmBMXA9IoDcSadWDinCLVHNu3RWWL77AROg/K8KfupdZmKW8
YzQeJweaAmwdy6JeI3R+stUS36WpFW8Kv8APJLTmaylovUt6exn4/dUIKP0Bgb+/HWwmwysFV6EU
eG51MOm3safsuzwT8pnJe7xJGBPeRm3kQVSfcJcramyVVqYXtEdc/YobM+7sekM/adzBdsBI3x2h
gFZlgDEDXuntUNWfs1Fgu920H2MMca4Ks38UbInblFirzZCbz5adXOZoNa4N5blPZFeQvBEUiuCu
eLC2sQGCMyQusRroLm7GoN+H4yRWRWALug8MRVdB087gAxhCcYYhzgepC4qctPYo2PyMow+V/sLM
0usKzcDeLq1Pce4Gq6T0Ic7ajUvCiSg2NIHlxmolz4HdApHMfsROEcXLJkEcTNPDFr4jcdacibFr
nTuM1P3bMMJJrundkY2+hkkLVYgGfJl3RiDkDcJUb9WOyUcfH4RDjf/fBvp+u8YX24OeUlUPGAbi
1JfTRBK7bmWb2S4ZBmNHAQdB+F63UkOa3lZz7+xoAtXJ7Ht5UIOjCUZ8UPpJc8MKJDFcIjppIyq8
4oWJFWQ9koImbLc9ONXS3adeVcq1qodpS5OXpfjHNdbVCGsB00Lf3PSxfwm/JbxuikR9JPggRtlQ
jY/pmD5BSiHgwLPCeJVgePBRtnihB8Ms2HEH58pvq3k/m4m9ciNc1v0Rirlmp0wATpWJPWkYjH4P
szqFFedXgj59xpqDWRm7I/I0NAJkdV20GHE8tqhYVrKd+4c4b4IdxN8437IdTvswxzMDb5ICEwDA
KAD7+zTWPHimaIzYVAIzwlWuszJTNR7m3m12k23Pzo7PzDdBNafhOmC9ecu70f8SotLYYkHnLfs0
wk6yxTVxrzP2tqUurVp8uVelVGSzuVaFiF+7guD4327zWmbrkCiVm6m17E2sSuwLJcw0RFT2ocgr
eVxQdDkf2d+KG1ETqinXDMKq21yQlzAUXnM/oiXx78uI5Ba8p6J+JUVOWVBP7u8FBtfJLvLrmhfI
pBYsiFP8AGfiIZHlfI3AfNiqsYjmdU7g6N1AGaDtGltWXuUkT0El62azOAj2QUOeE4ad90s84Ylb
JemO1E117Q2edyR9putRpXcGqJ83XjlNKQ6z1amLsM7mW8sTwymdqqtu6g5tuMybLrI71PrN8AqV
yryQouuvLOnFF30SPlKoTbsAFFIGvXuXS7zq0fsUBYPBucJTlSzYydpl0bLAtSM/MV83Zd3kELb9
5X50zPb3uagQV7Lk4Q0LnobKrR65ICgyrouxN6pXJecBG1a1fDBSREZbrEm9kYSP9tSOqgax67PR
jTUZn8XtMp79iy51gnsyUj61Tjmnh7rsgvjaqc0XMUXtzYzZ2CoLeRYuiymDS7LkCisUMgODe9LB
GBlmFV/1E0PEOr5t8OjYoeJYQYxeI+n4hKKowXy2D5PgNsEu7pbd71JU7KDT/ptO/ge0yXekAKiu
cAEctOQYUGEm9d7jKYmmUdkJdW3Q42o+adGLl6X2aVHB8Bb11i9Dnt8LzoEkMW33bLzpTXSMHpOC
b0XgZSoVwumh2dcV0KhIKd0HFuYXWE1AXnYzvjIOd91jIsPRuex734mhg1lGWt3kXg6D+5xt73e1
23+ozmpXw1/aq962EPikKI9l0VAAukutU5oqrRlKTCeioXfF8mAjJOu33Vz0+wz/tGfR5t5L48lJ
PAzwHYbdIoiMGdbEqzjuZ7xDWgQZ4UzDlhBYSK2f0IsUrBinCvb881Sq4Y1Hpv6CErR+cKKEil6c
1Yu+bbbPJhqaGWsOZpR67TRpsCwjvluY0w47XH+hW5zJ74pv7OFQtch2+tTy5+1ghc3zuReu8NM9
/vymv2f/Rzq01mVSAx8FI9/32vSCCjn2B7PZe0r3yx4KNwadVkm79vMDacrtt+DI+UCALJQB0HPt
909X2NPBdWhb9iWhkC8MJ6pqK855jGc11JBp4jsCR5qQhV32+Z8ePSSFAJ04oAZJ1u+16SibrQDf
JyK28tY++ROGBmQGKOpHtNXNDIyw8kVAE2BM5F79go9sAUy9O3eYPhCKyVsC2fjbuU+5h8Yn7ps9
XDp+upwSoFLYM/apzgfaZtfyOXnpKmLcvwoC+nqk8auToNwD1Fqn89X4z3jzF+NNO/B/Pt68T5u3
P/7rcihf6rfvgMivH/xrxGn9xuaIWgbyv29/NeT7c8SpLT4QqZtQv7TpAivev2FIPsGj7//b3+/f
5C6Ldf4sMbD/kYOHc84D//Yt4z1G4ewSAom7nElU/PdLaodUq68iUmMMaFaA92nzEBVoHbdITKtt
ZntPUyXlDWnGuMyM7VNJk39pTrBcm5HIlGpJi007uNVdJKv6thzNR/RtCSmsZUfEKrj4ZtHpi70V
QDQnFmaXkx9M+FhwbEtZ0FpaBNFO/UvkVDd4U944xnRB/lW8Eb1Hbt0Es7yUMARQin0ZzTE7VlzH
dRe0iB3rpluZRrisZg/ONuachyYyb31rcJhpTS+aEIBvZb9VLo6jNMVfBtIDNxWNxTZowmPgzBdT
FrTrNqm/RAWRT5a8j2cvBesbd65d3GD5fevm6mAmfBf98QoK1gsgabNpiDHyBLpcab02gf/UqYEh
S1xCc0mdT3Hn7rM+9LENYXLRDPGyqo3waAnnqZDlS0CA8c5MmIRQh+krIAD5Nvj1fMnb2lgPDF93
Tkkcm1Nh9DUmQcoKIE+JM92H9eyvQ5wUL/syegXgjC6s1N0nCW7+ow1BqWRNNqaBC2OasFKzKzsd
bSKT0IGn6n5q3afUKa6g7770Xf7SLN4Rsa1ezNxh63JCk5t9aYS6dWHi7JQjdrhVQ2d1i6vFpZ2Z
4eGuSBtgKNBwoeyUTCcUteS24TdB1RqJNXJiVqUWuCkx9LVMq5fRQiBrqqVYCQAfrBJoI1y+gTCo
22kwb4U9XYzpcrDChCmoNA9twOwN2vgXp+TbPCu7KYr5ACju7cMGnl2ecYbU1I9LLLCqEn6J251j
bIqBA0mKJ7Bwd7nuSZBr1PLYu10MKDWfKtPbzKqe1nXa4+zVZC+1RLxa2vNr2CwHSeYv+FSf4csa
PGWz+XvYOR8iXODWPmWissV+8cZ+383ytBABx8BO8KA6+6TiHhlmWK4LgYEWgo2D36h0O03cT5Q/
Dv4LPAnzIgQ0w4ogwcF8rBPrNXJoF2mhSIWiGrUCeer68eTO5ZcKWhphRA1RD9V8cmKykoqMYDio
W8ytfQNWL84YzFa47lbtH2GDPjVdne/I/Di2nhvshP4c57lK54BH0fGfsqBXex//mBUI2LG1jfZz
HkMfwDJQbXojlneOz2NXzkm8Vp1LEFEk5B7ymSTozZOXQ+WHl4zXsdZKVbntlrb6AIdOEVqGqyxE
zGFtG6XzKqzhs5K9f22FRastAxsNEgANtPmGiaKzIb91eomDBssxWmHUILnb1Y+Us4/VjMpys7hD
pFWTcDjT+OjWxefeUXKNJn87w9peL062aYWiGnPnFJkpUr58lc19chU2IBd+0B1LI72tGzzEIWw9
NgYDn4Gh11aO3gsuIv1rXWPiUsM63BJnugoDla/aJfJ3VVaNG1s18a0liNZIah7/JbdfG5w+Sauq
4BBK+Kqzbe0YX3LfFK8ApM4YI2VoFjPCKzSmwXgxM8dbMaJ/Cgz/OBKKdhnL/gtjuoPrF19jdV7n
/0n+IEOuJHeo/q96rG6brBbD//73+0pcSwahuMBIgZyCbOSdVJIsIxfziaLZu7BpV87YCV15HjOv
g4Vm+b8oT96X4fpoERuaQwXoWuF7AWjkMl3zVVDvE171DQ515B46KeEKLOj/rArjSFqYFXAwE2b0
eff6RhQ2BcHs5HHLYEQUL+gcipVejnNrUmsHBUFzyVfm7ufHBDj8rvY6HzNk50clF+k/v98RE6dm
VDAQLqiEl269QZ5wHijXhuPuJ4N4Mn2+ZUn6xMDq9vNDO3+DGvX5Rtr8CZ4Rtj+6Jv7mfJF2TnR7
Yb0fqt7Z5E0V3irEVnq5OEBGK/ZmNL9Ow4yIaCLRJieNDqpPrbMIicWERprUy2Gk/aHR9vZRVGEw
MBJbE06HyWf5Jvy9XaNgWHVNfsPUaFd58p5G+NH00oopE3hfWBoEJjbRhcdY7DnBtWmNxFRtfn6m
P3iESKAybfStFunT9js+uV1mEXYabr1P7WHnNgipo+W2WvruF1dUqyf/djddC0NbQFU47O99w6LJ
gsEd6mc1Kt1LAMFbZWXu1oR7xdgsyjdDyCwksao7Ziq3gTCru1T3Ne6SfOkk67IuVfKCAsKy50Ni
oCKj7T0ZkX90enmRhiz3HkYPEKRJHehmG3qhZ6uLitZbW7UQiWD25MYX8+OMGn5HiJ57JbKw2k7I
lw4Y6XyJM6Iy66LkLs5hczEb+Ze4Oc/t6SghUsyts0+Vt0/TOlsnDNeBDudDQdzk2h6XWwKfHaZ+
/GyMcj73XoETIXjrLy7kD1YYB6NeDIixYLORAHz/ZC6B0XSu4dR75iXncmJmZcOrHbRocn4xV3jf
Yuo30DPZp9BhByhC9f//zVvQ24rBOjGOe6+Q99ilXlXNrxbM85v0fd0bBYhMXYJ+LShY70F9DGgI
XzXNet9Est0N2WyvMZYnc85+zRZHXQh0W4Xt7iPDPk5xlG6Durwy5vgTebO/hz7zTbuSPY4RubOX
OZt4GrE6taq6gc/2BZiLxIoYIjuJkPCgEfij21qG6zLztzJsP4bwx1b+EIJhqwyzS4+6BS08brxR
1+7s3k5XTtTZFzjjC9Dy7ItX8wh2WXEj5wKLZFjT6JYoUC0YOh7WyTVUozUs1vumtgmedJbDz19Y
9wdvLPciAtZgHcY53P7+ptR2i5+pquq9VdIoSKLz1pnA7942Cs4ZgRrOvDj1lyo8Vh6MpXjoiQqy
qg8gsI8h/PgtLDQ4/fEyQb21GhiA5hPjP2cDkYO5iPSP8Rj46zH2jinERwgArERtMzUb5JaPpj29
LoO5Irn+YXaoDqOOE+6N+aJIzUdFIbZq47S9IB8SnfB0n3i+VnDyfLotC9/gSwyUDSIMqriMLmxv
eYzaXt78/CL94CVhz9D/QA+le3t3jaakw1plkvV+CusNJc68CiZ+HRcCY9wmv7gjOH//fW0L2YVZ
1iyLzIr372TnOgqW21jvexuahAWYuwnj/Cpmp4os7s+Cymy1kFkOX4RlKs+pAJPyBuxlQSTGFL2p
8bxGw9Yh/VgqXM0HwbA2/H0orGtDhh/KCHYIU3CsvurG2Tjt8Frly/1cwikN9GbMY5Y4xQuJzlSp
k73OF8JoRzx/58ZeU65uGR+HO8EtPbeXCDicTebxjZG2ODIEn2gnuWvjUazKRaSXM9DwuQmK65kk
elGQ+TJOp0zQSIYQW9dLR6vnLdOpFwkxRC6hRY5EZGfddkaG3QbVmoWwINN8Wv2FUfE3WAnyQLaj
3FkueLt+jYbZIx5hOvkwyrFzKQzeJ9zMyo5qyYzzG/wBw03Q8t09tLgu93jFRNxdR9782pPIPY1c
YCgNN4z1cJCbKcXd0n3KU3kPfQadeOPtcU+8wm/5aiHtA60UL7AQ5RVN8UUVs7OAHvNg8nb4k7hB
Bvg5Hab6qrC8I2SGjWP3aq0bIzTacDLwCT6EVPalcJ9sXHN+sR/7P3i9qXUAWPG94Iky31UepSIM
i+FytR8C9VoP8h4V7ZH6govn8Vrr+uvcajcisnYiotI7v/N1KnZqGqZVl/Mx+HqbQtT5NiqiTSh7
J8BUKOnWRBXU22ge1b60BkCUrACoS9DuYtCbvHZGGd20PYbRC35cW7FgslSzlq+XACK0wRqTC/Uo
Hcots3fatW9m43pOBHSHkMo6oTFkP0ydhhuSUGYH+XgSkhW0t8V9H9KSRmN5I8fx3vU0X6hkRIo2
lGzaaTngZnUCRAo3lWUsCHLUqz8QFN234j6gO9gXmX+UbCI0mePJgYClq3kR/LW//mfC9osJGyWZ
y7r2/xMIP70QglEn4nv55J8f+0Y+yZLr+b6nSwea239RCNnif9PUPc0r5Jn/a7gWEffD5q8RDIbZ
Z6uOv4Zr3m8e6UAOXTkqeHCNfxSL+f1rhWstQz0r0olE6JRspnnf75roDDuIzqN/V8myWtYgWONd
zzLrr+apGz5/c2F+0AXqH/bvmuZ8MHYe3SZFLlXN+y068WZNyRfuXWpArqld4ruVkNEjC7Ge8GhQ
IcHu9iWSef+Lku2Hh2a6aGrHWp+L+v15ZkZhzaKx3LuFzKDnOuoh10k14cEHwGqdnHAGV0HoB6mN
aRgspJ+f+fcbrz7zwHYhgYYYO3Dj3h/edrKkjiA735WVdiIODVDAtSlGwJ2s0YebNaHq58e0v99+
/zwoj4qLNQv2LM673b5u8SJI2si+w7yNwTyWg5d25cMbROQbPbbaqI6Mag4+WiNgDW5G4s2HfXhR
Gshf1h0y+IsWXty8H4w+ibfLgskbyRyACrEnTesgSQzGn2whiXyFYyAQ11zWMMV+fh7f2yx9PY0z
tRUCrkU18a6yD6fQgSCU2ndwAnlWRtqkudSst3AAR2D+1hxm7a7486N+32X/eVTqSSi6vBj8+f0D
A1UvyGevt+5yzE5ONV4NF3hKpF/MfO7uzjbH+NlbRy+IIF6eza9+fvy/v5gBUKITYqId8dy8f1fQ
9deIkWeLFHTtQKpfGLI/cDqVv0TM3tVp53NFScSbpSEl+tB3i0CsAlGb5mjduVk03xs4pxRkUliQ
R2PHGd5QErsv0vT122lW1RpPOF4WIyeuPi/IavznJ87An9UScwrnb0+tTaph1JmxeTeKjpfEDeKy
ubZFZUqsQQij/vnRfvSSBCx7vJf8DwH5u17OanMzMxxp3/WDCDe1SuEon7mRozYQrnpNjZOwELsu
4ymPMOQ7VjKaE/J1LYOeKF+ag+Fj0JnAoEy2hWlDbC0khoOCzThNJUaitcp5yzxm49MVUdpjufv5
SZzHZ98vrDAkuH8IUT1U3u8L7bxM4jFUkXUXxzlM4QW8G1dRnptZVO1z3zNmQaDKukfU4nWl7RCT
bGGIMKio29MTQiLLkKGXF8u0lP3Gis3h7Wwy/PPf8werYIBjGYglA0YAondvsoGrnfRj17rzaNfR
Z2kKqtVCQbXI9Tnh2vgrLFjvoN/tOAhNeKrZc03LM0PI+N+/xZVI7Jzwi+Fugjt3gIDsvSBL1/9y
II+OJmlxxJ1BKY2zGOwcpUhar6ZJRQ8ZrjItXAol3pxG8qSbrACmwUuQORCsXf1MnC8RSlo2LyvT
zpsygK6Ku9W1gVXgpR1wQosam180Vl/HbN/ebzZrYH1I/5aLMu9vuryFvPkAsDe5Q4isSGNRS7/J
AyP/0AHLiH0tUzmhV5aE7Nkemup1Jqs43UVI1/MVUwXHXCs4foT/2uT6VSLYybPAOvWH0WKAmCiH
/BQP+pbpLJCMzHQyPrZGlYiNGTQNJkNnzTa6BIhSSOZ5M3It6GYL0NruHK6tG7b13ahV3+FQ5dd2
FTZHmcO23IRNT7/JVN14slRQYPujylezGKxNSR0AZqOWBUERySFvinrXvxIqrTeZYP++QtXAXKxz
cnJJz4L0+SxOd7VO3QswPYHEFhjt41iXeB07cRA8RDTiJuU/VhAU3NCNVpWXoP2OfPyiseixw98p
8LHirqtBFKTRodhddePo9pc2rpYwYsD/r+1kBNBuZXyFR1j0oCaJViCAFNvfMV9Cc597ovbQOdoF
rlN497S3xIWX/XqO3DTehDku1kk6su0WPCMBPCTUyY3CQpsCP9lSGkTbwBIQsVEOeC9D5FIm1CGr
DSWgFlRoH+ohU3wM8grOpLEDcsMYGNnADAMu0KnBxcjObKUWDgHLV78ALCAxD/CdprtG1o+lQPLV
X6DN5vDSTbL0iNu5eA3rwodRjLQQqh9OLICdyZHMEPyhgDmajkHrZJrLkzWEAHYyREVOHfA7JgcN
BAvI9wFmujt7cZrPVTR4T41jeJjTtukbD8r8RzLGuRZmJPXGHLk96zQWKLaS1qOrCeSaB6syHSi3
9TyHK4U3zQqY5M3tCDchVChpT5g5EGgm6xC+8lVd0/efAvIGzQj8BSAy2FRBRcYDYAczQp/GH+dH
mz8tDF/pjLHCMMCnMmUoH0OdworaJyOFWsqvW+R1v4HLW4U7Yg0ofhY0cA0MLKwcNFJoJiHFECu4
+0IYNfzpAZWFghQWlx+xjeaOqRjlRKUUPHMZaNdd+M7ZRaZ4KvFgsNhM3brjZwCx41bXD9xZ31q4
qRAYjbVp9uFmIvQYJ+4EbcxQSJbszE3uxgB5wHpROJ3HcJJXSWZSr2IFzmpU4dJ+zlmAqDe8DXCq
LiEPsvC4rEOBWxFS0AN3QQ9MIfsTRcmPV52WUNBxYIwfoA8YtfVmoarmQOyjfeqYsfNNTQlzSUjW
Z5Yz6IKlG+FHZVmCv0mWmXOSGYUPgAh/sQSavR96XJzeZqfGqNzhO6D55Mex7lhiYK6E18nZnj1o
5vs/nQsMVtTzGkkNF17HHpvomb4fN+HwRvQ7lzLSqo9hGPny/NtCHmbO4wCo3TaUncQ8eZm6xSuJ
L4vSh2IEDR4JQ0JIAHCXRVdMZai02EWixtueZTljRrvhlDmBwrHN9izIntqcvbmVzbUnY4aT4pXk
SEUqh7es4WFgZjK8yV5Bf0IkgoCnkHjwkw2/BSwZ3lrtNtxFSfecFxXV75wN6v5cKCwE/BAdpV06
7Zn6XocYP5OiDtBqh/kbRFvI55n25m6I1DjiaIago4nN40D4e3PNY8S9g9RK8d50bDwDBvRnA38z
NynCG2y8wJ6L9jkeNayuClRX29iOqNLRbWOO24CWXnZDz28u+YzEZ2ZSkJWNHtLXucAZdamik8Hf
vjY/Z89OleMGsWHmS7aaaxQdfinIQ92bCRUqqmfPxfoNf4YLth1+wdae4Y3pxNZ8izVB/DvIJgev
z6+QRRgR+pS512UQOw/mHNNd6E6kAUQD96iNQ4o7/jNKLDbg2vVY2xrdquDJll1YCskOywDJCNzp
Yz04wSWn0xwcJC/3mRqVWhlpyW8LT77fQ9wn/0Q/nl5dWkeTuC/s0+AF9NtcUq66aEvGm3ZKjHRf
pSDLDCVxdliB7SOJ0FSUaxtrM2hubsE1E1YYPZKnGJzyggimrehMrK7PzttnzldaYVu3mltmjl8X
ATAS9LMZ5izkjWWYoyh4deTw8cL5+vDVhCDnrNsphdU+5xYJTHDSMatml9rj6shdzWxy2Us2cq7D
RAl6zmZAyzvfzirxX/oQVKYAHqq2drYQ45DgZH7d9wO/yflJdOG8D4cpYwnwLGr07VepFjGFyXAb
4aNG9Hejb1DegVvv7Cbu9lUPwTATy4zrBO3oAH5P+hoE+JEayJ6S6oE0A2R7eW6dbDQ0DBRz2hD3
HC/jaMdbx1aWXLHOE5SgskhLllqq986aSLrQZ8hORI08+KxAfcPA8NzwLjjGPy/wN08yoUXNWLrN
1URLexo7/rIBUna2QldpC2J5fHXPoiW9barF5IlqS6g7TnjWSRFGdl3boQELyK7wzxvpZPRV61s5
R6iVLezjev3rpD5nUWSx+9KOgve11gpFJADzvbkoJ94EzuLsxqFE8+ORt/3GNJaXC9ic1TEdegwI
Ux55sPkinu//j70zWa5a2db1E2lFSqmyeWbt2gbbC+goDAbVUkpKlU9/v7TZccGcMLH7p7HXDrCZ
0kylRo7iL9LM+OxMiOWgf+jBl/Po5Xkf5m5CrA9UMuQzqxPe009OWAa1rZ4FZWs5uLhdNFazxyB0
Ks+r0edfl0PqtB+ZS+IYX8YFCw2AxL7O8pfYNzt44zUJcv1MXMfElOSupl5BRaa5WM0CvMYiU7iP
xlPkJbB2ScCJ87J342TmWJu16k5zkC1fO46hu5f96TpDfMxpBBzHunWLq2AI2SKhAEyCIcN4niZL
F/7cENVUhT9UMBagszuE460cbZfyxcMF3VTAIaF972O5zNAESzYYBDUvcltjiOSZbkPRG10/YNo2
4ATvhS+40t4OWocmBCMaGHSZ+UKvwEWGNoCW3ImfLSRC3Y54b1/DKsdBxgQHL/WbaWeXCW9WELec
MHA95aFRbBrUmYn2MrNv0DxAiidd2dQC1YjB0KS600sEdAssqndNHLDYOn7hlOmcVZLBZJpBHED1
BuGXBUGhURMU8EAe40NrwV7Y1y/y+vlAv3Uv24XrJmqZP7xalChKtcfIaPwnXsL3HpYRgbDJcbW1
y90OsQuMahQKPcj0zSeNBWd6Y8PpaM5qwuh19+Ib4YXaMAyzht0u7Hjt7rU3kIQkVhE9ikkZw4rZ
fN8gmlBLcIKPQzhXN4ikfcO0CBMCfBZOaBaKTWA0mqciyX8kmG1vAoP+kD4lNZ6kkhd4zpcPOJ5w
Ii3ZtG41Lc+IDGXxH4t8YZ0zxQNtvGmdj1gGyoOo0T/cJG3DaHGcq7NMqfxKYjJtbzk1qzMq+/lk
+GBMD5Wqr+IGl7doLskXfIcxt0uSafQnHeTG5rnX4hxAD6TMPGaEjNVDSk41uMCLnLIuz6zGoQtD
lw1R6xLq2sckd3g8XaX4bxvZLJL01vmWDiDoPTkRcMDDldAhyXEqk9K1aTh/KBLMCsq5tbZDCwnw
pVAuwPBeTDLiVY3SFrCwQBD+Ft4XzSanIT+AKsedzi+HSZwSt1cva4rvzYu6eAHBZw+tDu1NK48f
YwZcyealMEwE2ByQGDnemJ0mpjX+DC+QfhqAdPi4l1mUgEpXkX39wn61Ld0/O+uCL4w0rDy2E+II
vsP52YGmPg1VQrRajZuX8fnbvsTNKC8IjhDT5X5pa96J0uSbKo7Cy6pD/nGHCJZ9P82u+lyUDAUa
TdzroHxea+wfjllsFec4Fhz8xETmdW04gajt0pPjpdl3d/RFf+GpgTdOW3CHvaKNLlEONRlGi9S7
4Z1WOI3jRxVAcD6jYJu1GdFAQRiG7tjofjiULvMVahWouqJY7XtU1WnZeRFRiT4PSxIgC0WvKXao
JF4Q4T44+vuUjvXuhQ6rjK1TtyYcRq8psyeqH5g3IJECLVkcMOcNwr2/aOfAldP7tBvmB3BY62XK
9PoBElGx63lDiM5UO+sB7vIQbAK/EqhAuMq6RRQfaS5sy5Dpkh0eqA4o0m+Dkt5zHg3r95Ks8kdT
zv3j5EywLcirHDoXvbi0jeZXadS/QJMgBDa8iIK14NzaPXqp7bkHRfIaECceHrmf/VspnXzEuXWc
t0OFqWphpMaW0FuuUbyIH1I0Xr417cIneS+qZNmLQtn6olYGhB1sAxCQLt900X/cx/5vwvO3CY8E
5vNLI+sPH8R7xJy+9/33778CqOXrv/o54Antf3zs0WgkQv3gw36CpyPxD81+iW56SP/9VeDp54RH
+v8wecF3HBg9W+NlJPAfFSf3H/Ia2gikN4a/Avbjv1BxcoM/IEa0832bKT4wI0E28aa9G0Bht9LJ
q8+skS6LOlLWoTkEOXCanA2N1dDe2HgpTJfawde06lsm0/0sj9SIwamt3IwRa9yTb3oBCgGt69/P
hSj2fibqXZL4+CtPHapsiT9/qlC6aZH78eRTlNT2maME9syRN+EDlbggToLnoVb6bJR9ckTYOdnh
89NCVqRrsqLgfVxGwVEVSRc7pmjuD16K3G5Zhygf5cjkuaoNn+qur86GOVkPIvPJ1FAgFxrM45hn
yY3dYWBRL1l576B0m2EQ4iIkAH2j+ZTaQ3t0kF0+x8uWaS5MWP8rsoEqZfwCHhxKc5LAO1z0Q5Hr
8JKyRnwYps6hcgnuxsGOrkQuaWBVmKTiYIGZkiywmg4GKGwZxynN1+7YBUDzpgwPISChd41qgrMO
oe+Db2HCuw6jfVMH0XlSFztiZXGLrzCuHrFDr2KZwj3y7M1mKFrvY4eQ/X5qXbFF38a9jPK5Pxv6
1TrF1mqfuzTezwG6qH3htGSACOMZPmhz1fopqldtaMGLngCCoQng7hFPCC6TuPKOzCyqg9NKj0/t
1zs1Ov1VkFnxBnQ2SVs1f1uKAXbrhGx7HBT93VqgcTUtfnnwMSXcWWpePrhZHnwd4nnL4f5FVFl/
tJXMTwMUcVMexY9jmDWHPI/9Z4iwxQIMyMmvEkSamIirOd3O9KX3IazKXZaG4an3u+6AlxFCUQJt
rxAF/k0SaihjSxd9Dbt6+pHQkz2sokZ7pI0rNDewibxzmeyXl0uuHlKkhB4Qm1yeLJ8Z0qZePXFl
NRhzh+bYalBqpf0TwU1WSdgzaowx+l6L8DwWfn0j7REm6GQ/pLMFTgckZQtPtinuZuryc7h0440D
oevCbTPE7VXporqX2VYVnAZryJYDLR3aQNHgFsV2HWjyo9x3yGsHEb/VsE9TV1HH26h2g2t0oEAP
Idpaa+QlG+Axot5yHlU7OeFcgg8Mag096JjN7KwVTRJgkigpbVLaKVed7zw1L2w86kOYeQqOnp91
wQeahkfU1W3rrH8l85Va5lD7xmiqo28YnbUQJmIogKshA/aDE1bfgGXCEXRhC9ahHh488sjbDhH/
btiXaO+7cQ9OohvsfVLW0fnUoAWwieKeQ0vR5f2gZqvKcb5ZxuSk3KDoHhxo6cW88xAZ01gn+UGD
31rvhb2FQG3uiBsCJetejWo9xH4OvHOPX7v4vKbtpLdCWcl1C6E6+Ffg4t12+95b7Lt6job4OY/b
nk7jGm2IcJsUPU4gkkPzkZ3rwWqNqgH0FA2jYjuPxnJG6Cj/Csl6sU5hPZJSew0s/Q3m9kNBq8CY
/MVzaloaSWXM1vCfLJiislMEMuJndgoPeFO3VIu1DtxnuLG6OALvR0oTOGNQ7+iPRbQbbaSE97Vn
RgUr5l6wdk1xJ9HvrfAQK2kjveToxD6uqAuSgw2i6QxKMVjOJZ20qG5usOdyGt9o6qRSXxTl5Ild
04xAz4M5SPa0hfyb2cgHeC6tYgF7nfPfY41pI8bLPV62Dko9Vt9tiqZrxXatognAuvSv6shtz2hE
8N7PXrzzitLVYDJlcBxsJz3i2h0em7QrbmunvFwTGpSbzvaayzk17vVQYw/NpCk2SzcMjERmptrd
UA+odWLwcB4GyAdYNUI8sJ+JX4mf7buE3u9BBJn4iPYAIm8OumcoMHjWxrfqGjLH0HwI4dJfa78d
P6NK7iwbR0YXCynspmw7e1fMbgK8Ua89+ehQik3Vr8u3dmm/ckZ116CDfJxuqG0y9N+pSUUrPiIh
Ex8wyAwfPHwI71x0LzkcqBtKHFFvGh3iCmUt4nzEEerb6vgesGV71wfwVAid8anioz4VASRyLOrC
zyOSMA0ug4465V47XwRrsF4BOQypd2b4RNOSf0lRNTn3EMm4pitx0FZNI14LRPO0pEbAOkq6+3yJ
11tAvAgQQoTpy1o9QAXUZ4s/Dke7q9ejN1YQ1XMbYbm1R2R2Kpv0Br0pIE0dTcKLTBLiI8q5neoo
REHwzR8ZKXgbh4kTHfs4vUXodEJrLy32bh4h2cYXOCgyzHJjT25KaFzdT1K2EKJHL1JPY+joKztY
7e8jhJyDp1FULezYPpHRy3+tmes5UZPslN0nBwpChb+fLq8LMbWPA+/h1dDp7tbDYOYSXHy9RW8p
vyzSmfk4fO1rhAxgZkOZOJXr+AVtouxycdP037gZxHWMcAgf0vtkAtVq1KgasW0qScdzpomxzXjz
bz2aVkc4h90TsGgmKn6xkwxlGNB6c7Vxq9A/Y8gQIa9sGDl50XydMLjYIDQh9sXSiLNUJP+CX/O3
NsUByUOAE6C1SMhiBT0MYeMfVsdi7zKAuPKyTKBe38NP5vTHcsySCvZiipPAbOsHyxmYCg+0gfqN
S5EfWUj79yPyBtsWkPx2Rawuo2/vAIytDFZ/I2CdJ3waIjK4u/FSd6Omu4Aj60sLeHZTyuhA5ESC
Dv1/yEqjv6TBR8rVEPsxHDuzJL3v/UVldy9J6//l93/J722mze+l9/9TMlN5+jW3f/0X/8FuOREG
SE7oAw8Al+Cb9Pk1vUcM/x+YkUi7AWWCcfKL8j2sSabA/DqzWw8kgwH8/MzuPX7kAYAKKd+Z2Dvy
v8rujWfTrxNubod+Fzpzvg0jV1A2/D7hRvB8qXBmc7+nYlX5D0BcMd6UZPZWC/VL48PyCDwg04d+
kWVFP2vxvG9zXKr60m68pnUOynJpbxSkjE2xwRjVyFCGJW/0QydQPV/ovil/9fG/mBMcX5GwaY0d
Uwn5ELBsPmBRjUaoCjpsZZQ1PYAjot9e0rLk1XGXKHMgKA282UeSfjwSNzMqU1G3LdG7CuNDPea9
YnjRpzHjj18e5O3rRPxX2pFt5vu/DMqx7Y4ktNaQ/+EQgG/T76vT9AC5db9631U/jfQYKriKJVxL
V8riKkqQSYJMYmd19aP1Aa3euwYa1SGCMnR8n9qekvnh/Vty/rglKAOk264XvjrGv7klo/pUNX2X
PENJ94oreIbJC3cRj9pjavkZsOUqyBigMYFS4cA0fWZmvMkFvlJQRvsFrG4wIPh/jmpbD7lujZMV
Rlo58yj2GnTq+ph2fmzNe0xEW/96XQubX6sit+eoEUk/BNFf4G0GJPPLMuPtYPYgpaUg7Pu8C78v
c5wWMwi7sv4uJiasHz2kjJoPqOM26+37q/cGlcWFoFsBi/RRTIH9/hbospRVG60QBJ+BCDu23Cua
5C6uC4I3fJZB7t7gjuLB9UKHobT0VtlJMH4oMq/Of7x/JxT1b76yJAs1uJKQtPUPEz4bki5cp9x/
Hvuw8689teRwJ0HaAGk6Z86xwpl5/4p/LLIHS4hQAupD4G74FgcHQ9AKmjKQ38oBsPWyaxdFQb8Z
UfKFnPH+tcwm/P2BErhc1KXZ8HQg3rKuHVKnApkQ53m2E6wOvjsLwM30DIg6+w4RJbPEJUK6CMW9
f+E/vyR7CNQOvo1g3kAR/L6TmCr2HT3N/tsscFyDmRKUIaRnx8pY3fcvZf/5CMHkImLgg/oieL8F
B+VNYxfT6FTPPT7BFHNYxNcPJdzy1lhYJHGibuZojUV12WSkE2LvjWmxPuZ9oJTc4A4czzSLAWdH
d1AXQD5t09Ek0gWokHA5DZPrYs34/k3/8WBwgYPkEoQ8HWH4+r+vjx0VISZAov4GMKnjLsCxFvmP
0V4gATRN5cOCiKuRLu/fFuvPB2OQ9yg9UIGDZH3L4IwtW8wYj1hfV48BCq3ywMuGfhuEKu3E1kbD
vy9PvCZF8ASGjjndru26DvpGBexrvM+qdYJSQA9+1V/pDOXRQdLbXi5wRnUZeP5llcK3z5YbDEjA
eE2gSP4J/PKSSXXV0DVfMcEAc7DJQ9T3bnt/7thU6yKSZTxGver9a0vGGW9TX7suhwG80YVgGeFG
sHxjA1b5D8REWBmOP4Z5kLdtt8l/vAZgPBqILt48JP6nHheqGLOzCjFBjWq37nk6NUphHMM1DQae
CENXE6ItVKm4oLPMZXgHJUjPn9fFpBCbdl5j1sLJ6TK1GwBnPhoFjoutMPwFnL7mW+W7efXdn5B/
tjdSx/16y+sfeZ9qBjnwyNcm5x4BNUaU9TaV2qeib9DB3g8odK2Pq5YwuMeu9eFP5PzNhCVITgTZ
pIzReGZOCuybRphMM2h6uVQWL3oc8hmS0jjP0+QAGAvZ6g0dIoff9PEn4FcyP4B7TTUzp/pOT0HF
Yba0c04I7hGFQtAgTyIubWVTxK+v6CpzNStBg/mayUvWfm7DzBtPsTu22VWJx/ZynGhC1hdpay3D
+TAPuJJs5xDNkQVb8MxeLsKxTzksRazNmdmGMT2akwpbQ0ls3FoVxennF/BynfJV8WOIjHGciC0W
1BM126+fExPEyioQVrVv+xiZxT3t+qXKcXIswKH//IxWgZrYyyxGQQiBgxDThY1MV481GLBb4dKz
opQ8x9CN75S8rioNIYCHID/VwC9Mk06Lc/RZBpiRdhqZK0orIGtbFFNkZrpL0PL1CPRmuzQRTJUf
smhqNg29tLz6UGuvCZCokAZivlE0VXinxjqK2DWJA2gE2vGM3v0PYL52DMMeEkoozy0Xoue3tsJV
QmFDMTIYo0Sj7xt/DEsBNX1HDxNAyxmiYCNTGSyOTO6W27PkZwtaveZL5BEYtKtWxmOdIHJvVLmZ
Io5EgX23gseo9o0Tm/3bAdLhT0koWzmeRz1qdvmuWRqXV4HJIbxAnrxmfgweD7oOWD++PX85Dbm5
F5TQDEEJ4WVewSUEBI3QxOojdj/6oeT28ioLTd4WI2efXfeAe71PdL34A1IGS8Bt5S62K+W2RfIj
/0FDDpntzYp8K59UkgK6p1zPLuuTCN9sUZNaj/cqrPlva2MqqjEwBABxTerIlG3vosIxfli6ZTXB
IwXy9JS3sjOvtBuZD8UAiWoeuAB5I0NtZUP5CjLgOBXOA4Hql9M4iz6vrsbStfnAtjM2wduVXMzs
apllqD2oIlpt7zSHJVKsqLLfR6mXReMOWwOYPsAUSkrHgy+sA1OsRMmDLpbEFTv2NliRZBRqvfWW
ZWb7hz08fHcfVWg41SQKU+Nf+0jvF7jLCWNdtfXjXGY3jQ1+AbuBfDBPuM5G+q8HGPz9aJ1lvQBb
vwG5o5t+O5d9b00XRdxDDKcF3fNsWpc2L7rOvV3zZeo4RyXgI/IJsVtfN30T0auFCuVO5Z5ATLjZ
axSmFuaLamiiCNaBH2K7CU5Pp6dY5pgnMDktCLP+t5WGEX0ngu1iXALzGWFd+FLpnKbJZdHQ7g2u
9UwXgM2T5SakBHpaYKYWS2z2pRjmnj0Uywzr0IvG0FzUoXXo/IHI9SShsm8BE9KMLHge9WYGFTC0
1/3kO4TcvG4HnlIN+pazAFIp3gHwOYWJggOLz84VmYr1eBBaTfwmJUzLz+DkmrhUiLGa7yKE6dhI
KfKGhCflzj7rp1OL6DCyirwLtqN7NtSI6QwwLZ5+u3gXISAf9xSW/cqN048euLRrM7JWB8Ilx9G4
ID4ioYkylu33oVuaQ1broWU7znjQNEApwm4hPixhark3s1g6JtCEKM89qRakf7oHgguId8WGhusL
ayqWbxgPUI2s7mDqEKK+WZypaSVE+6IjqgIZT/MJgbghX9cOGfxQJrs2nup4D300bj+CveDL43ZR
Eu0NtYY7DvIJP8cDllYBL3Y+rKTTpxDxQlbw57aussn8DLCkZOOu2WwSZzTBTbjvrZBDCy96Jlt7
GXSI5oAOLhPB+2klGW+uG8YMpTZTCrTy2oFkA18+KjrNSGW1F/8LoDTkUkU1l/e4E0YMNbquzdpz
v1YjOIRmHNQ33Iha66JLKsu9irlTjKJqlbVfMmLueigwEi2f3bxcO7rsOHo9TatdTjdrZNGanPA9
BNwlvQm9nxAcDGDT1gUFAZF48vB+7No0ppXIqLmyL8F0ZQWy4nq0ty3PCGEOpBvaNecUHjt33gLP
GU1Kv3bTAtopwJg12qjOWvRnlLgG96NfgnDF0RSIDmKPUeksGE0owKPItuOglugznXKSlciEl9O6
7qKsXAWGdw6WlLBklnjY+Lq4Asxrq8MYBQlSwSRo6z1wirTh4EMz7LxfGFBspKsde7tgKN0sG1io
fbQDhBHkW7QhHPzWvDI5AbXRu7YR8BRjjJDE0Z7s1Dkg+mrXeoOd3ZqB9ZWedauKpnIf8CHGm+so
VLAoOL2NmOf7Wc9SX1m9rq0PtPX79VGDJ0AFsfP9jnYpyDC0frUf4NEZzh4Q1I0YwSPuonkti2Oc
aQASa+OGFdZ66CA76TbA6xOPPbvKw/o5xXd0nFF01Uv7PQKCNCDyHjCWo+3ce1ocdVy3Hk2+QngI
vcQQtBCrsQOrKI7Qcklr0+8pMyB4pdsmZEzW7NB4XFZ/70stmVkgB6Da/PZn9i0W5D/tD8wVGnCE
U5OZA1VVslLew7R4Srk7FU9dDBZTiIQcZRkDNC76mP4qtM55Mbkm434kO48gEYzCgxcRSHi529Ck
jx0HOK9D6vomwlXoFBBK4Aeh3I92VTkljBhkr6bwAptYi5SUEerI0YOARs4pA0o9cdbjgquLjg+D
15jsD0CCqRyC3F6528UdKzjoQ1tl/ic0pWtuxVYgE6IjLmz0GtTQeoRJr+/J7MMCUoRzdB2PLHgS
5G5w35dJEcvyMDOHBoPmGJa8rMA67Ee0gFZ5ilynJCWqHSp+6wzrNcEXJS8BoIlcatWZgFiVDmc0
9C+X1IT5n2aBVB2YkzNkNMOddkkacG08SYMGIJXrgeTfNjA8+DCBPx3vUo/IMfffR7mJk4UblPwK
tkURd1THqreR9uqgkWfHCGX39dHBrtf/Ok1t3YBTyoP6Enn3kWNRK2VyqVoFJmVB+dSsEaxQX9s/
BquHWbNDgX0coMLZNX0DMLPxzNpGAkxbdUUMX0yK9NLu8fvKnFI/TzCcTVhHvGlMx8KPJnP3towt
FlJhaRs1xyWrKDpK+G8kriHnCncw9FbK9vnPSqwtr9AGyMpKRgpRjU9sKu1X7q7Aczik126hZ4Ym
giAP+OBVc+x9gnBD7+n1MXJg2vYj5d+g78M2Zox1kHhW8owGcOB2d10nxTilt+uUizj6PBbYixWn
VPlJNZ25pKMoTgWOyWKxMTTNp65Dqz89U6I2SYXQ4Pom0G/482lkXlo2S0W/zp632SS6QCMvxhDs
momGyeZH/OU67yRU0o/hLcR7p8ku/TgQ3M+yorzb76XsBF91LEgy70um/LwiLUR2Gl6Ab/iFGJ92
EjUb97VPWWubDSZjLNSdY+sEJXl28nq6puOYcGgOzUSiuoWhTxboIzlGvql9sx9jRPzJrAUrgPLJ
GkDd3/L35rfJSjokwsow4Li0U+7L2aZpYFJDTNYTk8xLZe729fUotMdzKYep4aF2YCx0dSlnOSZf
xnBKwHjBiSvQmKha9kLJbJWcID+4nWv2blk7UX1VIQ3ORCEp+9BGfBYdZElSOzULzxZls4pr1WvH
VxDGm4BmBaAQRK2Ago8fkiDKuqexQ1K82vTFoDTBZZlceelOti6wAfQc9hmwKFME5gpt5Hthz+aB
9G5EeknhyXPWi7cuFxLmwXLhB9Eyj2hJybZ4GlN7ZlHi18ynT8RIrtE3Yce3zeYIdeT9z4o4XGuU
uw5zkgiqrzppJX9KqFkQw7Msa/4mxwHtNYHWmtjCXUgpR8a0S3rmub6Sw72/Yv1noSRns/5WGpmi
G6KUycJAVpoiP8BxgL9MFD7x93EfJzw1jbEf6foc4si4zbrRq8lRIg8xG1bdRNzVbql5z9pA1Qil
Uj+wnXyPy9Pai1cTKsGVjv5JBR5Kc1hwzWz9kx3ayBstRUge9frq1WNpUqvSqgCoQbxoShyZ9Dhi
G4EM+GT6R1YsF7MlAxFO9Y1AS7VuWRAcxTGVjCzNQk52YF5xqmUmVb5fuIZONuXJMU5reNrACdf+
LMQ2rTyFvUNNwcFmueQHctYjodOHRcDHRK5GjO+Yt7XJROECE8W34AJM1QgeuOAtbfMRM9ErEv7B
3/Z0rpxyHyWjqQJfC4syXs1NN+s8LcmWtwxFk40OVypedwxzNjpFkmD3T2ld80gzezC3PkB5TCo0
0YZY6z3DRQMtVjRH+MV1YUchYG8CluYxohg3F32W1UyKs35lMpDKuniSzWwq9OU1coAJMoluZRdm
V77fNfpfekYQYOFnM9AJoE2bzv0vsj7ARwCZR+X0dY61qTOx1ypTb2eBnihxqGXuySN9/5Jvu2q0
qWAnelAUXRRSSJx+vyQGqHUotK+/ev5kpjevW6MEvcPR9d9eKrBxGwIKysCI0dSbzqoDJ20d6U58
zVwMGMg8fVdCb5oJ1uyD96/1lpCKWWBEm1p6KBSAOftjKtULG5ZUWcivs6ygul0MaYXH0tYDTMBr
mHYV6BlIBg1BY4DzgYrHMJYtKmZKO9TddCHMZCOi5DWx5zUy/5x91F1iSoQ68HrOhMBvJ/70/u3/
8VRwuYFKC+8aDTCk3czPf9kIM4ayOpkC70ln+ASikoguAHHY4EHdv/Rz/9hzksYwMD8/RLDOaKn+
finSqMypSaCe0HST6I/EC1TBR3sNzCvixwlT5L98ubcjFJsHAyDRQRiNDjvI29+v2LW9DBP6909Y
BpkYpeErrbdDRmT/kDhwNZZdHJHvk0ws/Pl7iWh5d2N0Nb2z/26ZmZoCE6BJy5gUhaC3O3LCPANx
y0R+oSdB6QjqmC5VCDqOCPj+ld6usuNJwbeVuJAHTJDeNq8LEsNQ2rn9BUnWADk1VZrSPAMjwyGf
OiZrfP+CbzQLAgfBANrODHm9iFf87Q5CVGglmCzdl65mToQLJVArwhxBceG5xl1bAv9PM5DWiFsW
HuyK/fs34L7dw6RaQO2EBJUaBnx15/fHTJWYlrYK6i+wX5ek3jPLWos9XY80wtn3JW0Zu9SkxuiP
mPj9syluAQihvKh8jdPB2fS6OFXumRYPrf+Ft7gBuk+1sJZhzZHQFxOkvV0otRUicmsXmmgdTJ45
LEfIzygwprEwKCJJdCIX0cFA88ieunkCklLQotuHJPOORoF8bEO8hQvL5FY9Fo8EC6uDWEgbOWvN
ce6rjNwm6KU54hXccW4reG3Q96T2RM2icEzSlIfgpDleHdsky3EOVo2uTZ9MrH+Y5B2dSWecR9Nk
qQvasu8v/x8bLoCYLYAEo0Qp/9zaA5VFakEn+tykrSRnhQxlSqAIvTxC78+W9fuXNO/tryM7E2qj
lxlNCBYgeCsxwqBsQZw9nD5HiW96jEOGXfoV2pVOYV2LXnAHOKJGA0XUbMcmKbRKGM9/GxS9/eZS
+q4gchqHMd65l/H3L7GzRrx+4lmmn4uG9ud5VnW6enCKyekunV7/V1rvIJ1JzoxMhuvLkHnlW5EM
oJ5QmFXffxmxNlofQQ6ZbZHnymRW7y+v8+aV5tPR4kAhww+YvIH+fpMdJNMsyrIenYcarkq4i2lf
6uSQ0Eal0s3yidNhw8C74v8CGjbsy9kQgCjWPFBHirYuLRhKHjO/VxPwTfoIAHvJsDN0iD+B2uWt
SJs8NW2t2TJtAET4Gl7CMfRNm7iomI7cj5Yt+XJW4XEW4XBpJkX2CDOfqspGFaU9syziaHmoG5G4
f9GPexNUWANwVwDfIXigWfTHxNTDARbLVcgVQ5WbkzluGFUUKCw2VM7vr7exTvx1P5tnSvACd45C
EX39t/t5ahQ9VduN70O3ebnW4NE6LUZ0ETmaCPWEoNfZewlIh1Wo59p0SX/+qRsH0yGwJsHiei6W
qGagUSoinVNBm5/OrCIfrPWy51VFwTRTVTEdIR5TMO0R+qU8ziCFUpb8HPwxLTJDJAs6Lu/OGoqV
n41NZR746uVcBfsm0uHgtTUx2nRA9Q6FafMkc5usZdoEI4G/2ekuM43lnyM03kj2bs7Mg3Mvjuly
yM1iVxMtkPeXNPz98QWB8ak0Mu+oJHAW/qG/0fINoKCp+Fs5yuBT3tWec3AYj578IlQuPX7E0hJ3
ji6WMCvjnXJBsld40z3iBmvwsOFQMzTFLD2yFoOiTnX7EFO/9rdQY8Z0i9ioc8qi/K5i1PZtVG6v
Nn4HC3PLLMe/Gb24uUhF1l9xIqWr4VmPxc7COerflTnyiDEYxgLgqyPhom/gFY/WammKA6DO07aP
uluXUwk2PazPK1gN406rpd0zEy8fU2b4cK0cpgS50rTzmmJihKft8guoCQ8nqBcK3toKeydVF9w7
nM9PKm1sbxN3fkoLA4zf0clr7CUDOTxmUqbgoITl1jssPKBPDRGkZUt1H5EH70mL4uGEHXt+YEyw
GPE9hsvbeYoy3IfcajzHpmWvpwhZxzDN83+H0EcaI4zBH8M9bO7XfKAl5uL9QbfPclHSFneuXsRX
Z9H9F/CZLshND4e62a/QUu2zPYLk2V+URH4P1mwIxsoEM49UwXVIFN7EtIb2T9B6Sf3M84Kn68Q1
tI7yRaG6E/7DX7bfby/068UQ2AGQhVJyxCV/z0hiXHqpyaP6GXu8CozQLO7tmv4qTkeohrpyoP5L
muqOEWFQ/CUf+2Pnv3xNsDqMbAjib2ETg9dHTeF21XNb1xSussT371BJG+Db+1/y5ZP+/zH88i2h
swE8QOmMA/ltETk7VeGMYGWe7anhnZEOx8WmoeDBnyotgw+1U8Ufsj62AKmXXqR2clRZeRwzz0c9
SwP7Aqzn33R+F53XVhs8cN725ElDqR+riuTF0TUa34623Tvkauof1YDeTE179m50FoyTc+rUjY0B
O1ZZRXIjK6iUGyuofLo3BbM4e4porHXR8pw3iWaUMHQHO/HEk5g19EKe319yoTcgPJbEpAGkQayL
5Ix+mxLgW97Pbrisz0iBsvhpJtOjbPLyNK/zU21H5WdpRfNucBKGHi1cvJOLx1e9e//JeGYz//Zk
UMszVR1gQIBjqMD9vv/sIq4YH6TBczIwOKCdhjvsHCLgtQP9u+rd6OLFFVQaajdOfBXTnqY6NfSt
rhBfQZ60DBLrBiNo9yTXhcYZHuhfKsydvW1XWFfZUgeXC8K8tazkPT3Q8qaxeGgbn8EYUpF6ZuyS
Y7WwDVRkjJIovg/GzGDx8+xaBpAxCzrFpyxp1E3l6dKghvvh61KmwwMK1cWdVYccEP5sTwfp6GnY
yC5L7ieYTPk2bVFWGNMZX8ZRJ4wAUNPIGYRwJn50PSu8zNLF/demq40Ed1FgR/3+4v4OS+IRs7Zo
u5OD+lSzwVsVrYGWMM89iCHLu961hUDPo8rkAr+xrcW1PRnXtPevaP8OfH25JLkBJY7tQA0Arvbm
cQqn7CqOzu+5yt1z2mZWhTnqYl3QqMwPDCI0kR6ln2clRfmYJbO+zLJI3FljJA/v38uLoPzvW4tU
k/DpAPEGiWssWX5tGHS4gCCVDIswmRkwULc38ZcG695x11YLSjjCKehwVA2gb4jAiJXnqY9eNnDY
HX2SKEL1w4IU0jU+rg66HE3rlxZ6bfXpVeFn/amV+Bf7Q5qcJV6QuBvIrMjM9sigQAJQGCvC2wjx
UoTprI4Wy3LIC21dQQsc+YUpwCm0T5dbrE04znK43Idk4vTe/j/2zmPJbiPduu/yz6FIJPyN+Ccw
x5X3LE4QRVYRHkh48/R3HUrdTUrdUuiOe6ZodlUdAyQ+s/fajZ4VlxVrXipKo5oSHBhljaRkztnh
svR8tiZaU2qR/mGQS31Mq9Lo8K0jl+FKZF0U4ALsbw0vq1m5oqhb2GiyVyLwoiTQAO3D1aw8xPNN
pmx0ta5s9CPilLnbCwy8L0PXZJ9GIgS/mZnMGPWAiPqrwdcfzx/H/I0MrZOw9oe5niHZhBbLXHyA
hhQOeHS8Qag8VraGfGX0VM771o/x0a61LyusbPz+9qSq/8MFS0wUZbOBctVkNvDzRYJSqsfJ4pQf
cWWvY/j9C7G3MS0vs9IedmKbvMeWmKTdaqdxpLx4eU3dDsdRioXm8c+v2N8N6L7fPWerqkBtKdFa
/l6xu2GYmrAf5h+JI+yH1tb7e4BcWugw2L3guThej2U7nJRZV8dyMfSroXZ4kIGPXm4zQFsIkut5
usy00fiGcr61fBdOxsNfvMqfe4Dzq7TRu5IkRHiETlP5u48MaNlaea05fjD1bpMnKgurD5gkrv4I
7+Ra2lPBTqnfbODLndV8S/GgQ5TGtzPvCb/ony2vTC4FKOgn2ZkjGxKeArjpu5KPO8mdwGxZ9/76
Rf/XZ/G4qo/////e3qsM3FpPk/J1+NE1QYMieS78Z1Lu0/CW/psf+IfPQsC8BdLn8mzWLSoFDtHf
bNS6bv5C/Ss9qjie34wL/wXKlb8Ikm3PA49/OiwMB3iuAGJ3JkiSWSr/VgTV77omXhHjLOPMHcVZ
RjP6+9oR+lmGXtNdr7x607YiAKS4rrvKhuhWVSagogV1UgCORV30ltm/6+sK3gan6O13IgPkI2LI
VQO067zHqBgp36frat1WSu8FK5VyyWKXUJRZjKQ1V5UNb+Jec1b2QVinJ86SJzQkXqUgQEiyY5J5
OifUl7F241Ws6k8NF3QPzE/XG/ebgbYiGw8zGR7LdEwclKLxMXYWOlPAke30AA9CmA8ag1AZMQKW
ZpTkc4eTysFBcYP+agnYyZ0fG0rY2JEk3qrEJGf3vqtMqFFzmV3HVZXuW5gq5wh4O36sK5k+bkNj
HHhTrCOJ1Poyw296dAGdtMgf0hwvrYVkq2uP0DOSXdrE4xt3PInt7MLJxik6qGjYqwOvIQTTgVjO
Ork+5QmVsQOZopgXGc2zmNoL6WxVrQd5TYJMylZaOy4zXKuwKFBIPRCMh84oRFuRJ7vYVOwo9jJj
A7WfYtEM7YGhUazj0KrOs4Tl3i5F1l2ppW9wmcMGlLKafm28/3si/NWJQM3PbfmfT4THj+Wt/+lI
+PUnfjsSPOMXi12cwdmP2hMB/Q9HgoCfwHnPE4x4DBfB7T+PBMgKyPn5Jzo9SKM0m/88GaT1C5Mk
1m2mICWEPDn775AV6Ockz+x/FX4sLaRF/iNTFWaC34+Hn5/pYmBR1zZ4DmfoRS+TZjo+BumvLlHE
15uutVGq6T10gaa4d2b3qu/V9Mme8vZBNdpDK7r+NPK0R7x89pc2o3ZcmczG+4kx4C2Gb+1tdBxk
TXYj2gNaN0K8LEsm/S3br9XA5orGtPI1WGfOcWPrLa9JFRPNU1+2cswZEm6NsVcF0pUrV3UQjQMx
AfBZfDSMQ2UybSpyc7dtiXCgh4FEap8Y6g+0Bw5Jsvop9RYbGKaMvSFyUmH2uxSYizoNoCNLSQlQ
uOAaFrARbHyhoOknp1nls0miMJb1jUgqnBQmMpg9hfNqHUf0ooINOPkp+SPmbG2cSEPgPgxTvGhv
JHW67wkgGifcZM+mN+pSmmgC5fqzoZiggVwhdy3Nfo8oWF6wzd36YLQ9zMrUorhnB7aCO1B34C2Q
woPScZv8UNFSvS51NlQ+eOrhkGuLy07PtV7XyTKhBSXpIeuzh6Qs4Tsx0rkil7s55HJ+zhvy7fNh
zn298pJDMf86t0rSlwxZRBKtU3Z03OWqMbuLdB7Hlz6p6mAsKYlJTYYgOXnEYCb212GJycMd59ct
p4SRrUdWmHFE7wdfDhUG7N78xJL4C6QnVOZxMT5s7tjDMdCqPfSEZ5JtGp/k8HnfO6mzc2W9x6l2
P23Zs11K2DTZcLGxKEUCl1xjqHeCahxem6oHLNbUhwIoXuhkRrgg+qRvUPaFUshygBHepkjVIHUV
zwqiYzh2IMmKavoADWVfgQuPb2evsf3+HKvtjeeoEhhpBQDTvTmZur9swBFyww6nCaYNED+QgfOU
XoIk7K7cYZYRzxVxdJos29WIO9EhJbA+zvq8bJTTvpqs7Iubtstp6dY1Uq2l3SdqNf06Tz5iI25u
LG14sIZseairtUQ7CBqBMUJ2gFlq+2PGQ8poVvzltTXuBkJhj5wL6a7rpLdL0Lyif9M8lHwzwKai
Qh9JOmLM2eGT1pHVQbxkXxpwIwFiEDTrSQe+U1Q9BvyzRqYekKNB2cMtMDE6wSfs47951IHz+Mjt
n7UyPm5bPeNRJ8bDGrQXa42FbxRLfkpbAiI1/H3fjNHqPo+bE+Q6KScFlAQandY22bAK2q+pGC9s
RNC3EJPclqHgpn1rBpvUrAn3p0Wz54ok7PJpW4OV/LmDLMR4D29vdh5KQIW3lE5VTbwbuYAK4feO
pAk3ioGt9IFejvljT3J4MAh9S/bwkySJJUlXBasx8Ne4sIrNj+fhKwW/AZBpmm5ZlenBNHFZJN5U
6r67LOt7qzhUo8Qx19M4ZPWBEcQ6o4Dj0loCXH9iQdOqQ2Noeto5vW3Z7iVzrHY2+o3025rDtPVB
T7ebz7hezdcYwPpXKiYsWKik023HGkOwjfMqUi9B2KLKlXshibBrC0Iz1tzeg83ilFjIZ2G5oUUW
KiHfUBtQU9UaUext5b5N4gxO3fZpYRT07GRquS5z7Y1b6kVumfAxtjVRRWszaK15ndOZh+Cg8ota
y94xL3RhJlX2DPcbhrGtrOxKdiux9tWI2XXTK/22reKntpSFC3zKgLhnls1J94Ydvr/pEgqlumcs
qD0UZu+8ycrKwqTw2jOTAWrTmKTcxlQyMoqbetmt5Squ7HhlUhwPfcgSZ7gue4S4/J5612hi3Xfn
u5ZENPuu2iZjF0MZJ5ayTPdOOd2WKRkl2dofZhye0o8xf/Is2WDo4uS4m431tSajnNC9yvvayf4O
uVLK2KAwpoPhDp/sNSdURwgtYhp1NCEehgXCd4TsuhrI+DIhGGiDdrGOVrpzAeCEtQBeSi2bgcRz
z+WVznngrtfZ7BY3myamK+CPORk9o0PEzSL9pc+5tcC2RYMpk33qmch3Z3BgQBGAQOvdftUSYqqQ
ALOaxFDP0Mhn6sOVODBvGFjd+/bcWX6iz/fIFWC9uk2BjBKWDO/NO7QLPLq19Y7w8mLmGQv4INsj
9RzVbyQ0EqtGnb4WIEIb5hURqD4Dwv7RwzUQGi4hPC1L0bAf2qOnQbruNPVtYepaZU4TbSSp7cTZ
nYz6FJCjSVojyqt0NxJ5eQKM+j4V21U5xOOFvhDcjmuhheXi1DeSyuRSLnyxtViZRmWDoO617IPG
vNFvFQnqE5NoNtGAjTSX9zxCzfYZHnPetfbnbRMr+xZHBxwxfJbgiKGwAePV1/oM5Z9XvEK5fsk1
0O/xZ6bBXBTfRrv0dovaPpO4DPZ08zjL8tWKQe/psfQRAfPpeckXavQ5YD7W3cYAGjEt6v31bLoT
D3fJwkYkr2xFvimv/TCHrNxhR1n8aTFfqo4RfVX07XPp8qs2ZIm+GpfhWzeaBCWxrQ9NDlHf6dGJ
NlaZ33nw847CldvlVJAZOzvF57GKKc4n7i5OqenFhTccmIPxkGV2TRPF8DVfXM51Oyu/yJoApoqs
yyMbFXsHwnUNak+rd4QSVZfEW80RQmwTS/r6Bfv46k94V/z5LLmbUZ9Fwmvd517I7bYAecgHCnLH
9lNnXGo+MMXLn4Yif+W2L4arYa7dx9ax+FlDrA/deSAEMS8g/AcUM2O6W2uI81cnx99s23PQlMm1
KZv+YIxuAvU3zVVk9UDsGHCn5pNnFTMbYLvzVwCH5hbbEpYFliaUTvQqG4NBXHMTovKkke9sQ2or
XPmefUkHdQOxeDiIbXEOzmK5n2fkUK+jWL7muE5uNmFoeTQBeT+w6zJurMqeIn3Ll5qTVQ2Tb7Fx
86APsU60LK4IUd23qNDuyaLsRcCpqVFiSCUD2tXyW9+xXD/fqAnfKdktDYTxzt4rpVvcMuibyRjv
vQ3VPMOtcE2MB7JzgZ8P4pJePv/Usyj+goTzVM4pxPi8SREIJsZ7CRnsoQZX+FUHnQjJ1LRB5pBw
vxzVDKiGng/BbLhY6/JVlG4ZqmbsH7aZFjHm8Lw6y+/2Xm3fbnZ9ETfO4IQTj4PlQBBSzuVsT857
nDhVkMreufEGK3uxVGde6WNmhR3Wp8jKSGNSjdrKsGsdxNeD0dx3hkmricuzv14K6dJJx42FfQhK
YLhB1wUlvPTrTc0KdJ/oXb6LnXnYMYKgXeZ17QdQO/sccE1FB1xmL5xmxQuPuPETQAPxADksPojc
yY7Cmql449Y+tfUEjSsjm7FgtDiXz4kErHkxaStEpS3tToT4cUOkYi4ilkHeCfrRBNV10dlQ4GQM
7SkR0Sb67m7YluFFuNv4bql5QvbZeBcNGoMb9D7dU2NYLDWcvgH8b7R2WFRnpDfV1fbsocNoctqH
fn5MdE5YZPbm6IWbpwwy6Eq1TlGWcz9cwKOroHPFpf00x+5mf0oKLdtCqO88Wd3R9LgRu2Xw184m
8MIsTPsaYGX6OjmzDWLJGR/KrSYXpgdnfVXWS/YaV1a9g8uGGL3alvI4jrUIczdPXN80C831e5Cy
LwI79R04nPqwVByvpH4/zBW1cY8b60td1fhFU4f44GFLLrqakhQ1RovLpJqqR7K+0BcJR+5ntyou
2bO0u7WCQtUkLaJCbSt7FjbK2s16Pd9h9+4ALG5xBaYHR86U6+NlVW+jb7IABgu7JLdSGfF67zp5
19wsSbpYoZcsorWZ/6Cuo1ioVOqtvUuWspSqf6fczNwx8VmozuZDMyR2AWx2XBvX6fpD7qWV5zNV
n7aLcjHBfPe5HpWbgj1v9CnnKPoQZue9bRwGdgMvEnYnUAeEv86hK7gXvyCTiEMBrCi5zKYpa30u
4S6PpJvMoU2wBgIRDWStnzJTv5wGjXFR7+n3SzvQC+ittkc1mYbTsGqndu7UseOaDMfByC4VC4Eg
lqPzreoa86uoC3PzOyyJ+R4u3mNfeHH2yoxuDCrTm68G7kdSR7fNYobtuh+Nq5KDPVaU4Dr+tqAF
SPa85bOIMpvTOfL6stj1cKDeBIX1xQxsyy/pj1kOiH3Drz1tsh3ulMrUp3Qxq/t51q3TprI5kJWp
QivVDUWaWwX1tjgvU0VMddAW/R63lB50OIquTQa5IUIs86mnioyGZfGIQNDzKOFZR3HeriDXuyEa
S+eoqXoKGxr3+yHJvF1HZMubZS7mAXy88uOCk6lslOs7eNn2WWJM7GUs99LIKpuvF8/xl9LTpn0p
zRtjSb13UXc3sJDB+Q7wRBWq+EOrly2l1IhXkZZ28YEzzhHXTbtTpI9E7VrQ33BRCvJjMvSl2M4i
4l9TuhGt+NxT0+P+daqDhrk6xJ5HHvhs1y5YlqEPNKGtgYkHeNfEJvwgz9FuBlaS92pOD4heyqul
GOuAtT6rmgSHGmzmNP1QeMev4jjLOGjb5BA3Gvduz8E/qjxgy4i8r4NA3RUkajuovO9goHnX05IU
UV5n9oE9lBXJUnBg9k1zyoR+67rV5Pd9vzTBqJK33sF+VzcrwXdKb93rQmvJv6hAReplTEJG6Rmv
3xljxtzDn6+ytHrVVP/asu+HIezuTTivwm/U9C4WHqxuJrYjzmpAVjSe7MCtYSToMSmDtTCYPqAp
CfEBvFkIRqOJbwtt+/JJuTQRiRuuW/te5+WnPp/O19sommhEPdL44JIjJJvSJ+M3PpHUDvuth+RQ
4QYOqJl1EWg10P6oAzY8oodpLxtodVwtvbPXReEE7BKyS5iwxS3zByHC0VxGN5oUK4l+oN7OBSC/
9jz+WdxeHb0Wdvw2M9xNcld8zDUtWj7k06EyhzGctVbe5YPDREB1X4d0GU5ORUyLcAuseM0Ypumq
jq6ymQaTZXqSTjVBZcSJD0znC/0apdhaE7hobnl1rEeMjUFC7vILHvIeq9x8ZQBafqaUesy0tsUc
NzgXqW2A5Fw2CscGrMe8ERWRjloX1tP42dPbq1knAibN5TPi5CLIJ9PcscBzg9ky3Bf2zJVvsKsK
PeFOAOVi63FrCovcy0JekKHEXqh+HZTTH8D6PHS2fjakU/+tVEd1ouqHtJGvYNLKozHV5ntvwfUW
CYnSZMw8L45rfFOq0rZdUrs2SycFj1pb1Ag4wK7uITkIELxJrqP/cePPkyDEwF+mibB2/FH3ra5v
OAbdOGbsNMwzPjUowBT/lU6Ps1j7YjS8e8LMSU9H0Q15L8csAbC4SweNO6GKbFF0J1lTSm7sjWl1
4pCvSjlXRW6pm8mGHObrhdb4Eruc7ttyK+tocsmOjEaRYkRFEnzkP/gn2MjfZCLvkdhyeLhZevKU
KE7Yc58wDs9f4wIz3b7QiiRaiFjwHYcsA6tcTluGCEYT+nPHIyko9UH5ozzPAlVN9pR35hfr9nS+
J6jyMt3aExlrBkkvORKgXEzzIW/GA4Kzz4m7nRYu+AAwojgWiXYVI+JCvmu1Ud46JwWcYjcbhRM5
hV2elMX4r/VEH9SU+gGVKYJls73skukOmPi7qDKu+Hi1CMys71pT1SGDGeeItUOifBzSPb0LA8St
0m5mab5kutlfAFZX4dzZsAVKo96nGLuirKn0A4gILeyssT/W5KUyuRgaEGrWu8KJcTdqgjFcPGMi
bdbPRaIzORtWYwdsMiNz0/hCDJ3+MLtWEdrLOndkiTfzh9U70wNnn/SJY+wCR7TjqWsZRgk9hzSL
y5e0H405S5bJqBO4VDy7vgKk30OANswxlEAqxshJ9OqMXUIb3PJ81L2t2RXZqt56UhteLbarVVho
2/a1kKxnAn0ttLezP/jGwbt1yHngdZh7nOXgQpG4dApaJHi/ORl5WXLqNDOJDDJjvlBncWslqnrL
ct29aWYjvsLvNn7VMvtb0umr8r1U608tY+i7DWoBGExnrgOViRniqTXeSpma23VHNLfyIW80e6ag
FWzaAZLdtnn2Tm8y3QntIltCBdkHdinWm12m0A6YsDCu9ayzpsDiYXDI4ulxTawnKgTroY2TZpe0
BEpxH6yR3fU4rT33eT4n7BASJx8SUeLSTlkb6X38Vi04FvMqdgPIacBcS5p07WLG0GFcgj4kjGaY
0gtqiGHZJXbXBGDN7fFk1pw/vj3ArdgnMVgNhkRl6s/Mws6iV1uHw7Xh3IYZoqzAsZvuuVNme9G2
rjv58BU8QZIXM75V5XGwci68wjLxjOs5s8TjxC+wQ7cdt5eRRG3gDA4maIMBNRuueu2vjFGNlw5X
D4GMah72aGSyy02hLQ95YBGI0Y0JFdNKgLQuhwoj2HCuhDhlXqvCdj6bXepya4/5AHwkbfxWW1qK
VvTKtZ/gucSjbiwPFmY7hk+iULZPG+byTWjeM9Cc5B31f56ENbyhBWngut6v0MGLwOBGiza0QxkF
/VkbJ3lEU4JWKpwM9W2mvI5YEdytGmX91tvipPA4h5Ya532Sxe0dtDb5kudU4CH8uIp+3dJvobbr
GSqPyb3vrY7nKWdZc1tu2vSimRmGwrRlLlPBNbzqVm14KdQ5mAYByF4qgkRpXnvjrkcqfe9BV62Q
ncTeBYpjwqDKrDgBNJgekIExDF3kyF3KUo1Ir4rsO0nNmKakK/fQcx2UT2s4wtHskTER4HzNhH/g
eeJ1RnmR63K10JDMFt90lUfx0CU5VrX+FmIGZEZ7VTIyGEM9is1JTjn02aAu0/VbSXDCa6z3FGqb
jXeNSUdHWLeXJST3ZO3LaFuIrjSeugmGcR72aPJpdrIIKlq+V9pMQAOj0YsuXpzjNIshUuAnL5Ve
1z2VvS4uQUnMT0OOdYVTFrx+qs1mYHdmzHEyaHeqaNU1lkqXeBk9ifppU/u5F2ZgYB5OfK2bhyu3
rIxPTG81HmKzehTUd5dd0867caD6Z5zpMKXR0vs1zafAxYXH0L7JoWb01dU4eF+1SYfJi3TxYKcW
CuN106+8iVvDwMMfZS1pQkSA3daLveCatiZyrB20x1BcQnOg6xipGAPmzd2pT73xSuuc4hL64RfW
qXo0xavAO7G+wZpIA3lOIYvdnLGiHlfMyrr1WcuMeEeyXRop9r+RxoW+TyfVB1O3yiO4IWY2TVGv
kkHbFqbGooc24imETwi28UR0r1lprgGtwnZYu4WYeUfvx1voLMyBEQOWIbLkqbxfCCAI15SHTW5B
XGGeNRWXGvlxs8X6hhmrTqXRpDu9QPJPVNK1VWz87yK+641lvZnxr/hyKp69Xn4yEg5rULVRZhpb
yKTkzas72/fQBINKTJOwB+YQ1o7W7KRemIfZrPZmkt9vqJLDxrQsEpoFMRzJdgMZCU5t3r4gT89v
7WQEhiIPFFbDftrM6bO2sAaRhvbJAByJyoQKeSH5e68mHtSLO75VROfczWN7NzayXH3RuDzaicno
wrTUboCxYTgWEktmLSQxg9q7qTnjVSNrdFec/z6EDPT/pmd+GmZrZEG/XE5KLceubF++72L/u7b+
q7W1JSSL3v+8tn7+6Kqm/ln88uvP/La4Bv+JQcJALIJ0yfa+xzf/pmVxjF9wlaEzs03dBndi85f+
EfpsoWVBX8AuFHUY6qx/SVpM+QtiR3SrXGuuLvAr/J3FNWvzH7fW6GjANHoOr5A/ct6R/7y1dqEU
bFnjgmIhlMOv0tT1CSY3ftVBfV3+J/lobn/dgv8I3/xZvMWS3dbRr9sIdgyP5fjvxVvxOLXSAPB9
GBHV6/4kPBrYJW4+18O03Fb4Io/l1hZd2GyDev3h+/g3f/v8ff34Fr//cQvnKfIBWB182D+/xRT9
4WIUrndI4JcUnFf9zFxP5++CJ7/nAdO8JUhqsPXW7Ff6bc0+Fm2oa6oc2wgBI5DoRbjPfqCsD4xW
a08j2KGbHsYLNU4Zs9deOxX1HAlXY+/E95VdzuH/4U1gJAMXiq+LC+l38jfRmcqoho0lx4b4ZTGb
bVdplXmkAFyfWkNMpD0WDmdwtU6BDp/vlcLVJVcgWXl9ZPne2jUpdw1TGhpBMgk9IpB2E2EKxwUE
DyudWX+ssnHYrfU2oBeoSGr68/fAJfuH74HBhqej6yKp9Pfa7x5Z/7g6s3dgFDuHnQD6DNNk3Ttw
Bv78L/0sQf71cmPebPBfoFX/kHJBJ9CfFxveYTISccALx5cHEODUDUZ7J6yk+luWgl//HtJQ8ju4
xM+uhp+vMKn3RFexHDhgjunuOFHAlY8kif35u/o3n99ZtI4TyiU/5A/h117HcQG53j10cs72qBm+
KcS2h6J3H//8D333/f4gZTnfMZbUBQfT+Vz4w6GQJ+hsZq7Bg4RvdNycXkapxzWzrueIxAoyJzM4
GyVvMxT3CCdcwsZAc5u5Ht+nY71dVJbV3nUr5n3fnqyeGdDZNASrhrlHqeJTU9brPuPafJoSh1Qo
YxMmjPt83jqC3fgjizJlhIc9O/TS7l9me8sOf/4mje+Olp/eJYIU3I+WI8kB9TwLbdCPSu1YxkSs
bd1ymHODrW7SsFlO4v7IqKrYNUVP00hM1VJ22pmW3zHAdfJDWeXjbmInumNE010r2AOZP9RG2Nq1
eNElFDrLW83PzlxVL6zvok6f5YMOCg3IN1CYABwveSSi8HbphriSNmh5Ig2VYJEkW/dFstNzGCAc
Z8XBHizrJhkxZTHRQjiIuAVRXUy9C17/QBrQGjRWBlcOSdK+Nxr3sSNi8ZhrzA1qvU0Hnw3415QH
T1D1RXI0cf3fqBLpP1gpxyT9mZjnKbatSE2S0tVUY0ByKFu4QU+aQ9E1xfPQM3Fo2TTS2Gs3mFTW
93Vde8aP6cAMdjD2VmxSued2CrKLliakwjTvrNQQj0DJqhcnSYtvSk+RgxfCI1TG61KcBzhi0DvW
6fLJIXE2dCoJ8cTzymO+5svl1nr2DcgKNxzcrPZ8AzTYDSO79gtjPKKj2h6AhIfXIS4+NLYGV+ie
tBAlUhJpTndCOMmrtvWWRBTvuEwaELpYxT6ydVq3pGM6pDk1+pH88vx5hg3BXAFmBu3MF+jR9xiv
ZMnNvrmk4kiiVHUJ3nN90sqCPGC9Ets1+fMI+FcM45Hg+UKrOxt72XjucdxM462L7f4253NibY2C
MmhxKT8WJhgLxRUxgZ0ekfG/NcB7d0UqNXxoi1v558ruiUZ0pGpeZr6aJfeZqCaHeR13aWrcybga
I8626ThArSEedxlcUHjyHWQ8QYe2ru7WrryCTJlid8RRNyXlyITmDPurhjHoBK2hJN0LPyhTWG9J
HtDWXMWJ/TkFN3UAbiLuY32D0dnZL0xvkS3UNdOaPg+03PaeByt2d0bXsW9exvlE3IXnN9O2BNU5
tHfMW80fJmRdDl0LR9Q4BzqmbkbUzXKhuYm3Z7xaByuwb8a96cqLWeJdKgt4uYXRND4cn4mLCzlL
yGOo2GWJa+NSmDPUSIktAeX02gURsc3loJEX0LExfMvpqu7GrHdcxAaWK30hc3WzsRvgmOr19mJd
dfPIsr486EYmDk7D7WJrxAMUvtcytxsjOTMAwXYLnXxI42ARef21m8zkUx7r4zsQxPWTMXXzqWLM
cCQmFaproszLTmhq35LlEVixmI4jurMbbWViP5Yry1G4U06vH+vMc7Y21Fu7iiqRVP6ibcuTOYl6
h782JUM2URHSETMgkRRNgjHC2MI7fZkx+WZOwJwBOHt9mddjoULExO33wWFoN+O612zcl20vil2c
T+u3aejm5hpPZUnaG0UBmA/USQ3KFiUrN8wSnhwEPZ6jMkYVMRGWEe+4OzmEX0dztxZgX8V6sQ2i
f0HyYN5IbtTrNWNwFhbxgD5RIKb40PNuDr1S0Lblefc1ZUsGQS9znlM698vacvRHTVBfsDxJbwCf
Up1MlHxEzuIVSbycVwfGEB+MLihmhF3cl4nZfgJ2W4SF2GYgZtSFmqXWfVnoxnE2W5LsEm98BuFe
HlsmB+9AYsShzE3Ono432SrKLwyL8WlD+HggglldA2WNT05PxOg6g8IIbIykLKXPMRrdxDsHd3OD
wmsOrdGQUTtsMjIJDbnZ4HXR5JsbPyO9sn9JGB8GY0ey34z3U+ynaeAtacQ7+IPhbEmAdsCKDCid
NzoHA/smYApqkBvrX7sEkDzGJ2oVKwDuii3LLbvTZHO96gaTCmrg6TmbOs71RrYnwG3kdVDbSDYM
VbsHhW9dsMjT7lf+QIpVnyfvRno6L3tNrc9zbDGDjnHg3gsHumOMmO2+E7INOyfVP6FtvOgLPd8z
/232fQ7+z6deNC6sBd5dy6Ggd6NxPRkts0e0d2T4STuYyjzdNUYM8rImOIq+FkHlkBH6N1sRAszb
Lq69CSx9Mu07Na3pno+fvLrOdNv0suurduJqZqqOcmdcWcx2Ahas7OJLjw2w4mRdeySRrjTTazRc
S7X9V2f9UQ/ZsP5FwwrC62yP/88N6+FtfsuyH4XWv/3IP7wXlvmLCxwFjdqvaRUUs//wXtjiF9A8
+JXALFj8X/Dh/davSvkLrk76UkDbJuYP1/un0Fp3fyF6wWKLxtJd51/0v9OvWj+3kucOEt0m2hys
SrQR3DQ/V23AJkp0s4l8QECtkI1tVY/YR+d1BltZnUV4SXeXZmX3VTkkmadpod1Lr8WMaWp4s8vM
tYKyX9hb83yYQ+7hYPA09DrLpF7Z4PF7bC2RDOimJrvNOxIXfE2R3dykS7EbMbZGCmT5pdSwSade
zVkFmmTfyLW433IKXI+YIWKptPHj7BHhwWtyjGoLR81Sl3gN0n6YScRT6xt4YpZRScrHFnAjUSx3
RbftnFKQFblq6sso0/wN/NB6S2CcHkpIc69rt3WBp3BrB8a6DR9Tl+gIhcgiTwAZ3SWpfaeTz864
tezl00hcTvEXvej3duZfhfP3r8C2XWbpnqBRh2j281dQgarItbi3H7bO8I5QNCkg5XIeojXsrPE5
ozPwM1l5t+z15WVNAEnmK9tFAZ4VYtpvKZZCDOnNESnRdLVRrVxL8l3fcSBqLxA4e1wxeB6tLM+v
RmvQU3QrQ/lclqzx0Lao3Ui1e+O63RMZ89YB+culk8ySmD+JLtR7z1u7/fLDTfJvpghnp8AP3Stv
2oQXxDdBXylMngK/a8AVYAoCythXmk0Vv+rnbz8hNeATKCeeVHCRoOEa3RG2zBCZKS4YvwKQueuN
/H/ZO7PexpEsC/+VRL9L4L4AMwWMbXm3M+1cXNkvgmwrJUoUd0okf/18QdJOkXa6KisMDNEYoh8a
JWeQDEbcuMu551RXRV4o99FaZRrQPyw+LiiQne9A6Hyelvy/mOaGOW1B6sVipO0+LnMLfljUnT6Z
zvQbRWftxKVU/w2yuO2hhUTtqRfsKJyNktHJeitwWCFwhkrB6YUHXtleKJX+GFj55S7R1FMUWMzT
0knI7hggCLyiXE8Kk3Nfidzlsel99yMX4jYj3D3Q20Q+M6MUGcHoDczWT06TDC3v6XK5PYy2YKq9
XXHLplxf29sRmyldE3/qog64SsgqJ1Z6hNYzzMUGMTatTEV+5HkweoX2yj0h30vLukdWwg5Q2Kan
yYLQIfBWV5ulHl9CTKnhcgbR3PHjDYoreJ2ArU3U0On/UfGd0/TULSLvAvIf5WoqBL2dQN1eIUTL
y2l6Trk2XlYrUsnLFZgPg1orWhHFxzRTmVAogY+h8ahOd6bYmzRE3Gy2u/TOWKbxvUt//KUBt+Kh
siiKv6Cm6dkskwYTmsUEU4yq15QHenfDaIvtdLrY2qNbcBTVTebCnUEviP+NHlwo0m0CBPrOWDtJ
WD0AiK0O0yyNAHbsyuXjitrGdYRK4XmcKfGdTZX1CISGchI70Z+Fa6yP4tzafN3EjLLeopAt5MaC
E59vfxlO0e9RskU1Sc1FMSk3oXZbKAmIEygzXASpRuWVsZxSU4VY+RjOVE0Y1HB9nphRpk7AsGsT
T8kJXVeksq+TdVjd1Ms2WtG1AEyzvEpiU71Uo3BK34Gj/OmMNim8A2p6B6YlvqaVAqgz8Cg6mnU9
8O6pep3EYQIEEBJ/ivikhKwTo6yoOK+dpfPRUWC9n7y9devE0k97JaZf59yhPciyNHKmdi/Q38Vq
OlpUyfRWSyJrdJQB4AOxFo8+ryqXN1DRIzy04nT0ZVV6NLuZReRGVzCvLosTB4qS8kBnD+YHmh9P
z531Npqtt1YCNDneRQtkZZLp98QoeRna0FV803x0/PsvYIjjlZ5lzmUYzLrrJ6jWKUWWhX3rW1U2
KVZqcY27uziOySUkojMBEUWoZj6Zmsi4BEtzBKoliGZIKpsX6s6a/mDv6RjmMpzpha1eWlDmnsOG
nKNeDjrii28DZYd5euE7B28/e099o558lK9gAaQLy9WM/rPvNqDHKmNn3oa5aaJal6bTH6xmlFmT
NPGht/Oqq1WRFh99exucZBuHN9CCwALm4m3Pw40D4trVkjPf3CVnoR2PvmTI2p0Qm2SQ/sZ58LFy
Usj/NN5/t3FpRcrSXfoDhtCIT+QZ9+l0l58pVQU6ZU3y9FNu7NYB3rCdHIJ2qyhOgvLK6Ga501Ba
Oh05I+cchjFg+SQzj/1UXxxH/rL4nlho9CW77fTMK5fJpArswDnMNK2YQxeDvQKghmhfGmnqpNIj
F/zC+l5w5lITD2LaQKLozDe20++BzVbHJyg+1Vtv6o4Wj8l0tNxOYPXk8YI1IUyRaLdUhOkN36z0
LQjeePmoRClSospy+p2Vt50b/kZYEDE1K3t6TpcAfWNKxfQZGyxf5CXKQQmK/ItCcW5xYMSW96e9
WT3o4SY8Q3+0OIOJKz1MEm0LnN3XLtH7SI9M2y+uaaDiLHl7IeAkdk5QVgISQvgMKnFO7Q723AZs
NYy0NHjdwkYHELFU2GAHtW0GLRuflNMYlorllBdYVkCacMWimaVl1U0FiGc9WWxSBBpjm9rYyj+P
PT/dHZQbxUO0frTyNlTkguMMKCDbVbWV+xLah69CKuhe2xnbee7ZxugIMakNkqpLJ/ROgFn7V1s6
3CYbWylZB0ag+we+7k/BuavTUAGPu8lPncWoAEAW2WfgEb/SXarqPGVa+ocjjSx6bI1u4Lcpd0dp
ruSPEOdjIteBIHCIw9NCrdITg117CjxYuJziu0a0ANylxfrUHK235VGhedXE1cs7NQI/QxYP0jCl
XNJxtGJDoAvPYl1pKfk5x7EfKOKQ6IEZ/jxUV8pp5UIlTZ6yik+qGNr2K/IphnsY5evlN84B71s6
WoluBFjGCL/py7sDjeDCRruOrcUpEuO06mx0rMFBCrPu48i11dvRdiccnKQIzxWn4KhCzuUooeSK
dvIyzyYZ+owKr7vG5PmIOygH6Y52AFpOcrZBudSq6aFjpYZB868afFkssvRsqgAOPqjUlX6/RGSn
pDvMitYXoywT7o9b3iwy1Aom1SJW7jdkDYioY/IVJZZdQPAq9XJh7sBKsRAcgIxkQ6FiXYaHpqrr
f6ph5SGvqOTVDbT7QDpUe1XcJviWp2hx0smRglD9ocFsBUNuNZr4OWgNiKenhO9KUu0mxnbr0lho
IediJVOwXsmIVehBjwlEcJEcZSD4Rwd0XShHnl75P2x7d5uFse8dmritJDNRBjj0d+vNtQ3c5pO2
sWmq0OCuOkjdsrqpN9L/l2L/IrKFLUMQ8f06sr0rQ+gIFvuhbftvnkJbBe4AU9dsS+EghSpgL7RV
VX4CdEWlti23tpGtISqxxK6OxTFmYcNw/Fv5RkMZu9ROKZTAoUv5R9V+J7IVZch9LwX6DVHdgdhA
g0DH1XuB7TTfqZ7JMX6dbx4XqY+Z+4sQphvBQF7Qu4Gomu3RMSYFoo9RwQ2cFZ0vpJtzd+Ztrz2X
9oLHvYl/JVqq2RY7L0OcRKlbo3wEpTG2v3uvkryrbyJwc7Uy6WtbRQRDpAcsTmQH/hvz30jALBwo
DhHAUMjDa+mooovGLL3gHDKHeLF5xHw69oLyh7FUXPtkmiyUk9IJ8rnnKADiL/PESEfGhWJF1ZkP
pf80gWGA1KVljMLplzLOjleaZ56nwFw+reJwRZsairUBmseQXtNklpCc0rYIsaDMsNVd0FIICi7X
n2MXd50cgBFsbYTLQof0K44uJb0g184TNfK+otaVX/jTOKdHDYKC3TGSwb6+ubAzpHpNYCzXjro2
d/8mQ01r6QgZV+gb0clQaloFMBxRdbHKgPJ9hpHQM4IJrO+4AUi30DFSTGnnS9BR/8+yGq35O5pl
s0md57rJ50l5O0/hxUr/+K8GaSB+/RR6QfaFZjmRDPvdP3p7oA9/L8OmKPjfHTNUP1P9LG8N4cMR
neWP8KboQDgsi1SRMGh+SGWv+e8jxxqTZ8BfgOCkufa/8luv//abNfP49t+89ejNxJw9/ve/8N1I
7cm9vT2GKsECCED+SFw4gvuTAGH42MI4g3wBmiKu/6NJeAjzIBOLkE77YP9YwUD/vTnojbC3Alzo
LCg9C96l+mJJ7c+BCwGOCjchrIHNFDQ33Nslv9oHb3/k91sI9KlwQsktBGMswBKCHLt5yd5uUDmU
2SbwZwPfERcLhRsOaBJQtmqeqWeffscW8KUVIklN0ETWV3cl2OYYoWkI+FWn+bmZ9QFNgg7AXXYW
DHsMvb6AttjNW/aXgqaM6YmGcxl2lUEuBRXHTX4/8I3BLQHyqi9czY5RQGMcLKtJDqueA2VwS8HG
g5acBEMdm4KLFsbn5iWZ1f1JQGjdBv6Esz28t68JweRMIsUyJCBMuIpefXvwnmMQn+JkGJotxH8X
RROp1zf0MdoMFooh7cfvHYuAaU0QnDB9tq4DEdywTgRkpIl1pCZBFwVTvjGQ2d7Sh8yOFDBQ4vYo
GJ5TQJGj+ST//EDUnDH5QRPu1MYICvdv3wA4WEEHAjDEyJstMridAGLbkZ0F3R3jH7sCwPr8lp1Z
sMbYQA5LYoX6Gpw1RCxHoMnltoI25szXSEk2p34/VHBA0BsCuE5yo74GuBZstXmof74jDGPMjoex
4Cke6vkF9LKPLTqbbTI8Q7OH7AWB9pdaBeTZyImJcKiNE/oWwR1zG8BbYL2ba2izQIxjyYbNwjEi
JqZPtAmGFEzMvkUgZKQdhG7Kp7OzgQENKFAQhOvSHgIkr+RhiZyN5x3fmQXBE6lAG6u0vw9vFixV
k44UHM5AA7iV3aYPek6y62AxSCCQYmg2RDPtA1oLeIsiwy1lFzgjdWJCaspK85Yv7CLEoMibQO/Z
HA/NtA9oFmiJEm0JcrNgC7uAgUFPo756s+CYeAqCMhXPtL6Gd0a4+HKys0AtBvOnWM9uY886qmOQ
h8gS0AZWX8PznQXETHIWKFZBvU3KbG/f71tHyx1DOAHtvT3UtCIKi9JnhAig2BLMQXcN2NbYpgmT
Tv327QfnLWq0c8ruBPpDSZ6TVyZIfs0eEENbVAJRHhjeoUDqvzmvpZxlR4g8ED+/+vqYQ3CcqA6J
8Epcg3MQNOoesuGjYWEIXFFObgOjvoNgjOkg5gxuu5sHdCZqKv3TknZQFNg0surPAUHPEjhUmICQ
k2Vro+fBLQKc+BeN579bZiRupKQspFWxKfvHADlUoJAWNHHIRIprcC4Bi0B6D3AMoKhL/qQtGbwI
mEgk4RbRk9BaggHOAsT0kluBygq2niZ/kiT11VsLKACSYxEt5SLdiCc6JFNAw7vscaiTMHdoYkbk
orn6lhD3ucHvtJWnZsKHNAuQFUqHzaRQoF4Q9BPNLPSSBzYZJKwlqKjGILgDXAvUBWT3gj4Gv0U1
FVxYc3XtIilLqowtqcbQ9gLxm/SxaIwNTYh+A2Srrxe2wBqjrMRCET09w7IFOi1HsulkDkQQFWwC
cHyvfX/cAhulbDAuQy0t0AUgvws0dgFQfAEzem0VgDjANVLYbm2YNDjnCHJpoQEolzbhXKAbx35O
HmFiOz4SSWUgjPSMtHtleLNAT4h0wkABdyEogAgX66ufPMKRBvNKue0nTmlYdkHDj5f1ESgwOC6A
tDZWeoFIs220ghy0ffZmaVizgCpZi4f455EznhIMNmgcttnSvr8MOBGSKE1A8xq7MbgzAmS3YHeS
sguUWWhf5hBoa+wC0NKxC5RhRBOowKXVV7P4BuQvopsldC+lZkHHU1LIkyEU9+oZ4YgdQ9UViF4z
C4OzjnSvS68F1AMJjByXMLJ5y/5acMbCaEDJ1f4+yLXAQ0utBbwmgwOXjv/2LXsnJSuE5n/UGKlm
1Lca0l5oROSk3l+HwQ/IjcFif7Z7+xaBwquOL8Xp8LMAww2HNAswMjQbVOJ04C3JKgO+agPpXgRZ
g3VtCiya9Ru24G9M0jP6/xDWhsca9+/N09eQ/7/6gydI9MvfW8y7ALYLTHfnD0U7UnPvn20Bf3QU
T+tPvPfj0yev79P+8/YFX966c6+nt3r6j6fePJnBm1PWP5TtY17PNjQP/I8/u59tZvt4dNYllufn
k7xQZn1e/38xcLrujSsqUtLjJh7qyd2Ba/C4/MDrWZB2VSMbGK7syIcz3/sRJoHXeeqm90F67NAP
k9lj+DSxYvHZNXJUfmQ0qh8y7yHPOoPXoFzZwY/mPswxyXx/5Ab+Lj1yKyD8IfzxgSavfHPfnfYG
Uil7F7imEu+x8z2x5yKlIjvyyTxMFt1HbrFvsiP/mqvn11RAf2urnz3Olp0FqNKh/w4m5Mz3vSD0
0qdJFWu7RYDJzsVZ8OjNelakwVlKjxzuusuigSnJDnvx0jY1yB/pgRkgf1iXnUlugCSyQ1+G8OS9
mOYGniE79tXMCzrWQ1AYv8PxcjVLSn8WPO5PR4sikH/kNJ09LPN0nmWdNd3W6aXH9x6W3mLW7S1r
auDyQ3MWQLDeWdltZVl+7DT1+B8yTJ1Jbwq37zF6iB5Ab2hRDpQeGqbung3R1LrEJjvy9fw+mfW8
pxb0KT/0dtY9t1rsnPzAuw+ns02ULr3usc74opPjPcY/nyfpvGOpyGCLatZ7DH41L7yHzjHG4O9x
ol/Pdx++h8n66THr+KDJvEs/N1xcyw+HswQZ5u5p1ia13+cGR7N1f+/rlkZ4Ljv8x6XXnfEmCS09
7NrHI+lGNVpT/ZUeOpkv+u27dSlRduBPc6Q+IOOc9cKENiMtO/ztMnycfzhLX5xtTZJTdvjPYf6L
hdjmD9/nBi8XohielJTs8F+Y/XmazjsuRZsGlx+76EaVMLeJbmfZcb9ms+XTKMKmgNUUeRnZYd/Q
oJCME755RDa95d0mVmUf+m7GuRMssu7WbHuJpQefp9mHVx+eyuY7LL47L30I4fDteG5thVr62X9N
Y/Pm13wt0/SchXyZf3piAnjtn3WTa+IvHvz5LPnjfwEAAP//</cx:binary>
              </cx:geoCache>
            </cx:geography>
          </cx:layoutPr>
        </cx:series>
      </cx:plotAreaRegion>
    </cx:plotArea>
    <cx:legend pos="b" align="ctr" overlay="0">
      <cx:txPr>
        <a:bodyPr vertOverflow="overflow" horzOverflow="overflow" wrap="square" lIns="0" tIns="0" rIns="0" bIns="0"/>
        <a:lstStyle/>
        <a:p>
          <a:pPr algn="ctr" rtl="0">
            <a:defRPr sz="24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endParaRPr lang="en-US" sz="2400"/>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214313</xdr:colOff>
      <xdr:row>25</xdr:row>
      <xdr:rowOff>134540</xdr:rowOff>
    </xdr:from>
    <xdr:to>
      <xdr:col>12</xdr:col>
      <xdr:colOff>738188</xdr:colOff>
      <xdr:row>40</xdr:row>
      <xdr:rowOff>20240</xdr:rowOff>
    </xdr:to>
    <xdr:graphicFrame macro="">
      <xdr:nvGraphicFramePr>
        <xdr:cNvPr id="3" name="Chart 2">
          <a:extLst>
            <a:ext uri="{FF2B5EF4-FFF2-40B4-BE49-F238E27FC236}">
              <a16:creationId xmlns:a16="http://schemas.microsoft.com/office/drawing/2014/main" id="{5DBA85EC-B369-CFB9-8BFA-A60464082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160734</xdr:colOff>
      <xdr:row>21</xdr:row>
      <xdr:rowOff>142876</xdr:rowOff>
    </xdr:from>
    <xdr:to>
      <xdr:col>22</xdr:col>
      <xdr:colOff>476251</xdr:colOff>
      <xdr:row>36</xdr:row>
      <xdr:rowOff>59532</xdr:rowOff>
    </xdr:to>
    <xdr:graphicFrame macro="">
      <xdr:nvGraphicFramePr>
        <xdr:cNvPr id="2" name="Chart 1">
          <a:extLst>
            <a:ext uri="{FF2B5EF4-FFF2-40B4-BE49-F238E27FC236}">
              <a16:creationId xmlns:a16="http://schemas.microsoft.com/office/drawing/2014/main" id="{8844C9C0-9D6B-3A88-AC69-6657FB7DA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809626</xdr:colOff>
      <xdr:row>12</xdr:row>
      <xdr:rowOff>178593</xdr:rowOff>
    </xdr:from>
    <xdr:to>
      <xdr:col>11</xdr:col>
      <xdr:colOff>345281</xdr:colOff>
      <xdr:row>19</xdr:row>
      <xdr:rowOff>35718</xdr:rowOff>
    </xdr:to>
    <xdr:graphicFrame macro="">
      <xdr:nvGraphicFramePr>
        <xdr:cNvPr id="5" name="Chart 4">
          <a:extLst>
            <a:ext uri="{FF2B5EF4-FFF2-40B4-BE49-F238E27FC236}">
              <a16:creationId xmlns:a16="http://schemas.microsoft.com/office/drawing/2014/main" id="{8C1468BC-B3C0-423A-2D93-B3FBD54F7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178594</xdr:colOff>
      <xdr:row>63</xdr:row>
      <xdr:rowOff>3571</xdr:rowOff>
    </xdr:from>
    <xdr:to>
      <xdr:col>7</xdr:col>
      <xdr:colOff>754857</xdr:colOff>
      <xdr:row>77</xdr:row>
      <xdr:rowOff>79771</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E52F96B2-D3B8-E592-E11D-49B5828934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769644" y="12005071"/>
              <a:ext cx="2671763"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166687</xdr:colOff>
      <xdr:row>46</xdr:row>
      <xdr:rowOff>15478</xdr:rowOff>
    </xdr:from>
    <xdr:to>
      <xdr:col>11</xdr:col>
      <xdr:colOff>273843</xdr:colOff>
      <xdr:row>57</xdr:row>
      <xdr:rowOff>166688</xdr:rowOff>
    </xdr:to>
    <xdr:graphicFrame macro="">
      <xdr:nvGraphicFramePr>
        <xdr:cNvPr id="8" name="Chart 7">
          <a:extLst>
            <a:ext uri="{FF2B5EF4-FFF2-40B4-BE49-F238E27FC236}">
              <a16:creationId xmlns:a16="http://schemas.microsoft.com/office/drawing/2014/main" id="{66F62A9A-1DE6-73AA-FAA7-55036E11F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461962</xdr:colOff>
      <xdr:row>2</xdr:row>
      <xdr:rowOff>178595</xdr:rowOff>
    </xdr:from>
    <xdr:to>
      <xdr:col>19</xdr:col>
      <xdr:colOff>464343</xdr:colOff>
      <xdr:row>7</xdr:row>
      <xdr:rowOff>35719</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F781218F-3B08-92D1-B498-A96307B874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094618" y="559595"/>
              <a:ext cx="3276600" cy="809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273843</xdr:colOff>
      <xdr:row>7</xdr:row>
      <xdr:rowOff>80962</xdr:rowOff>
    </xdr:from>
    <xdr:to>
      <xdr:col>19</xdr:col>
      <xdr:colOff>130968</xdr:colOff>
      <xdr:row>9</xdr:row>
      <xdr:rowOff>119063</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89885EF5-E007-289B-B20A-07EDE0E4FE7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906499" y="1414462"/>
              <a:ext cx="3131344" cy="419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726281</xdr:colOff>
      <xdr:row>10</xdr:row>
      <xdr:rowOff>154781</xdr:rowOff>
    </xdr:from>
    <xdr:to>
      <xdr:col>19</xdr:col>
      <xdr:colOff>250031</xdr:colOff>
      <xdr:row>12</xdr:row>
      <xdr:rowOff>190498</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94146B50-4A16-AA6F-0F9A-177D85EF3A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58937" y="2059781"/>
              <a:ext cx="2797969" cy="416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47624</xdr:colOff>
      <xdr:row>0</xdr:row>
      <xdr:rowOff>172355</xdr:rowOff>
    </xdr:from>
    <xdr:to>
      <xdr:col>54</xdr:col>
      <xdr:colOff>333374</xdr:colOff>
      <xdr:row>72</xdr:row>
      <xdr:rowOff>127001</xdr:rowOff>
    </xdr:to>
    <xdr:sp macro="" textlink="">
      <xdr:nvSpPr>
        <xdr:cNvPr id="2" name="Rectangle: Rounded Corners 1">
          <a:extLst>
            <a:ext uri="{FF2B5EF4-FFF2-40B4-BE49-F238E27FC236}">
              <a16:creationId xmlns:a16="http://schemas.microsoft.com/office/drawing/2014/main" id="{99055827-A778-3659-2788-5D370DF6273C}"/>
            </a:ext>
          </a:extLst>
        </xdr:cNvPr>
        <xdr:cNvSpPr/>
      </xdr:nvSpPr>
      <xdr:spPr>
        <a:xfrm>
          <a:off x="5476874" y="172355"/>
          <a:ext cx="27432000" cy="13670646"/>
        </a:xfrm>
        <a:prstGeom prst="roundRect">
          <a:avLst>
            <a:gd name="adj" fmla="val 4535"/>
          </a:avLst>
        </a:prstGeom>
        <a:solidFill>
          <a:srgbClr val="CCDC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2</xdr:row>
      <xdr:rowOff>63500</xdr:rowOff>
    </xdr:from>
    <xdr:to>
      <xdr:col>54</xdr:col>
      <xdr:colOff>63500</xdr:colOff>
      <xdr:row>71</xdr:row>
      <xdr:rowOff>63500</xdr:rowOff>
    </xdr:to>
    <xdr:sp macro="" textlink="">
      <xdr:nvSpPr>
        <xdr:cNvPr id="3" name="Rectangle: Rounded Corners 2">
          <a:extLst>
            <a:ext uri="{FF2B5EF4-FFF2-40B4-BE49-F238E27FC236}">
              <a16:creationId xmlns:a16="http://schemas.microsoft.com/office/drawing/2014/main" id="{21B24D13-6A63-1493-7F2E-71AD17BE4E13}"/>
            </a:ext>
          </a:extLst>
        </xdr:cNvPr>
        <xdr:cNvSpPr/>
      </xdr:nvSpPr>
      <xdr:spPr>
        <a:xfrm>
          <a:off x="5715000" y="444500"/>
          <a:ext cx="26924000" cy="13144500"/>
        </a:xfrm>
        <a:prstGeom prst="roundRect">
          <a:avLst>
            <a:gd name="adj" fmla="val 3148"/>
          </a:avLst>
        </a:prstGeom>
        <a:solidFill>
          <a:srgbClr val="F0F5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533398</xdr:colOff>
      <xdr:row>3</xdr:row>
      <xdr:rowOff>31750</xdr:rowOff>
    </xdr:from>
    <xdr:to>
      <xdr:col>53</xdr:col>
      <xdr:colOff>412749</xdr:colOff>
      <xdr:row>10</xdr:row>
      <xdr:rowOff>95250</xdr:rowOff>
    </xdr:to>
    <xdr:sp macro="" textlink="">
      <xdr:nvSpPr>
        <xdr:cNvPr id="4" name="Rectangle: Rounded Corners 3">
          <a:extLst>
            <a:ext uri="{FF2B5EF4-FFF2-40B4-BE49-F238E27FC236}">
              <a16:creationId xmlns:a16="http://schemas.microsoft.com/office/drawing/2014/main" id="{CB670032-5855-2B98-17DC-9C79222651A3}"/>
            </a:ext>
          </a:extLst>
        </xdr:cNvPr>
        <xdr:cNvSpPr/>
      </xdr:nvSpPr>
      <xdr:spPr>
        <a:xfrm>
          <a:off x="6019798" y="603250"/>
          <a:ext cx="26701751" cy="1397000"/>
        </a:xfrm>
        <a:prstGeom prst="roundRect">
          <a:avLst/>
        </a:prstGeom>
        <a:solidFill>
          <a:srgbClr val="103F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533398</xdr:colOff>
      <xdr:row>25</xdr:row>
      <xdr:rowOff>28574</xdr:rowOff>
    </xdr:from>
    <xdr:to>
      <xdr:col>24</xdr:col>
      <xdr:colOff>257173</xdr:colOff>
      <xdr:row>47</xdr:row>
      <xdr:rowOff>63500</xdr:rowOff>
    </xdr:to>
    <xdr:sp macro="" textlink="">
      <xdr:nvSpPr>
        <xdr:cNvPr id="23" name="Rectangle: Rounded Corners 22">
          <a:extLst>
            <a:ext uri="{FF2B5EF4-FFF2-40B4-BE49-F238E27FC236}">
              <a16:creationId xmlns:a16="http://schemas.microsoft.com/office/drawing/2014/main" id="{01C2FC89-3784-4418-48C3-783486B1B54F}"/>
            </a:ext>
          </a:extLst>
        </xdr:cNvPr>
        <xdr:cNvSpPr/>
      </xdr:nvSpPr>
      <xdr:spPr>
        <a:xfrm>
          <a:off x="6019798" y="4791074"/>
          <a:ext cx="8867775" cy="4225926"/>
        </a:xfrm>
        <a:prstGeom prst="roundRect">
          <a:avLst>
            <a:gd name="adj" fmla="val 15164"/>
          </a:avLst>
        </a:prstGeom>
        <a:solidFill>
          <a:schemeClr val="bg1">
            <a:alpha val="6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39</xdr:col>
      <xdr:colOff>578908</xdr:colOff>
      <xdr:row>11</xdr:row>
      <xdr:rowOff>63498</xdr:rowOff>
    </xdr:from>
    <xdr:to>
      <xdr:col>53</xdr:col>
      <xdr:colOff>550334</xdr:colOff>
      <xdr:row>69</xdr:row>
      <xdr:rowOff>158750</xdr:rowOff>
    </xdr:to>
    <xdr:sp macro="" textlink="">
      <xdr:nvSpPr>
        <xdr:cNvPr id="24" name="Rectangle: Rounded Corners 23">
          <a:extLst>
            <a:ext uri="{FF2B5EF4-FFF2-40B4-BE49-F238E27FC236}">
              <a16:creationId xmlns:a16="http://schemas.microsoft.com/office/drawing/2014/main" id="{1298C586-1ACA-B58D-6235-C70E3797A403}"/>
            </a:ext>
          </a:extLst>
        </xdr:cNvPr>
        <xdr:cNvSpPr/>
      </xdr:nvSpPr>
      <xdr:spPr>
        <a:xfrm>
          <a:off x="23968075" y="2003776"/>
          <a:ext cx="8367537" cy="10325807"/>
        </a:xfrm>
        <a:prstGeom prst="roundRect">
          <a:avLst>
            <a:gd name="adj" fmla="val 5728"/>
          </a:avLst>
        </a:prstGeom>
        <a:solidFill>
          <a:schemeClr val="bg1">
            <a:alpha val="6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516464</xdr:colOff>
      <xdr:row>11</xdr:row>
      <xdr:rowOff>63499</xdr:rowOff>
    </xdr:from>
    <xdr:to>
      <xdr:col>27</xdr:col>
      <xdr:colOff>405694</xdr:colOff>
      <xdr:row>23</xdr:row>
      <xdr:rowOff>158751</xdr:rowOff>
    </xdr:to>
    <xdr:sp macro="" textlink="">
      <xdr:nvSpPr>
        <xdr:cNvPr id="29" name="Rectangle: Rounded Corners 28">
          <a:extLst>
            <a:ext uri="{FF2B5EF4-FFF2-40B4-BE49-F238E27FC236}">
              <a16:creationId xmlns:a16="http://schemas.microsoft.com/office/drawing/2014/main" id="{2D7AACBB-7FB6-CE74-3AFA-9AC501168752}"/>
            </a:ext>
          </a:extLst>
        </xdr:cNvPr>
        <xdr:cNvSpPr/>
      </xdr:nvSpPr>
      <xdr:spPr>
        <a:xfrm>
          <a:off x="13110631" y="2003777"/>
          <a:ext cx="3487563" cy="2211918"/>
        </a:xfrm>
        <a:prstGeom prst="roundRect">
          <a:avLst/>
        </a:prstGeom>
        <a:solidFill>
          <a:srgbClr val="D6E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510467</xdr:colOff>
      <xdr:row>11</xdr:row>
      <xdr:rowOff>63499</xdr:rowOff>
    </xdr:from>
    <xdr:to>
      <xdr:col>33</xdr:col>
      <xdr:colOff>389819</xdr:colOff>
      <xdr:row>23</xdr:row>
      <xdr:rowOff>158751</xdr:rowOff>
    </xdr:to>
    <xdr:sp macro="" textlink="">
      <xdr:nvSpPr>
        <xdr:cNvPr id="35" name="Rectangle: Rounded Corners 34">
          <a:extLst>
            <a:ext uri="{FF2B5EF4-FFF2-40B4-BE49-F238E27FC236}">
              <a16:creationId xmlns:a16="http://schemas.microsoft.com/office/drawing/2014/main" id="{BDE86651-785F-D482-62AC-5358714FED67}"/>
            </a:ext>
          </a:extLst>
        </xdr:cNvPr>
        <xdr:cNvSpPr/>
      </xdr:nvSpPr>
      <xdr:spPr>
        <a:xfrm>
          <a:off x="16702967" y="2003777"/>
          <a:ext cx="3477685" cy="2211918"/>
        </a:xfrm>
        <a:prstGeom prst="roundRect">
          <a:avLst/>
        </a:prstGeom>
        <a:solidFill>
          <a:srgbClr val="D6E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494593</xdr:colOff>
      <xdr:row>11</xdr:row>
      <xdr:rowOff>63499</xdr:rowOff>
    </xdr:from>
    <xdr:to>
      <xdr:col>39</xdr:col>
      <xdr:colOff>373945</xdr:colOff>
      <xdr:row>23</xdr:row>
      <xdr:rowOff>158751</xdr:rowOff>
    </xdr:to>
    <xdr:sp macro="" textlink="">
      <xdr:nvSpPr>
        <xdr:cNvPr id="36" name="Rectangle: Rounded Corners 35">
          <a:extLst>
            <a:ext uri="{FF2B5EF4-FFF2-40B4-BE49-F238E27FC236}">
              <a16:creationId xmlns:a16="http://schemas.microsoft.com/office/drawing/2014/main" id="{86F871B2-FF6D-5312-F2BA-B4A4E20AD0EE}"/>
            </a:ext>
          </a:extLst>
        </xdr:cNvPr>
        <xdr:cNvSpPr/>
      </xdr:nvSpPr>
      <xdr:spPr>
        <a:xfrm>
          <a:off x="20285426" y="2003777"/>
          <a:ext cx="3477686" cy="2211918"/>
        </a:xfrm>
        <a:prstGeom prst="roundRect">
          <a:avLst/>
        </a:prstGeom>
        <a:solidFill>
          <a:srgbClr val="D6E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523875</xdr:colOff>
      <xdr:row>25</xdr:row>
      <xdr:rowOff>28574</xdr:rowOff>
    </xdr:from>
    <xdr:to>
      <xdr:col>39</xdr:col>
      <xdr:colOff>282222</xdr:colOff>
      <xdr:row>47</xdr:row>
      <xdr:rowOff>63500</xdr:rowOff>
    </xdr:to>
    <xdr:sp macro="" textlink="">
      <xdr:nvSpPr>
        <xdr:cNvPr id="45" name="Rectangle: Rounded Corners 44">
          <a:extLst>
            <a:ext uri="{FF2B5EF4-FFF2-40B4-BE49-F238E27FC236}">
              <a16:creationId xmlns:a16="http://schemas.microsoft.com/office/drawing/2014/main" id="{732AFC6B-AD35-D1FD-F458-C35CADC1E5A1}"/>
            </a:ext>
          </a:extLst>
        </xdr:cNvPr>
        <xdr:cNvSpPr/>
      </xdr:nvSpPr>
      <xdr:spPr>
        <a:xfrm>
          <a:off x="14917208" y="4438296"/>
          <a:ext cx="8754181" cy="3915482"/>
        </a:xfrm>
        <a:prstGeom prst="roundRect">
          <a:avLst>
            <a:gd name="adj" fmla="val 15164"/>
          </a:avLst>
        </a:prstGeom>
        <a:solidFill>
          <a:schemeClr val="bg1">
            <a:alpha val="6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533398</xdr:colOff>
      <xdr:row>47</xdr:row>
      <xdr:rowOff>187324</xdr:rowOff>
    </xdr:from>
    <xdr:to>
      <xdr:col>24</xdr:col>
      <xdr:colOff>257173</xdr:colOff>
      <xdr:row>70</xdr:row>
      <xdr:rowOff>31750</xdr:rowOff>
    </xdr:to>
    <xdr:sp macro="" textlink="">
      <xdr:nvSpPr>
        <xdr:cNvPr id="46" name="Rectangle: Rounded Corners 45">
          <a:extLst>
            <a:ext uri="{FF2B5EF4-FFF2-40B4-BE49-F238E27FC236}">
              <a16:creationId xmlns:a16="http://schemas.microsoft.com/office/drawing/2014/main" id="{7BC216F8-CD8D-B263-9954-A88AC6A7270F}"/>
            </a:ext>
          </a:extLst>
        </xdr:cNvPr>
        <xdr:cNvSpPr/>
      </xdr:nvSpPr>
      <xdr:spPr>
        <a:xfrm>
          <a:off x="6019798" y="9140824"/>
          <a:ext cx="8867775" cy="4225926"/>
        </a:xfrm>
        <a:prstGeom prst="roundRect">
          <a:avLst>
            <a:gd name="adj" fmla="val 15164"/>
          </a:avLst>
        </a:prstGeom>
        <a:solidFill>
          <a:schemeClr val="bg1">
            <a:alpha val="6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523875</xdr:colOff>
      <xdr:row>48</xdr:row>
      <xdr:rowOff>10935</xdr:rowOff>
    </xdr:from>
    <xdr:to>
      <xdr:col>39</xdr:col>
      <xdr:colOff>282222</xdr:colOff>
      <xdr:row>70</xdr:row>
      <xdr:rowOff>31750</xdr:rowOff>
    </xdr:to>
    <xdr:sp macro="" textlink="">
      <xdr:nvSpPr>
        <xdr:cNvPr id="47" name="Rectangle: Rounded Corners 46">
          <a:extLst>
            <a:ext uri="{FF2B5EF4-FFF2-40B4-BE49-F238E27FC236}">
              <a16:creationId xmlns:a16="http://schemas.microsoft.com/office/drawing/2014/main" id="{2D81274D-0F93-ACFC-B191-555124490B2C}"/>
            </a:ext>
          </a:extLst>
        </xdr:cNvPr>
        <xdr:cNvSpPr/>
      </xdr:nvSpPr>
      <xdr:spPr>
        <a:xfrm>
          <a:off x="14917208" y="8477602"/>
          <a:ext cx="8754181" cy="3901370"/>
        </a:xfrm>
        <a:prstGeom prst="roundRect">
          <a:avLst>
            <a:gd name="adj" fmla="val 15164"/>
          </a:avLst>
        </a:prstGeom>
        <a:solidFill>
          <a:schemeClr val="bg1">
            <a:alpha val="6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528459</xdr:colOff>
      <xdr:row>11</xdr:row>
      <xdr:rowOff>63499</xdr:rowOff>
    </xdr:from>
    <xdr:to>
      <xdr:col>15</xdr:col>
      <xdr:colOff>417689</xdr:colOff>
      <xdr:row>23</xdr:row>
      <xdr:rowOff>158751</xdr:rowOff>
    </xdr:to>
    <xdr:sp macro="" textlink="">
      <xdr:nvSpPr>
        <xdr:cNvPr id="6" name="Rectangle: Rounded Corners 5">
          <a:extLst>
            <a:ext uri="{FF2B5EF4-FFF2-40B4-BE49-F238E27FC236}">
              <a16:creationId xmlns:a16="http://schemas.microsoft.com/office/drawing/2014/main" id="{128ABC85-8329-2E0F-8FCC-E5CB62E02F17}"/>
            </a:ext>
          </a:extLst>
        </xdr:cNvPr>
        <xdr:cNvSpPr/>
      </xdr:nvSpPr>
      <xdr:spPr>
        <a:xfrm>
          <a:off x="5925959" y="2003777"/>
          <a:ext cx="3487563" cy="2211918"/>
        </a:xfrm>
        <a:prstGeom prst="roundRect">
          <a:avLst/>
        </a:prstGeom>
        <a:solidFill>
          <a:srgbClr val="D6E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522462</xdr:colOff>
      <xdr:row>11</xdr:row>
      <xdr:rowOff>63499</xdr:rowOff>
    </xdr:from>
    <xdr:to>
      <xdr:col>21</xdr:col>
      <xdr:colOff>411691</xdr:colOff>
      <xdr:row>23</xdr:row>
      <xdr:rowOff>158751</xdr:rowOff>
    </xdr:to>
    <xdr:sp macro="" textlink="">
      <xdr:nvSpPr>
        <xdr:cNvPr id="7" name="Rectangle: Rounded Corners 6">
          <a:extLst>
            <a:ext uri="{FF2B5EF4-FFF2-40B4-BE49-F238E27FC236}">
              <a16:creationId xmlns:a16="http://schemas.microsoft.com/office/drawing/2014/main" id="{2B482717-AB56-2764-F309-3F394C560387}"/>
            </a:ext>
          </a:extLst>
        </xdr:cNvPr>
        <xdr:cNvSpPr/>
      </xdr:nvSpPr>
      <xdr:spPr>
        <a:xfrm>
          <a:off x="9518295" y="2003777"/>
          <a:ext cx="3487563" cy="2211918"/>
        </a:xfrm>
        <a:prstGeom prst="roundRect">
          <a:avLst/>
        </a:prstGeom>
        <a:solidFill>
          <a:srgbClr val="D6E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4</xdr:row>
      <xdr:rowOff>95249</xdr:rowOff>
    </xdr:from>
    <xdr:to>
      <xdr:col>40</xdr:col>
      <xdr:colOff>429260</xdr:colOff>
      <xdr:row>68</xdr:row>
      <xdr:rowOff>64769</xdr:rowOff>
    </xdr:to>
    <xdr:sp macro="" textlink="">
      <xdr:nvSpPr>
        <xdr:cNvPr id="2" name="Rectangle: Rounded Corners 1">
          <a:extLst>
            <a:ext uri="{FF2B5EF4-FFF2-40B4-BE49-F238E27FC236}">
              <a16:creationId xmlns:a16="http://schemas.microsoft.com/office/drawing/2014/main" id="{71DDCAF8-4C89-4342-ACDF-74E63F5248A4}"/>
            </a:ext>
          </a:extLst>
        </xdr:cNvPr>
        <xdr:cNvSpPr/>
      </xdr:nvSpPr>
      <xdr:spPr>
        <a:xfrm>
          <a:off x="3619500" y="857249"/>
          <a:ext cx="20939760" cy="12161520"/>
        </a:xfrm>
        <a:prstGeom prst="roundRect">
          <a:avLst>
            <a:gd name="adj" fmla="val 4535"/>
          </a:avLst>
        </a:prstGeom>
        <a:solidFill>
          <a:srgbClr val="CCDC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183997</xdr:colOff>
      <xdr:row>6</xdr:row>
      <xdr:rowOff>39643</xdr:rowOff>
    </xdr:from>
    <xdr:to>
      <xdr:col>40</xdr:col>
      <xdr:colOff>220731</xdr:colOff>
      <xdr:row>66</xdr:row>
      <xdr:rowOff>140715</xdr:rowOff>
    </xdr:to>
    <xdr:sp macro="" textlink="">
      <xdr:nvSpPr>
        <xdr:cNvPr id="3" name="Rectangle: Rounded Corners 2">
          <a:extLst>
            <a:ext uri="{FF2B5EF4-FFF2-40B4-BE49-F238E27FC236}">
              <a16:creationId xmlns:a16="http://schemas.microsoft.com/office/drawing/2014/main" id="{08F7653C-C0B2-477D-9CD9-6CE2E5B2F088}"/>
            </a:ext>
          </a:extLst>
        </xdr:cNvPr>
        <xdr:cNvSpPr/>
      </xdr:nvSpPr>
      <xdr:spPr>
        <a:xfrm>
          <a:off x="3803497" y="1182643"/>
          <a:ext cx="20547234" cy="11531072"/>
        </a:xfrm>
        <a:prstGeom prst="roundRect">
          <a:avLst>
            <a:gd name="adj" fmla="val 3148"/>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289488</xdr:colOff>
      <xdr:row>6</xdr:row>
      <xdr:rowOff>148106</xdr:rowOff>
    </xdr:from>
    <xdr:to>
      <xdr:col>40</xdr:col>
      <xdr:colOff>88253</xdr:colOff>
      <xdr:row>12</xdr:row>
      <xdr:rowOff>174539</xdr:rowOff>
    </xdr:to>
    <xdr:sp macro="" textlink="">
      <xdr:nvSpPr>
        <xdr:cNvPr id="4" name="Rectangle: Rounded Corners 3">
          <a:extLst>
            <a:ext uri="{FF2B5EF4-FFF2-40B4-BE49-F238E27FC236}">
              <a16:creationId xmlns:a16="http://schemas.microsoft.com/office/drawing/2014/main" id="{9CDAF4FB-886B-43B7-B518-C7C801310D23}"/>
            </a:ext>
          </a:extLst>
        </xdr:cNvPr>
        <xdr:cNvSpPr/>
      </xdr:nvSpPr>
      <xdr:spPr>
        <a:xfrm>
          <a:off x="3908988" y="1291106"/>
          <a:ext cx="20309265" cy="1169433"/>
        </a:xfrm>
        <a:prstGeom prst="roundRect">
          <a:avLst>
            <a:gd name="adj" fmla="val 8841"/>
          </a:avLst>
        </a:prstGeom>
        <a:solidFill>
          <a:srgbClr val="103F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375352</xdr:colOff>
      <xdr:row>24</xdr:row>
      <xdr:rowOff>141</xdr:rowOff>
    </xdr:from>
    <xdr:to>
      <xdr:col>17</xdr:col>
      <xdr:colOff>430827</xdr:colOff>
      <xdr:row>44</xdr:row>
      <xdr:rowOff>100868</xdr:rowOff>
    </xdr:to>
    <xdr:sp macro="" textlink="">
      <xdr:nvSpPr>
        <xdr:cNvPr id="6" name="Rectangle: Rounded Corners 5">
          <a:extLst>
            <a:ext uri="{FF2B5EF4-FFF2-40B4-BE49-F238E27FC236}">
              <a16:creationId xmlns:a16="http://schemas.microsoft.com/office/drawing/2014/main" id="{728B637A-724E-4509-8E45-0D1FB863A8D7}"/>
            </a:ext>
          </a:extLst>
        </xdr:cNvPr>
        <xdr:cNvSpPr/>
      </xdr:nvSpPr>
      <xdr:spPr>
        <a:xfrm>
          <a:off x="3994852" y="4572141"/>
          <a:ext cx="6691225" cy="3910727"/>
        </a:xfrm>
        <a:prstGeom prst="roundRect">
          <a:avLst>
            <a:gd name="adj" fmla="val 9617"/>
          </a:avLst>
        </a:prstGeom>
        <a:solidFill>
          <a:schemeClr val="bg1">
            <a:alpha val="63922"/>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190124</xdr:colOff>
      <xdr:row>13</xdr:row>
      <xdr:rowOff>119562</xdr:rowOff>
    </xdr:from>
    <xdr:to>
      <xdr:col>40</xdr:col>
      <xdr:colOff>51727</xdr:colOff>
      <xdr:row>65</xdr:row>
      <xdr:rowOff>127845</xdr:rowOff>
    </xdr:to>
    <xdr:sp macro="" textlink="">
      <xdr:nvSpPr>
        <xdr:cNvPr id="7" name="Rectangle: Rounded Corners 6">
          <a:extLst>
            <a:ext uri="{FF2B5EF4-FFF2-40B4-BE49-F238E27FC236}">
              <a16:creationId xmlns:a16="http://schemas.microsoft.com/office/drawing/2014/main" id="{D6B95129-0DD0-443E-962C-F546BF8CBF46}"/>
            </a:ext>
          </a:extLst>
        </xdr:cNvPr>
        <xdr:cNvSpPr/>
      </xdr:nvSpPr>
      <xdr:spPr>
        <a:xfrm>
          <a:off x="17684374" y="2596062"/>
          <a:ext cx="6497353" cy="9914283"/>
        </a:xfrm>
        <a:prstGeom prst="roundRect">
          <a:avLst>
            <a:gd name="adj" fmla="val 3084"/>
          </a:avLst>
        </a:prstGeom>
        <a:solidFill>
          <a:schemeClr val="bg1">
            <a:alpha val="63922"/>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clientData/>
  </xdr:twoCellAnchor>
  <xdr:twoCellAnchor>
    <xdr:from>
      <xdr:col>11</xdr:col>
      <xdr:colOff>77933</xdr:colOff>
      <xdr:row>13</xdr:row>
      <xdr:rowOff>107566</xdr:rowOff>
    </xdr:from>
    <xdr:to>
      <xdr:col>15</xdr:col>
      <xdr:colOff>197078</xdr:colOff>
      <xdr:row>23</xdr:row>
      <xdr:rowOff>91647</xdr:rowOff>
    </xdr:to>
    <xdr:sp macro="" textlink="">
      <xdr:nvSpPr>
        <xdr:cNvPr id="8" name="Rectangle: Rounded Corners 7">
          <a:extLst>
            <a:ext uri="{FF2B5EF4-FFF2-40B4-BE49-F238E27FC236}">
              <a16:creationId xmlns:a16="http://schemas.microsoft.com/office/drawing/2014/main" id="{88C9E1A9-E6A2-431E-8E99-072DEFAEEAB9}"/>
            </a:ext>
          </a:extLst>
        </xdr:cNvPr>
        <xdr:cNvSpPr/>
      </xdr:nvSpPr>
      <xdr:spPr>
        <a:xfrm>
          <a:off x="6713683" y="2584066"/>
          <a:ext cx="2532145" cy="1889081"/>
        </a:xfrm>
        <a:prstGeom prst="roundRect">
          <a:avLst>
            <a:gd name="adj" fmla="val 547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435383</xdr:colOff>
      <xdr:row>13</xdr:row>
      <xdr:rowOff>80450</xdr:rowOff>
    </xdr:from>
    <xdr:to>
      <xdr:col>19</xdr:col>
      <xdr:colOff>547168</xdr:colOff>
      <xdr:row>23</xdr:row>
      <xdr:rowOff>64531</xdr:rowOff>
    </xdr:to>
    <xdr:sp macro="" textlink="">
      <xdr:nvSpPr>
        <xdr:cNvPr id="9" name="Rectangle: Rounded Corners 8">
          <a:extLst>
            <a:ext uri="{FF2B5EF4-FFF2-40B4-BE49-F238E27FC236}">
              <a16:creationId xmlns:a16="http://schemas.microsoft.com/office/drawing/2014/main" id="{68809A8B-2FC2-477A-8970-1ACBFB15F131}"/>
            </a:ext>
          </a:extLst>
        </xdr:cNvPr>
        <xdr:cNvSpPr/>
      </xdr:nvSpPr>
      <xdr:spPr>
        <a:xfrm>
          <a:off x="9484133" y="2556950"/>
          <a:ext cx="2524785" cy="1889081"/>
        </a:xfrm>
        <a:prstGeom prst="roundRect">
          <a:avLst>
            <a:gd name="adj" fmla="val 8916"/>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175403</xdr:colOff>
      <xdr:row>13</xdr:row>
      <xdr:rowOff>80450</xdr:rowOff>
    </xdr:from>
    <xdr:to>
      <xdr:col>24</xdr:col>
      <xdr:colOff>296460</xdr:colOff>
      <xdr:row>23</xdr:row>
      <xdr:rowOff>64531</xdr:rowOff>
    </xdr:to>
    <xdr:sp macro="" textlink="">
      <xdr:nvSpPr>
        <xdr:cNvPr id="10" name="Rectangle: Rounded Corners 9">
          <a:extLst>
            <a:ext uri="{FF2B5EF4-FFF2-40B4-BE49-F238E27FC236}">
              <a16:creationId xmlns:a16="http://schemas.microsoft.com/office/drawing/2014/main" id="{1C38FD9E-F6B6-4F18-BBE0-450939899E2B}"/>
            </a:ext>
          </a:extLst>
        </xdr:cNvPr>
        <xdr:cNvSpPr/>
      </xdr:nvSpPr>
      <xdr:spPr>
        <a:xfrm>
          <a:off x="12240403" y="2556950"/>
          <a:ext cx="2534057" cy="1889081"/>
        </a:xfrm>
        <a:prstGeom prst="roundRect">
          <a:avLst>
            <a:gd name="adj" fmla="val 8916"/>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441592</xdr:colOff>
      <xdr:row>7</xdr:row>
      <xdr:rowOff>18443</xdr:rowOff>
    </xdr:from>
    <xdr:to>
      <xdr:col>18</xdr:col>
      <xdr:colOff>462091</xdr:colOff>
      <xdr:row>11</xdr:row>
      <xdr:rowOff>15874</xdr:rowOff>
    </xdr:to>
    <xdr:sp macro="" textlink="">
      <xdr:nvSpPr>
        <xdr:cNvPr id="14" name="TextBox 13">
          <a:extLst>
            <a:ext uri="{FF2B5EF4-FFF2-40B4-BE49-F238E27FC236}">
              <a16:creationId xmlns:a16="http://schemas.microsoft.com/office/drawing/2014/main" id="{37210881-DC7F-3395-84C6-40CB83EFD8A1}"/>
            </a:ext>
          </a:extLst>
        </xdr:cNvPr>
        <xdr:cNvSpPr txBox="1"/>
      </xdr:nvSpPr>
      <xdr:spPr>
        <a:xfrm>
          <a:off x="4061092" y="1351943"/>
          <a:ext cx="7259499" cy="759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a:solidFill>
                <a:schemeClr val="bg1"/>
              </a:solidFill>
            </a:rPr>
            <a:t>TECHNOLOGY SALES OVERVIEW</a:t>
          </a:r>
        </a:p>
      </xdr:txBody>
    </xdr:sp>
    <xdr:clientData/>
  </xdr:twoCellAnchor>
  <xdr:twoCellAnchor>
    <xdr:from>
      <xdr:col>11</xdr:col>
      <xdr:colOff>295030</xdr:colOff>
      <xdr:row>13</xdr:row>
      <xdr:rowOff>84423</xdr:rowOff>
    </xdr:from>
    <xdr:to>
      <xdr:col>14</xdr:col>
      <xdr:colOff>513861</xdr:colOff>
      <xdr:row>17</xdr:row>
      <xdr:rowOff>190134</xdr:rowOff>
    </xdr:to>
    <xdr:sp macro="" textlink="">
      <xdr:nvSpPr>
        <xdr:cNvPr id="21" name="TextBox 20">
          <a:extLst>
            <a:ext uri="{FF2B5EF4-FFF2-40B4-BE49-F238E27FC236}">
              <a16:creationId xmlns:a16="http://schemas.microsoft.com/office/drawing/2014/main" id="{DA8D256E-D434-BD9C-7828-45669C45B358}"/>
            </a:ext>
          </a:extLst>
        </xdr:cNvPr>
        <xdr:cNvSpPr txBox="1"/>
      </xdr:nvSpPr>
      <xdr:spPr>
        <a:xfrm>
          <a:off x="6930780" y="2560923"/>
          <a:ext cx="2028581" cy="86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rgbClr val="7F7F7F"/>
              </a:solidFill>
              <a:latin typeface="+mn-lt"/>
              <a:ea typeface="+mn-ea"/>
              <a:cs typeface="+mn-cs"/>
            </a:rPr>
            <a:t>Total Profit</a:t>
          </a:r>
        </a:p>
      </xdr:txBody>
    </xdr:sp>
    <xdr:clientData/>
  </xdr:twoCellAnchor>
  <xdr:twoCellAnchor>
    <xdr:from>
      <xdr:col>11</xdr:col>
      <xdr:colOff>190500</xdr:colOff>
      <xdr:row>16</xdr:row>
      <xdr:rowOff>45086</xdr:rowOff>
    </xdr:from>
    <xdr:to>
      <xdr:col>15</xdr:col>
      <xdr:colOff>267792</xdr:colOff>
      <xdr:row>20</xdr:row>
      <xdr:rowOff>71915</xdr:rowOff>
    </xdr:to>
    <xdr:sp macro="" textlink="totalprofit">
      <xdr:nvSpPr>
        <xdr:cNvPr id="22" name="TextBox 21">
          <a:extLst>
            <a:ext uri="{FF2B5EF4-FFF2-40B4-BE49-F238E27FC236}">
              <a16:creationId xmlns:a16="http://schemas.microsoft.com/office/drawing/2014/main" id="{9A00930A-2515-36BA-E250-21955B056241}"/>
            </a:ext>
          </a:extLst>
        </xdr:cNvPr>
        <xdr:cNvSpPr txBox="1"/>
      </xdr:nvSpPr>
      <xdr:spPr>
        <a:xfrm>
          <a:off x="6826250" y="3093086"/>
          <a:ext cx="2490292" cy="788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C7ADC8-C4C9-4B38-9A14-2A64529840C0}" type="TxLink">
            <a:rPr lang="en-US" sz="5000" b="1" i="0" u="none" strike="noStrike">
              <a:solidFill>
                <a:srgbClr val="385F7C"/>
              </a:solidFill>
              <a:latin typeface="Aptos Narrow"/>
              <a:ea typeface="+mn-ea"/>
              <a:cs typeface="+mn-cs"/>
            </a:rPr>
            <a:pPr marL="0" indent="0"/>
            <a:t>$145.5K</a:t>
          </a:fld>
          <a:endParaRPr lang="en-US" sz="5000" b="1" i="0" u="none" strike="noStrike">
            <a:solidFill>
              <a:srgbClr val="385F7C"/>
            </a:solidFill>
            <a:latin typeface="Aptos Narrow"/>
            <a:ea typeface="+mn-ea"/>
            <a:cs typeface="+mn-cs"/>
          </a:endParaRPr>
        </a:p>
      </xdr:txBody>
    </xdr:sp>
    <xdr:clientData/>
  </xdr:twoCellAnchor>
  <xdr:twoCellAnchor>
    <xdr:from>
      <xdr:col>15</xdr:col>
      <xdr:colOff>454198</xdr:colOff>
      <xdr:row>13</xdr:row>
      <xdr:rowOff>84423</xdr:rowOff>
    </xdr:from>
    <xdr:to>
      <xdr:col>19</xdr:col>
      <xdr:colOff>603249</xdr:colOff>
      <xdr:row>17</xdr:row>
      <xdr:rowOff>190134</xdr:rowOff>
    </xdr:to>
    <xdr:sp macro="" textlink="">
      <xdr:nvSpPr>
        <xdr:cNvPr id="23" name="TextBox 22">
          <a:extLst>
            <a:ext uri="{FF2B5EF4-FFF2-40B4-BE49-F238E27FC236}">
              <a16:creationId xmlns:a16="http://schemas.microsoft.com/office/drawing/2014/main" id="{E19DCF17-6A44-3C11-45C9-956DD7C75005}"/>
            </a:ext>
          </a:extLst>
        </xdr:cNvPr>
        <xdr:cNvSpPr txBox="1"/>
      </xdr:nvSpPr>
      <xdr:spPr>
        <a:xfrm>
          <a:off x="9502948" y="2560923"/>
          <a:ext cx="2562051" cy="86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rgbClr val="7F7F7F"/>
              </a:solidFill>
              <a:latin typeface="+mn-lt"/>
              <a:ea typeface="+mn-ea"/>
              <a:cs typeface="+mn-cs"/>
            </a:rPr>
            <a:t>Total Quantity</a:t>
          </a:r>
        </a:p>
      </xdr:txBody>
    </xdr:sp>
    <xdr:clientData/>
  </xdr:twoCellAnchor>
  <xdr:twoCellAnchor>
    <xdr:from>
      <xdr:col>16</xdr:col>
      <xdr:colOff>543902</xdr:colOff>
      <xdr:row>16</xdr:row>
      <xdr:rowOff>45086</xdr:rowOff>
    </xdr:from>
    <xdr:to>
      <xdr:col>19</xdr:col>
      <xdr:colOff>239101</xdr:colOff>
      <xdr:row>20</xdr:row>
      <xdr:rowOff>71915</xdr:rowOff>
    </xdr:to>
    <xdr:sp macro="" textlink="totalquantity">
      <xdr:nvSpPr>
        <xdr:cNvPr id="24" name="TextBox 23">
          <a:extLst>
            <a:ext uri="{FF2B5EF4-FFF2-40B4-BE49-F238E27FC236}">
              <a16:creationId xmlns:a16="http://schemas.microsoft.com/office/drawing/2014/main" id="{2E1EB47F-F8EF-3EAF-CBBF-C12E025FE1F9}"/>
            </a:ext>
          </a:extLst>
        </xdr:cNvPr>
        <xdr:cNvSpPr txBox="1"/>
      </xdr:nvSpPr>
      <xdr:spPr>
        <a:xfrm>
          <a:off x="10195902" y="3093086"/>
          <a:ext cx="1504949" cy="788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7AC26B-63AC-478A-96EC-FD71A1D42DE5}" type="TxLink">
            <a:rPr lang="en-US" sz="5400" b="1" i="0" u="none" strike="noStrike">
              <a:solidFill>
                <a:srgbClr val="385F7C"/>
              </a:solidFill>
              <a:latin typeface="Aptos Narrow"/>
              <a:ea typeface="+mn-ea"/>
              <a:cs typeface="+mn-cs"/>
            </a:rPr>
            <a:pPr marL="0" indent="0"/>
            <a:t>6939</a:t>
          </a:fld>
          <a:endParaRPr lang="en-US" sz="5400" b="1" i="0" u="none" strike="noStrike">
            <a:solidFill>
              <a:srgbClr val="385F7C"/>
            </a:solidFill>
            <a:latin typeface="Aptos Narrow"/>
            <a:ea typeface="+mn-ea"/>
            <a:cs typeface="+mn-cs"/>
          </a:endParaRPr>
        </a:p>
      </xdr:txBody>
    </xdr:sp>
    <xdr:clientData/>
  </xdr:twoCellAnchor>
  <xdr:twoCellAnchor>
    <xdr:from>
      <xdr:col>20</xdr:col>
      <xdr:colOff>362236</xdr:colOff>
      <xdr:row>13</xdr:row>
      <xdr:rowOff>84423</xdr:rowOff>
    </xdr:from>
    <xdr:to>
      <xdr:col>24</xdr:col>
      <xdr:colOff>349250</xdr:colOff>
      <xdr:row>17</xdr:row>
      <xdr:rowOff>190134</xdr:rowOff>
    </xdr:to>
    <xdr:sp macro="" textlink="">
      <xdr:nvSpPr>
        <xdr:cNvPr id="25" name="TextBox 24">
          <a:extLst>
            <a:ext uri="{FF2B5EF4-FFF2-40B4-BE49-F238E27FC236}">
              <a16:creationId xmlns:a16="http://schemas.microsoft.com/office/drawing/2014/main" id="{A75A0FBB-1479-CC69-5616-47E3E4C23A27}"/>
            </a:ext>
          </a:extLst>
        </xdr:cNvPr>
        <xdr:cNvSpPr txBox="1"/>
      </xdr:nvSpPr>
      <xdr:spPr>
        <a:xfrm>
          <a:off x="12427236" y="2560923"/>
          <a:ext cx="2400014" cy="86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7F7F7F"/>
              </a:solidFill>
              <a:latin typeface="+mn-lt"/>
              <a:ea typeface="+mn-ea"/>
              <a:cs typeface="+mn-cs"/>
            </a:rPr>
            <a:t>Profit</a:t>
          </a:r>
          <a:r>
            <a:rPr lang="en-US" sz="3200" b="1" baseline="0">
              <a:solidFill>
                <a:srgbClr val="B2B2B2"/>
              </a:solidFill>
            </a:rPr>
            <a:t> </a:t>
          </a:r>
          <a:r>
            <a:rPr lang="en-US" sz="3200" b="1">
              <a:solidFill>
                <a:srgbClr val="7F7F7F"/>
              </a:solidFill>
              <a:latin typeface="+mn-lt"/>
              <a:ea typeface="+mn-ea"/>
              <a:cs typeface="+mn-cs"/>
            </a:rPr>
            <a:t>Margin</a:t>
          </a:r>
        </a:p>
      </xdr:txBody>
    </xdr:sp>
    <xdr:clientData/>
  </xdr:twoCellAnchor>
  <xdr:twoCellAnchor>
    <xdr:from>
      <xdr:col>21</xdr:col>
      <xdr:colOff>241243</xdr:colOff>
      <xdr:row>16</xdr:row>
      <xdr:rowOff>45086</xdr:rowOff>
    </xdr:from>
    <xdr:to>
      <xdr:col>23</xdr:col>
      <xdr:colOff>537779</xdr:colOff>
      <xdr:row>20</xdr:row>
      <xdr:rowOff>71915</xdr:rowOff>
    </xdr:to>
    <xdr:sp macro="" textlink="totalprofitmargin">
      <xdr:nvSpPr>
        <xdr:cNvPr id="26" name="TextBox 25">
          <a:extLst>
            <a:ext uri="{FF2B5EF4-FFF2-40B4-BE49-F238E27FC236}">
              <a16:creationId xmlns:a16="http://schemas.microsoft.com/office/drawing/2014/main" id="{56CE30BD-5B4A-101B-7B77-C8912BFC5F1D}"/>
            </a:ext>
          </a:extLst>
        </xdr:cNvPr>
        <xdr:cNvSpPr txBox="1"/>
      </xdr:nvSpPr>
      <xdr:spPr>
        <a:xfrm>
          <a:off x="12909493" y="3093086"/>
          <a:ext cx="1503036" cy="788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D99FF0-1CBA-4AF2-A92A-B263CF3C8055}" type="TxLink">
            <a:rPr lang="en-US" sz="5400" b="1" i="0" u="none" strike="noStrike">
              <a:solidFill>
                <a:srgbClr val="385F7C"/>
              </a:solidFill>
              <a:latin typeface="Aptos Narrow"/>
              <a:ea typeface="+mn-ea"/>
              <a:cs typeface="+mn-cs"/>
            </a:rPr>
            <a:pPr marL="0" indent="0"/>
            <a:t>17%</a:t>
          </a:fld>
          <a:endParaRPr lang="en-US" sz="5400" b="1" i="0" u="none" strike="noStrike">
            <a:solidFill>
              <a:srgbClr val="385F7C"/>
            </a:solidFill>
            <a:latin typeface="Aptos Narrow"/>
            <a:ea typeface="+mn-ea"/>
            <a:cs typeface="+mn-cs"/>
          </a:endParaRPr>
        </a:p>
      </xdr:txBody>
    </xdr:sp>
    <xdr:clientData/>
  </xdr:twoCellAnchor>
  <xdr:twoCellAnchor>
    <xdr:from>
      <xdr:col>11</xdr:col>
      <xdr:colOff>279155</xdr:colOff>
      <xdr:row>20</xdr:row>
      <xdr:rowOff>165588</xdr:rowOff>
    </xdr:from>
    <xdr:to>
      <xdr:col>15</xdr:col>
      <xdr:colOff>152332</xdr:colOff>
      <xdr:row>24</xdr:row>
      <xdr:rowOff>27256</xdr:rowOff>
    </xdr:to>
    <xdr:sp macro="" textlink="profityoy">
      <xdr:nvSpPr>
        <xdr:cNvPr id="27" name="TextBox 26">
          <a:extLst>
            <a:ext uri="{FF2B5EF4-FFF2-40B4-BE49-F238E27FC236}">
              <a16:creationId xmlns:a16="http://schemas.microsoft.com/office/drawing/2014/main" id="{9F69F72B-99BF-4F19-7A2E-1463C8FD0EB2}"/>
            </a:ext>
          </a:extLst>
        </xdr:cNvPr>
        <xdr:cNvSpPr txBox="1"/>
      </xdr:nvSpPr>
      <xdr:spPr>
        <a:xfrm>
          <a:off x="6914905" y="3975588"/>
          <a:ext cx="2286177" cy="62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3E3F380-EBCD-4DC3-99CA-E7B052BA8785}" type="TxLink">
            <a:rPr lang="en-US" sz="3000" b="0" i="0" u="none" strike="noStrike">
              <a:solidFill>
                <a:schemeClr val="accent3">
                  <a:lumMod val="60000"/>
                  <a:lumOff val="40000"/>
                </a:schemeClr>
              </a:solidFill>
              <a:latin typeface="Aptos Narrow"/>
              <a:ea typeface="+mn-ea"/>
              <a:cs typeface="+mn-cs"/>
            </a:rPr>
            <a:pPr marL="0" indent="0"/>
            <a:t>▲27.4% YoY</a:t>
          </a:fld>
          <a:endParaRPr lang="en-US" sz="3000" b="0" i="0" u="none" strike="noStrike">
            <a:solidFill>
              <a:schemeClr val="accent3">
                <a:lumMod val="60000"/>
                <a:lumOff val="40000"/>
              </a:schemeClr>
            </a:solidFill>
            <a:latin typeface="Aptos Narrow"/>
            <a:ea typeface="+mn-ea"/>
            <a:cs typeface="+mn-cs"/>
          </a:endParaRPr>
        </a:p>
      </xdr:txBody>
    </xdr:sp>
    <xdr:clientData/>
  </xdr:twoCellAnchor>
  <xdr:twoCellAnchor>
    <xdr:from>
      <xdr:col>16</xdr:col>
      <xdr:colOff>37827</xdr:colOff>
      <xdr:row>20</xdr:row>
      <xdr:rowOff>165588</xdr:rowOff>
    </xdr:from>
    <xdr:to>
      <xdr:col>19</xdr:col>
      <xdr:colOff>514254</xdr:colOff>
      <xdr:row>24</xdr:row>
      <xdr:rowOff>27256</xdr:rowOff>
    </xdr:to>
    <xdr:sp macro="" textlink="quantityyoy">
      <xdr:nvSpPr>
        <xdr:cNvPr id="28" name="TextBox 27">
          <a:extLst>
            <a:ext uri="{FF2B5EF4-FFF2-40B4-BE49-F238E27FC236}">
              <a16:creationId xmlns:a16="http://schemas.microsoft.com/office/drawing/2014/main" id="{9A379DB4-B48F-9D9F-5E68-E49D43038830}"/>
            </a:ext>
          </a:extLst>
        </xdr:cNvPr>
        <xdr:cNvSpPr txBox="1"/>
      </xdr:nvSpPr>
      <xdr:spPr>
        <a:xfrm>
          <a:off x="9689827" y="3975588"/>
          <a:ext cx="2286177" cy="62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BBA6B7-2CF4-4504-8868-5D0ECC077A5E}" type="TxLink">
            <a:rPr lang="en-US" sz="3000" b="0" i="0" u="none" strike="noStrike">
              <a:solidFill>
                <a:schemeClr val="accent3">
                  <a:lumMod val="60000"/>
                  <a:lumOff val="40000"/>
                </a:schemeClr>
              </a:solidFill>
              <a:latin typeface="Aptos Narrow"/>
              <a:ea typeface="+mn-ea"/>
              <a:cs typeface="+mn-cs"/>
            </a:rPr>
            <a:pPr marL="0" indent="0"/>
            <a:t>▲39.2% YoY</a:t>
          </a:fld>
          <a:endParaRPr lang="en-US" sz="3000" b="0" i="0" u="none" strike="noStrike">
            <a:solidFill>
              <a:schemeClr val="accent3">
                <a:lumMod val="60000"/>
                <a:lumOff val="40000"/>
              </a:schemeClr>
            </a:solidFill>
            <a:latin typeface="Aptos Narrow"/>
            <a:ea typeface="+mn-ea"/>
            <a:cs typeface="+mn-cs"/>
          </a:endParaRPr>
        </a:p>
      </xdr:txBody>
    </xdr:sp>
    <xdr:clientData/>
  </xdr:twoCellAnchor>
  <xdr:twoCellAnchor>
    <xdr:from>
      <xdr:col>20</xdr:col>
      <xdr:colOff>448816</xdr:colOff>
      <xdr:row>20</xdr:row>
      <xdr:rowOff>165588</xdr:rowOff>
    </xdr:from>
    <xdr:to>
      <xdr:col>24</xdr:col>
      <xdr:colOff>307814</xdr:colOff>
      <xdr:row>24</xdr:row>
      <xdr:rowOff>27256</xdr:rowOff>
    </xdr:to>
    <xdr:sp macro="" textlink="marginyoy">
      <xdr:nvSpPr>
        <xdr:cNvPr id="29" name="TextBox 28">
          <a:extLst>
            <a:ext uri="{FF2B5EF4-FFF2-40B4-BE49-F238E27FC236}">
              <a16:creationId xmlns:a16="http://schemas.microsoft.com/office/drawing/2014/main" id="{858BE4C0-7746-5BB2-63E2-FB7196325C5F}"/>
            </a:ext>
          </a:extLst>
        </xdr:cNvPr>
        <xdr:cNvSpPr txBox="1"/>
      </xdr:nvSpPr>
      <xdr:spPr>
        <a:xfrm>
          <a:off x="12513816" y="3975588"/>
          <a:ext cx="2271998" cy="62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FD40F2F-C2C6-4A16-9BF8-8E4A692D343C}" type="TxLink">
            <a:rPr lang="en-US" sz="3000" b="0" i="0" u="none" strike="noStrike">
              <a:solidFill>
                <a:schemeClr val="accent3">
                  <a:lumMod val="60000"/>
                  <a:lumOff val="40000"/>
                </a:schemeClr>
              </a:solidFill>
              <a:latin typeface="Aptos Narrow"/>
              <a:ea typeface="+mn-ea"/>
              <a:cs typeface="+mn-cs"/>
            </a:rPr>
            <a:pPr marL="0" indent="0"/>
            <a:t>▲6.2% YoY</a:t>
          </a:fld>
          <a:endParaRPr lang="en-US" sz="3000" b="0" i="0" u="none" strike="noStrike">
            <a:solidFill>
              <a:schemeClr val="accent3">
                <a:lumMod val="60000"/>
                <a:lumOff val="40000"/>
              </a:schemeClr>
            </a:solidFill>
            <a:latin typeface="Aptos Narrow"/>
            <a:ea typeface="+mn-ea"/>
            <a:cs typeface="+mn-cs"/>
          </a:endParaRPr>
        </a:p>
      </xdr:txBody>
    </xdr:sp>
    <xdr:clientData/>
  </xdr:twoCellAnchor>
  <xdr:twoCellAnchor>
    <xdr:from>
      <xdr:col>6</xdr:col>
      <xdr:colOff>459992</xdr:colOff>
      <xdr:row>10</xdr:row>
      <xdr:rowOff>131795</xdr:rowOff>
    </xdr:from>
    <xdr:to>
      <xdr:col>22</xdr:col>
      <xdr:colOff>249403</xdr:colOff>
      <xdr:row>14</xdr:row>
      <xdr:rowOff>27358</xdr:rowOff>
    </xdr:to>
    <xdr:sp macro="" textlink="">
      <xdr:nvSpPr>
        <xdr:cNvPr id="31" name="TextBox 30">
          <a:extLst>
            <a:ext uri="{FF2B5EF4-FFF2-40B4-BE49-F238E27FC236}">
              <a16:creationId xmlns:a16="http://schemas.microsoft.com/office/drawing/2014/main" id="{843A0AA5-9C5B-4536-848A-2C931FD9A015}"/>
            </a:ext>
          </a:extLst>
        </xdr:cNvPr>
        <xdr:cNvSpPr txBox="1"/>
      </xdr:nvSpPr>
      <xdr:spPr>
        <a:xfrm>
          <a:off x="4079492" y="2036795"/>
          <a:ext cx="9441411" cy="657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a:solidFill>
                <a:schemeClr val="tx2">
                  <a:lumMod val="50000"/>
                  <a:lumOff val="50000"/>
                </a:schemeClr>
              </a:solidFill>
              <a:latin typeface="+mn-lt"/>
              <a:ea typeface="+mn-ea"/>
              <a:cs typeface="+mn-cs"/>
            </a:rPr>
            <a:t>A view of Sales performance, shipping trends and regional distribution across the U.S.</a:t>
          </a:r>
        </a:p>
      </xdr:txBody>
    </xdr:sp>
    <xdr:clientData/>
  </xdr:twoCellAnchor>
  <xdr:twoCellAnchor>
    <xdr:from>
      <xdr:col>6</xdr:col>
      <xdr:colOff>326287</xdr:colOff>
      <xdr:row>13</xdr:row>
      <xdr:rowOff>107566</xdr:rowOff>
    </xdr:from>
    <xdr:to>
      <xdr:col>10</xdr:col>
      <xdr:colOff>442881</xdr:colOff>
      <xdr:row>23</xdr:row>
      <xdr:rowOff>91647</xdr:rowOff>
    </xdr:to>
    <xdr:sp macro="" textlink="">
      <xdr:nvSpPr>
        <xdr:cNvPr id="33" name="Rectangle: Rounded Corners 32">
          <a:extLst>
            <a:ext uri="{FF2B5EF4-FFF2-40B4-BE49-F238E27FC236}">
              <a16:creationId xmlns:a16="http://schemas.microsoft.com/office/drawing/2014/main" id="{B770D1A3-C44E-D9F2-A0E3-675089B99999}"/>
            </a:ext>
          </a:extLst>
        </xdr:cNvPr>
        <xdr:cNvSpPr/>
      </xdr:nvSpPr>
      <xdr:spPr>
        <a:xfrm>
          <a:off x="3945787" y="2584066"/>
          <a:ext cx="2529594" cy="1889081"/>
        </a:xfrm>
        <a:prstGeom prst="roundRect">
          <a:avLst>
            <a:gd name="adj" fmla="val 8055"/>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556555</xdr:colOff>
      <xdr:row>13</xdr:row>
      <xdr:rowOff>84423</xdr:rowOff>
    </xdr:from>
    <xdr:to>
      <xdr:col>10</xdr:col>
      <xdr:colOff>184403</xdr:colOff>
      <xdr:row>17</xdr:row>
      <xdr:rowOff>190134</xdr:rowOff>
    </xdr:to>
    <xdr:sp macro="" textlink="">
      <xdr:nvSpPr>
        <xdr:cNvPr id="15" name="TextBox 14">
          <a:extLst>
            <a:ext uri="{FF2B5EF4-FFF2-40B4-BE49-F238E27FC236}">
              <a16:creationId xmlns:a16="http://schemas.microsoft.com/office/drawing/2014/main" id="{730F4F55-2904-C719-D971-644B421083E3}"/>
            </a:ext>
          </a:extLst>
        </xdr:cNvPr>
        <xdr:cNvSpPr txBox="1"/>
      </xdr:nvSpPr>
      <xdr:spPr>
        <a:xfrm>
          <a:off x="4176055" y="2560923"/>
          <a:ext cx="2040848" cy="86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7F7F7F"/>
              </a:solidFill>
            </a:rPr>
            <a:t>Total Sales</a:t>
          </a:r>
        </a:p>
      </xdr:txBody>
    </xdr:sp>
    <xdr:clientData/>
  </xdr:twoCellAnchor>
  <xdr:twoCellAnchor>
    <xdr:from>
      <xdr:col>6</xdr:col>
      <xdr:colOff>428625</xdr:colOff>
      <xdr:row>16</xdr:row>
      <xdr:rowOff>45086</xdr:rowOff>
    </xdr:from>
    <xdr:to>
      <xdr:col>10</xdr:col>
      <xdr:colOff>365125</xdr:colOff>
      <xdr:row>20</xdr:row>
      <xdr:rowOff>71915</xdr:rowOff>
    </xdr:to>
    <xdr:sp macro="" textlink="totalsales">
      <xdr:nvSpPr>
        <xdr:cNvPr id="18" name="TextBox 17">
          <a:extLst>
            <a:ext uri="{FF2B5EF4-FFF2-40B4-BE49-F238E27FC236}">
              <a16:creationId xmlns:a16="http://schemas.microsoft.com/office/drawing/2014/main" id="{4248B83A-DD50-0527-EFA4-B9771070E9CB}"/>
            </a:ext>
          </a:extLst>
        </xdr:cNvPr>
        <xdr:cNvSpPr txBox="1"/>
      </xdr:nvSpPr>
      <xdr:spPr>
        <a:xfrm>
          <a:off x="4048125" y="3093086"/>
          <a:ext cx="2349500" cy="788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F9F1B-469F-480A-B232-5FF1F785C18C}" type="TxLink">
            <a:rPr lang="en-US" sz="5000" b="1" i="0" u="none" strike="noStrike">
              <a:solidFill>
                <a:srgbClr val="385F7C"/>
              </a:solidFill>
              <a:latin typeface="Aptos Narrow"/>
            </a:rPr>
            <a:pPr/>
            <a:t>$836.2K</a:t>
          </a:fld>
          <a:endParaRPr lang="en-US" sz="5000" b="1">
            <a:solidFill>
              <a:srgbClr val="385F7C"/>
            </a:solidFill>
          </a:endParaRPr>
        </a:p>
      </xdr:txBody>
    </xdr:sp>
    <xdr:clientData/>
  </xdr:twoCellAnchor>
  <xdr:twoCellAnchor>
    <xdr:from>
      <xdr:col>6</xdr:col>
      <xdr:colOff>495950</xdr:colOff>
      <xdr:row>20</xdr:row>
      <xdr:rowOff>165588</xdr:rowOff>
    </xdr:from>
    <xdr:to>
      <xdr:col>10</xdr:col>
      <xdr:colOff>369127</xdr:colOff>
      <xdr:row>24</xdr:row>
      <xdr:rowOff>27256</xdr:rowOff>
    </xdr:to>
    <xdr:sp macro="" textlink="salesyoy">
      <xdr:nvSpPr>
        <xdr:cNvPr id="20" name="TextBox 19">
          <a:extLst>
            <a:ext uri="{FF2B5EF4-FFF2-40B4-BE49-F238E27FC236}">
              <a16:creationId xmlns:a16="http://schemas.microsoft.com/office/drawing/2014/main" id="{E1D0D950-42A1-A06D-E4B7-C5A870A71C86}"/>
            </a:ext>
          </a:extLst>
        </xdr:cNvPr>
        <xdr:cNvSpPr txBox="1"/>
      </xdr:nvSpPr>
      <xdr:spPr>
        <a:xfrm>
          <a:off x="4115450" y="3975588"/>
          <a:ext cx="2286177" cy="62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9B7B79-5CC3-4CF3-9C18-107F2E63374D}" type="TxLink">
            <a:rPr lang="en-US" sz="3000" b="0" i="0" u="none" strike="noStrike">
              <a:solidFill>
                <a:schemeClr val="accent3">
                  <a:lumMod val="60000"/>
                  <a:lumOff val="40000"/>
                </a:schemeClr>
              </a:solidFill>
              <a:latin typeface="Aptos Narrow"/>
              <a:ea typeface="+mn-ea"/>
              <a:cs typeface="+mn-cs"/>
            </a:rPr>
            <a:pPr marL="0" indent="0"/>
            <a:t>▲20.0% YoY</a:t>
          </a:fld>
          <a:endParaRPr lang="en-US" sz="3000" b="0" i="0" u="none" strike="noStrike">
            <a:solidFill>
              <a:schemeClr val="accent3">
                <a:lumMod val="60000"/>
                <a:lumOff val="40000"/>
              </a:schemeClr>
            </a:solidFill>
            <a:latin typeface="Aptos Narrow"/>
            <a:ea typeface="+mn-ea"/>
            <a:cs typeface="+mn-cs"/>
          </a:endParaRPr>
        </a:p>
      </xdr:txBody>
    </xdr:sp>
    <xdr:clientData/>
  </xdr:twoCellAnchor>
  <xdr:twoCellAnchor>
    <xdr:from>
      <xdr:col>24</xdr:col>
      <xdr:colOff>520586</xdr:colOff>
      <xdr:row>13</xdr:row>
      <xdr:rowOff>107566</xdr:rowOff>
    </xdr:from>
    <xdr:to>
      <xdr:col>29</xdr:col>
      <xdr:colOff>38393</xdr:colOff>
      <xdr:row>23</xdr:row>
      <xdr:rowOff>91647</xdr:rowOff>
    </xdr:to>
    <xdr:sp macro="" textlink="">
      <xdr:nvSpPr>
        <xdr:cNvPr id="34" name="Rectangle: Rounded Corners 33">
          <a:extLst>
            <a:ext uri="{FF2B5EF4-FFF2-40B4-BE49-F238E27FC236}">
              <a16:creationId xmlns:a16="http://schemas.microsoft.com/office/drawing/2014/main" id="{A4A4571F-3E91-9DEA-944B-E7419E307E61}"/>
            </a:ext>
          </a:extLst>
        </xdr:cNvPr>
        <xdr:cNvSpPr/>
      </xdr:nvSpPr>
      <xdr:spPr>
        <a:xfrm>
          <a:off x="14998586" y="2584066"/>
          <a:ext cx="2534057" cy="1889081"/>
        </a:xfrm>
        <a:prstGeom prst="roundRect">
          <a:avLst>
            <a:gd name="adj" fmla="val 805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51633</xdr:colOff>
      <xdr:row>13</xdr:row>
      <xdr:rowOff>84423</xdr:rowOff>
    </xdr:from>
    <xdr:to>
      <xdr:col>29</xdr:col>
      <xdr:colOff>317500</xdr:colOff>
      <xdr:row>17</xdr:row>
      <xdr:rowOff>190134</xdr:rowOff>
    </xdr:to>
    <xdr:sp macro="" textlink="">
      <xdr:nvSpPr>
        <xdr:cNvPr id="35" name="TextBox 34">
          <a:extLst>
            <a:ext uri="{FF2B5EF4-FFF2-40B4-BE49-F238E27FC236}">
              <a16:creationId xmlns:a16="http://schemas.microsoft.com/office/drawing/2014/main" id="{4407BCE5-DCF3-EC33-DEB3-240C67026DB4}"/>
            </a:ext>
          </a:extLst>
        </xdr:cNvPr>
        <xdr:cNvSpPr txBox="1"/>
      </xdr:nvSpPr>
      <xdr:spPr>
        <a:xfrm>
          <a:off x="15132883" y="2560923"/>
          <a:ext cx="2678867" cy="86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7F7F7F"/>
              </a:solidFill>
              <a:latin typeface="+mn-lt"/>
              <a:ea typeface="+mn-ea"/>
              <a:cs typeface="+mn-cs"/>
            </a:rPr>
            <a:t>Total</a:t>
          </a:r>
          <a:r>
            <a:rPr lang="en-US" sz="3200" b="1" baseline="0">
              <a:solidFill>
                <a:srgbClr val="B2B2B2"/>
              </a:solidFill>
            </a:rPr>
            <a:t> </a:t>
          </a:r>
          <a:r>
            <a:rPr lang="en-US" sz="3200" b="1">
              <a:solidFill>
                <a:srgbClr val="7F7F7F"/>
              </a:solidFill>
              <a:latin typeface="+mn-lt"/>
              <a:ea typeface="+mn-ea"/>
              <a:cs typeface="+mn-cs"/>
            </a:rPr>
            <a:t>Orders</a:t>
          </a:r>
        </a:p>
      </xdr:txBody>
    </xdr:sp>
    <xdr:clientData/>
  </xdr:twoCellAnchor>
  <xdr:twoCellAnchor>
    <xdr:from>
      <xdr:col>25</xdr:col>
      <xdr:colOff>578631</xdr:colOff>
      <xdr:row>16</xdr:row>
      <xdr:rowOff>45086</xdr:rowOff>
    </xdr:from>
    <xdr:to>
      <xdr:col>28</xdr:col>
      <xdr:colOff>271917</xdr:colOff>
      <xdr:row>20</xdr:row>
      <xdr:rowOff>71915</xdr:rowOff>
    </xdr:to>
    <xdr:sp macro="" textlink="totalorders">
      <xdr:nvSpPr>
        <xdr:cNvPr id="36" name="TextBox 35">
          <a:extLst>
            <a:ext uri="{FF2B5EF4-FFF2-40B4-BE49-F238E27FC236}">
              <a16:creationId xmlns:a16="http://schemas.microsoft.com/office/drawing/2014/main" id="{3EDA8976-5FC8-EE7F-C6FD-26C27EB0EC74}"/>
            </a:ext>
          </a:extLst>
        </xdr:cNvPr>
        <xdr:cNvSpPr txBox="1"/>
      </xdr:nvSpPr>
      <xdr:spPr>
        <a:xfrm>
          <a:off x="15659881" y="3093086"/>
          <a:ext cx="1503036" cy="788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645C81-21A2-4F92-BC27-103658885803}" type="TxLink">
            <a:rPr lang="en-US" sz="5400" b="1" i="0" u="none" strike="noStrike">
              <a:solidFill>
                <a:srgbClr val="385F7C"/>
              </a:solidFill>
              <a:latin typeface="Aptos Narrow"/>
              <a:ea typeface="+mn-ea"/>
              <a:cs typeface="+mn-cs"/>
            </a:rPr>
            <a:pPr marL="0" indent="0"/>
            <a:t>1847</a:t>
          </a:fld>
          <a:endParaRPr lang="en-US" sz="5400" b="1" i="0" u="none" strike="noStrike">
            <a:solidFill>
              <a:srgbClr val="385F7C"/>
            </a:solidFill>
            <a:latin typeface="Aptos Narrow"/>
            <a:ea typeface="+mn-ea"/>
            <a:cs typeface="+mn-cs"/>
          </a:endParaRPr>
        </a:p>
      </xdr:txBody>
    </xdr:sp>
    <xdr:clientData/>
  </xdr:twoCellAnchor>
  <xdr:twoCellAnchor>
    <xdr:from>
      <xdr:col>25</xdr:col>
      <xdr:colOff>84823</xdr:colOff>
      <xdr:row>20</xdr:row>
      <xdr:rowOff>165588</xdr:rowOff>
    </xdr:from>
    <xdr:to>
      <xdr:col>28</xdr:col>
      <xdr:colOff>547071</xdr:colOff>
      <xdr:row>24</xdr:row>
      <xdr:rowOff>27256</xdr:rowOff>
    </xdr:to>
    <xdr:sp macro="" textlink="orderyoy">
      <xdr:nvSpPr>
        <xdr:cNvPr id="37" name="TextBox 36">
          <a:extLst>
            <a:ext uri="{FF2B5EF4-FFF2-40B4-BE49-F238E27FC236}">
              <a16:creationId xmlns:a16="http://schemas.microsoft.com/office/drawing/2014/main" id="{5ED45136-FA82-AC03-F004-41E37214FD7E}"/>
            </a:ext>
          </a:extLst>
        </xdr:cNvPr>
        <xdr:cNvSpPr txBox="1"/>
      </xdr:nvSpPr>
      <xdr:spPr>
        <a:xfrm>
          <a:off x="15166073" y="3975588"/>
          <a:ext cx="2271998" cy="62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21BBC8-C0D9-4B4E-AD24-619AF0D55B0F}" type="TxLink">
            <a:rPr lang="en-US" sz="3000" b="0" i="0" u="none" strike="noStrike">
              <a:solidFill>
                <a:schemeClr val="accent3">
                  <a:lumMod val="60000"/>
                  <a:lumOff val="40000"/>
                </a:schemeClr>
              </a:solidFill>
              <a:latin typeface="Aptos Narrow"/>
              <a:ea typeface="+mn-ea"/>
              <a:cs typeface="+mn-cs"/>
            </a:rPr>
            <a:pPr marL="0" indent="0"/>
            <a:t>▲35.9% YoY</a:t>
          </a:fld>
          <a:endParaRPr lang="en-US" sz="3000" b="0" i="0" u="none" strike="noStrike">
            <a:solidFill>
              <a:schemeClr val="accent3">
                <a:lumMod val="60000"/>
                <a:lumOff val="40000"/>
              </a:schemeClr>
            </a:solidFill>
            <a:latin typeface="Aptos Narrow"/>
            <a:ea typeface="+mn-ea"/>
            <a:cs typeface="+mn-cs"/>
          </a:endParaRPr>
        </a:p>
      </xdr:txBody>
    </xdr:sp>
    <xdr:clientData/>
  </xdr:twoCellAnchor>
  <xdr:twoCellAnchor>
    <xdr:from>
      <xdr:col>7</xdr:col>
      <xdr:colOff>22880</xdr:colOff>
      <xdr:row>26</xdr:row>
      <xdr:rowOff>179308</xdr:rowOff>
    </xdr:from>
    <xdr:to>
      <xdr:col>17</xdr:col>
      <xdr:colOff>161448</xdr:colOff>
      <xdr:row>44</xdr:row>
      <xdr:rowOff>31750</xdr:rowOff>
    </xdr:to>
    <xdr:graphicFrame macro="">
      <xdr:nvGraphicFramePr>
        <xdr:cNvPr id="39" name="Chart 38">
          <a:extLst>
            <a:ext uri="{FF2B5EF4-FFF2-40B4-BE49-F238E27FC236}">
              <a16:creationId xmlns:a16="http://schemas.microsoft.com/office/drawing/2014/main" id="{4C1D779F-7F6C-446C-B270-786A761F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106291</xdr:colOff>
      <xdr:row>24</xdr:row>
      <xdr:rowOff>34036</xdr:rowOff>
    </xdr:from>
    <xdr:to>
      <xdr:col>10</xdr:col>
      <xdr:colOff>325122</xdr:colOff>
      <xdr:row>26</xdr:row>
      <xdr:rowOff>141124</xdr:rowOff>
    </xdr:to>
    <xdr:sp macro="" textlink="">
      <xdr:nvSpPr>
        <xdr:cNvPr id="40" name="TextBox 39">
          <a:extLst>
            <a:ext uri="{FF2B5EF4-FFF2-40B4-BE49-F238E27FC236}">
              <a16:creationId xmlns:a16="http://schemas.microsoft.com/office/drawing/2014/main" id="{AFDBC641-8A12-DC1F-0A1D-0B0A5B614A9D}"/>
            </a:ext>
          </a:extLst>
        </xdr:cNvPr>
        <xdr:cNvSpPr txBox="1"/>
      </xdr:nvSpPr>
      <xdr:spPr>
        <a:xfrm>
          <a:off x="4329041" y="4606036"/>
          <a:ext cx="2028581" cy="488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385F7C"/>
              </a:solidFill>
            </a:rPr>
            <a:t>Sales Trend</a:t>
          </a:r>
        </a:p>
      </xdr:txBody>
    </xdr:sp>
    <xdr:clientData/>
  </xdr:twoCellAnchor>
  <xdr:twoCellAnchor>
    <xdr:from>
      <xdr:col>7</xdr:col>
      <xdr:colOff>100158</xdr:colOff>
      <xdr:row>25</xdr:row>
      <xdr:rowOff>127628</xdr:rowOff>
    </xdr:from>
    <xdr:to>
      <xdr:col>16</xdr:col>
      <xdr:colOff>0</xdr:colOff>
      <xdr:row>27</xdr:row>
      <xdr:rowOff>127000</xdr:rowOff>
    </xdr:to>
    <xdr:sp macro="" textlink="salestrend">
      <xdr:nvSpPr>
        <xdr:cNvPr id="41" name="TextBox 40">
          <a:extLst>
            <a:ext uri="{FF2B5EF4-FFF2-40B4-BE49-F238E27FC236}">
              <a16:creationId xmlns:a16="http://schemas.microsoft.com/office/drawing/2014/main" id="{A6FE5FE1-76D4-C393-F006-767130593B3B}"/>
            </a:ext>
          </a:extLst>
        </xdr:cNvPr>
        <xdr:cNvSpPr txBox="1"/>
      </xdr:nvSpPr>
      <xdr:spPr>
        <a:xfrm>
          <a:off x="4322908" y="4890128"/>
          <a:ext cx="5329092" cy="38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CD45A0-1DFB-42F4-AE2D-C065830E3D2D}" type="TxLink">
            <a:rPr lang="en-US" sz="2200" b="0" i="0" u="none" strike="noStrike">
              <a:solidFill>
                <a:srgbClr val="7F7F7F"/>
              </a:solidFill>
              <a:latin typeface="Aptos Narrow"/>
            </a:rPr>
            <a:pPr/>
            <a:t>Peak Sales Month: Nov with $131,135 in Sales</a:t>
          </a:fld>
          <a:endParaRPr lang="en-US" sz="2200" b="1">
            <a:solidFill>
              <a:srgbClr val="7F7F7F"/>
            </a:solidFill>
          </a:endParaRPr>
        </a:p>
      </xdr:txBody>
    </xdr:sp>
    <xdr:clientData/>
  </xdr:twoCellAnchor>
  <xdr:twoCellAnchor>
    <xdr:from>
      <xdr:col>17</xdr:col>
      <xdr:colOff>567598</xdr:colOff>
      <xdr:row>24</xdr:row>
      <xdr:rowOff>141</xdr:rowOff>
    </xdr:from>
    <xdr:to>
      <xdr:col>29</xdr:col>
      <xdr:colOff>19011</xdr:colOff>
      <xdr:row>44</xdr:row>
      <xdr:rowOff>100868</xdr:rowOff>
    </xdr:to>
    <xdr:sp macro="" textlink="">
      <xdr:nvSpPr>
        <xdr:cNvPr id="48" name="Rectangle: Rounded Corners 47">
          <a:extLst>
            <a:ext uri="{FF2B5EF4-FFF2-40B4-BE49-F238E27FC236}">
              <a16:creationId xmlns:a16="http://schemas.microsoft.com/office/drawing/2014/main" id="{80B1A460-1A96-1462-4871-231228FFC370}"/>
            </a:ext>
          </a:extLst>
        </xdr:cNvPr>
        <xdr:cNvSpPr/>
      </xdr:nvSpPr>
      <xdr:spPr>
        <a:xfrm>
          <a:off x="10822848" y="4572141"/>
          <a:ext cx="6690413" cy="3910727"/>
        </a:xfrm>
        <a:prstGeom prst="roundRect">
          <a:avLst>
            <a:gd name="adj" fmla="val 6150"/>
          </a:avLst>
        </a:prstGeom>
        <a:solidFill>
          <a:schemeClr val="bg1">
            <a:alpha val="63922"/>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567598</xdr:colOff>
      <xdr:row>45</xdr:row>
      <xdr:rowOff>27118</xdr:rowOff>
    </xdr:from>
    <xdr:to>
      <xdr:col>29</xdr:col>
      <xdr:colOff>19011</xdr:colOff>
      <xdr:row>65</xdr:row>
      <xdr:rowOff>127844</xdr:rowOff>
    </xdr:to>
    <xdr:sp macro="" textlink="">
      <xdr:nvSpPr>
        <xdr:cNvPr id="49" name="Rectangle: Rounded Corners 48">
          <a:extLst>
            <a:ext uri="{FF2B5EF4-FFF2-40B4-BE49-F238E27FC236}">
              <a16:creationId xmlns:a16="http://schemas.microsoft.com/office/drawing/2014/main" id="{551EEAA1-A726-81B3-B7F0-43B708230AF2}"/>
            </a:ext>
          </a:extLst>
        </xdr:cNvPr>
        <xdr:cNvSpPr/>
      </xdr:nvSpPr>
      <xdr:spPr>
        <a:xfrm>
          <a:off x="10822848" y="8599618"/>
          <a:ext cx="6690413" cy="3910726"/>
        </a:xfrm>
        <a:prstGeom prst="roundRect">
          <a:avLst>
            <a:gd name="adj" fmla="val 6843"/>
          </a:avLst>
        </a:prstGeom>
        <a:solidFill>
          <a:schemeClr val="bg1">
            <a:alpha val="63922"/>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375352</xdr:colOff>
      <xdr:row>45</xdr:row>
      <xdr:rowOff>27118</xdr:rowOff>
    </xdr:from>
    <xdr:to>
      <xdr:col>17</xdr:col>
      <xdr:colOff>430827</xdr:colOff>
      <xdr:row>65</xdr:row>
      <xdr:rowOff>127844</xdr:rowOff>
    </xdr:to>
    <xdr:sp macro="" textlink="">
      <xdr:nvSpPr>
        <xdr:cNvPr id="50" name="Rectangle: Rounded Corners 49">
          <a:extLst>
            <a:ext uri="{FF2B5EF4-FFF2-40B4-BE49-F238E27FC236}">
              <a16:creationId xmlns:a16="http://schemas.microsoft.com/office/drawing/2014/main" id="{9C7DB696-A1D0-83A5-ABE5-AC8D4DFC6E3A}"/>
            </a:ext>
          </a:extLst>
        </xdr:cNvPr>
        <xdr:cNvSpPr/>
      </xdr:nvSpPr>
      <xdr:spPr>
        <a:xfrm>
          <a:off x="3994852" y="8599618"/>
          <a:ext cx="6691225" cy="3910726"/>
        </a:xfrm>
        <a:prstGeom prst="roundRect">
          <a:avLst>
            <a:gd name="adj" fmla="val 8230"/>
          </a:avLst>
        </a:prstGeom>
        <a:solidFill>
          <a:schemeClr val="bg1">
            <a:alpha val="63922"/>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267739</xdr:colOff>
      <xdr:row>28</xdr:row>
      <xdr:rowOff>80707</xdr:rowOff>
    </xdr:from>
    <xdr:to>
      <xdr:col>28</xdr:col>
      <xdr:colOff>504981</xdr:colOff>
      <xdr:row>44</xdr:row>
      <xdr:rowOff>174624</xdr:rowOff>
    </xdr:to>
    <xdr:graphicFrame macro="">
      <xdr:nvGraphicFramePr>
        <xdr:cNvPr id="11" name="Chart 10">
          <a:extLst>
            <a:ext uri="{FF2B5EF4-FFF2-40B4-BE49-F238E27FC236}">
              <a16:creationId xmlns:a16="http://schemas.microsoft.com/office/drawing/2014/main" id="{CBE8D1D4-6579-4538-9C02-01180733C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587376</xdr:colOff>
      <xdr:row>48</xdr:row>
      <xdr:rowOff>174626</xdr:rowOff>
    </xdr:from>
    <xdr:to>
      <xdr:col>17</xdr:col>
      <xdr:colOff>404866</xdr:colOff>
      <xdr:row>66</xdr:row>
      <xdr:rowOff>14174</xdr:rowOff>
    </xdr:to>
    <xdr:graphicFrame macro="">
      <xdr:nvGraphicFramePr>
        <xdr:cNvPr id="44" name="Chart 43">
          <a:extLst>
            <a:ext uri="{FF2B5EF4-FFF2-40B4-BE49-F238E27FC236}">
              <a16:creationId xmlns:a16="http://schemas.microsoft.com/office/drawing/2014/main" id="{D04C110C-F466-4617-9B49-CA26416C9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96479</xdr:colOff>
      <xdr:row>45</xdr:row>
      <xdr:rowOff>31750</xdr:rowOff>
    </xdr:from>
    <xdr:to>
      <xdr:col>12</xdr:col>
      <xdr:colOff>158750</xdr:colOff>
      <xdr:row>47</xdr:row>
      <xdr:rowOff>167346</xdr:rowOff>
    </xdr:to>
    <xdr:sp macro="" textlink="">
      <xdr:nvSpPr>
        <xdr:cNvPr id="45" name="TextBox 44">
          <a:extLst>
            <a:ext uri="{FF2B5EF4-FFF2-40B4-BE49-F238E27FC236}">
              <a16:creationId xmlns:a16="http://schemas.microsoft.com/office/drawing/2014/main" id="{E42DE1A9-1B7D-46F3-4ADC-27EC727D0032}"/>
            </a:ext>
          </a:extLst>
        </xdr:cNvPr>
        <xdr:cNvSpPr txBox="1"/>
      </xdr:nvSpPr>
      <xdr:spPr>
        <a:xfrm>
          <a:off x="4319229" y="8604250"/>
          <a:ext cx="3078521" cy="516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385F7C"/>
              </a:solidFill>
            </a:rPr>
            <a:t>Shipping Duration</a:t>
          </a:r>
        </a:p>
      </xdr:txBody>
    </xdr:sp>
    <xdr:clientData/>
  </xdr:twoCellAnchor>
  <xdr:twoCellAnchor>
    <xdr:from>
      <xdr:col>7</xdr:col>
      <xdr:colOff>66210</xdr:colOff>
      <xdr:row>46</xdr:row>
      <xdr:rowOff>158750</xdr:rowOff>
    </xdr:from>
    <xdr:to>
      <xdr:col>15</xdr:col>
      <xdr:colOff>381000</xdr:colOff>
      <xdr:row>48</xdr:row>
      <xdr:rowOff>125985</xdr:rowOff>
    </xdr:to>
    <xdr:sp macro="" textlink="shippingduration">
      <xdr:nvSpPr>
        <xdr:cNvPr id="46" name="TextBox 45">
          <a:extLst>
            <a:ext uri="{FF2B5EF4-FFF2-40B4-BE49-F238E27FC236}">
              <a16:creationId xmlns:a16="http://schemas.microsoft.com/office/drawing/2014/main" id="{D151C505-F2A8-AE25-883F-76540522FEAD}"/>
            </a:ext>
          </a:extLst>
        </xdr:cNvPr>
        <xdr:cNvSpPr txBox="1"/>
      </xdr:nvSpPr>
      <xdr:spPr>
        <a:xfrm>
          <a:off x="4288960" y="8921750"/>
          <a:ext cx="5140790" cy="3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F93FCC-1FE4-4CCE-87D2-7B2F0F498829}" type="TxLink">
            <a:rPr lang="en-US" sz="2200" b="0" i="0" u="none" strike="noStrike">
              <a:solidFill>
                <a:srgbClr val="7F7F7F"/>
              </a:solidFill>
              <a:latin typeface="Aptos Narrow"/>
              <a:ea typeface="+mn-ea"/>
              <a:cs typeface="+mn-cs"/>
            </a:rPr>
            <a:pPr marL="0" indent="0"/>
            <a:t>Most Orders (28%) were delivered in 4 days</a:t>
          </a:fld>
          <a:endParaRPr lang="en-US" sz="2200" b="0" i="0" u="none" strike="noStrike">
            <a:solidFill>
              <a:srgbClr val="7F7F7F"/>
            </a:solidFill>
            <a:latin typeface="Aptos Narrow"/>
            <a:ea typeface="+mn-ea"/>
            <a:cs typeface="+mn-cs"/>
          </a:endParaRPr>
        </a:p>
      </xdr:txBody>
    </xdr:sp>
    <xdr:clientData/>
  </xdr:twoCellAnchor>
  <xdr:twoCellAnchor>
    <xdr:from>
      <xdr:col>18</xdr:col>
      <xdr:colOff>153666</xdr:colOff>
      <xdr:row>25</xdr:row>
      <xdr:rowOff>141811</xdr:rowOff>
    </xdr:from>
    <xdr:to>
      <xdr:col>24</xdr:col>
      <xdr:colOff>78050</xdr:colOff>
      <xdr:row>29</xdr:row>
      <xdr:rowOff>49167</xdr:rowOff>
    </xdr:to>
    <xdr:sp macro="" textlink="category">
      <xdr:nvSpPr>
        <xdr:cNvPr id="12" name="TextBox 11">
          <a:extLst>
            <a:ext uri="{FF2B5EF4-FFF2-40B4-BE49-F238E27FC236}">
              <a16:creationId xmlns:a16="http://schemas.microsoft.com/office/drawing/2014/main" id="{7F5E9788-913A-14C6-95A6-A0EC7D143541}"/>
            </a:ext>
          </a:extLst>
        </xdr:cNvPr>
        <xdr:cNvSpPr txBox="1"/>
      </xdr:nvSpPr>
      <xdr:spPr>
        <a:xfrm>
          <a:off x="11012166" y="4904311"/>
          <a:ext cx="3543884" cy="669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01BAB4-DBD6-4880-9615-78D7AD413A74}" type="TxLink">
            <a:rPr lang="en-US" sz="1600" b="0" i="0" u="none" strike="noStrike">
              <a:solidFill>
                <a:srgbClr val="7F7F7F"/>
              </a:solidFill>
              <a:latin typeface="Aptos Narrow"/>
              <a:ea typeface="+mn-ea"/>
              <a:cs typeface="+mn-cs"/>
            </a:rPr>
            <a:pPr marL="0" indent="0"/>
            <a:t>Highest Sales from category: Phones ($330,007)</a:t>
          </a:fld>
          <a:endParaRPr lang="en-US" sz="1600" b="0" i="0" u="none" strike="noStrike">
            <a:solidFill>
              <a:srgbClr val="7F7F7F"/>
            </a:solidFill>
            <a:latin typeface="Aptos Narrow"/>
            <a:ea typeface="+mn-ea"/>
            <a:cs typeface="+mn-cs"/>
          </a:endParaRPr>
        </a:p>
      </xdr:txBody>
    </xdr:sp>
    <xdr:clientData/>
  </xdr:twoCellAnchor>
  <xdr:twoCellAnchor>
    <xdr:from>
      <xdr:col>18</xdr:col>
      <xdr:colOff>156121</xdr:colOff>
      <xdr:row>24</xdr:row>
      <xdr:rowOff>34036</xdr:rowOff>
    </xdr:from>
    <xdr:to>
      <xdr:col>21</xdr:col>
      <xdr:colOff>374952</xdr:colOff>
      <xdr:row>26</xdr:row>
      <xdr:rowOff>141124</xdr:rowOff>
    </xdr:to>
    <xdr:sp macro="" textlink="">
      <xdr:nvSpPr>
        <xdr:cNvPr id="13" name="TextBox 12">
          <a:extLst>
            <a:ext uri="{FF2B5EF4-FFF2-40B4-BE49-F238E27FC236}">
              <a16:creationId xmlns:a16="http://schemas.microsoft.com/office/drawing/2014/main" id="{6EFC57D3-0A0F-7B26-A32C-FDD3F0A80D67}"/>
            </a:ext>
          </a:extLst>
        </xdr:cNvPr>
        <xdr:cNvSpPr txBox="1"/>
      </xdr:nvSpPr>
      <xdr:spPr>
        <a:xfrm>
          <a:off x="11014621" y="4606036"/>
          <a:ext cx="2028581" cy="488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385F7C"/>
              </a:solidFill>
            </a:rPr>
            <a:t>Profit vs Sales</a:t>
          </a:r>
        </a:p>
      </xdr:txBody>
    </xdr:sp>
    <xdr:clientData/>
  </xdr:twoCellAnchor>
  <xdr:twoCellAnchor>
    <xdr:from>
      <xdr:col>24</xdr:col>
      <xdr:colOff>266252</xdr:colOff>
      <xdr:row>25</xdr:row>
      <xdr:rowOff>134114</xdr:rowOff>
    </xdr:from>
    <xdr:to>
      <xdr:col>29</xdr:col>
      <xdr:colOff>381188</xdr:colOff>
      <xdr:row>29</xdr:row>
      <xdr:rowOff>37403</xdr:rowOff>
    </xdr:to>
    <xdr:sp macro="" textlink="copier">
      <xdr:nvSpPr>
        <xdr:cNvPr id="30" name="TextBox 29">
          <a:extLst>
            <a:ext uri="{FF2B5EF4-FFF2-40B4-BE49-F238E27FC236}">
              <a16:creationId xmlns:a16="http://schemas.microsoft.com/office/drawing/2014/main" id="{4783AA81-1568-A9A9-5CC5-50D0BEB22D03}"/>
            </a:ext>
          </a:extLst>
        </xdr:cNvPr>
        <xdr:cNvSpPr txBox="1"/>
      </xdr:nvSpPr>
      <xdr:spPr>
        <a:xfrm>
          <a:off x="14744252" y="4896614"/>
          <a:ext cx="3131186" cy="6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0BF09EB-EBD5-4C11-8D01-9409B590829B}" type="TxLink">
            <a:rPr lang="en-US" sz="1600" b="0" i="0" u="none" strike="noStrike">
              <a:solidFill>
                <a:srgbClr val="7F7F7F"/>
              </a:solidFill>
              <a:latin typeface="Aptos Narrow"/>
              <a:ea typeface="+mn-ea"/>
              <a:cs typeface="+mn-cs"/>
            </a:rPr>
            <a:pPr marL="0" indent="0"/>
            <a:t>Highest Profit Category: Copiers ($55,618)</a:t>
          </a:fld>
          <a:endParaRPr lang="en-US" sz="1600" b="0" i="0" u="none" strike="noStrike">
            <a:solidFill>
              <a:srgbClr val="7F7F7F"/>
            </a:solidFill>
            <a:latin typeface="Aptos Narrow"/>
            <a:ea typeface="+mn-ea"/>
            <a:cs typeface="+mn-cs"/>
          </a:endParaRPr>
        </a:p>
      </xdr:txBody>
    </xdr:sp>
    <xdr:clientData/>
  </xdr:twoCellAnchor>
  <xdr:twoCellAnchor>
    <xdr:from>
      <xdr:col>29</xdr:col>
      <xdr:colOff>231012</xdr:colOff>
      <xdr:row>43</xdr:row>
      <xdr:rowOff>149762</xdr:rowOff>
    </xdr:from>
    <xdr:to>
      <xdr:col>40</xdr:col>
      <xdr:colOff>367928</xdr:colOff>
      <xdr:row>65</xdr:row>
      <xdr:rowOff>134624</xdr:rowOff>
    </xdr:to>
    <xdr:graphicFrame macro="">
      <xdr:nvGraphicFramePr>
        <xdr:cNvPr id="38" name="Chart 37">
          <a:extLst>
            <a:ext uri="{FF2B5EF4-FFF2-40B4-BE49-F238E27FC236}">
              <a16:creationId xmlns:a16="http://schemas.microsoft.com/office/drawing/2014/main" id="{F7628CD0-DDFC-4686-9455-3DDC1109A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56288</xdr:colOff>
      <xdr:row>16</xdr:row>
      <xdr:rowOff>173764</xdr:rowOff>
    </xdr:from>
    <xdr:to>
      <xdr:col>39</xdr:col>
      <xdr:colOff>330329</xdr:colOff>
      <xdr:row>41</xdr:row>
      <xdr:rowOff>96907</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92635302-17D3-401B-9B07-532D7C776A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7734688" y="3221764"/>
              <a:ext cx="6370041" cy="468564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438319</xdr:colOff>
      <xdr:row>13</xdr:row>
      <xdr:rowOff>135166</xdr:rowOff>
    </xdr:from>
    <xdr:to>
      <xdr:col>36</xdr:col>
      <xdr:colOff>460374</xdr:colOff>
      <xdr:row>16</xdr:row>
      <xdr:rowOff>16492</xdr:rowOff>
    </xdr:to>
    <xdr:sp macro="" textlink="">
      <xdr:nvSpPr>
        <xdr:cNvPr id="54" name="TextBox 53">
          <a:extLst>
            <a:ext uri="{FF2B5EF4-FFF2-40B4-BE49-F238E27FC236}">
              <a16:creationId xmlns:a16="http://schemas.microsoft.com/office/drawing/2014/main" id="{E1450C89-4E21-5487-586C-89ED19F58C0A}"/>
            </a:ext>
          </a:extLst>
        </xdr:cNvPr>
        <xdr:cNvSpPr txBox="1"/>
      </xdr:nvSpPr>
      <xdr:spPr>
        <a:xfrm>
          <a:off x="17932569" y="2611666"/>
          <a:ext cx="4244805" cy="452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385F7C"/>
              </a:solidFill>
            </a:rPr>
            <a:t>Shipping Distribution</a:t>
          </a:r>
          <a:r>
            <a:rPr lang="en-US" sz="2400" b="1" baseline="0">
              <a:solidFill>
                <a:srgbClr val="385F7C"/>
              </a:solidFill>
            </a:rPr>
            <a:t> by State</a:t>
          </a:r>
          <a:endParaRPr lang="en-US" sz="2400" b="1">
            <a:solidFill>
              <a:srgbClr val="385F7C"/>
            </a:solidFill>
          </a:endParaRPr>
        </a:p>
      </xdr:txBody>
    </xdr:sp>
    <xdr:clientData/>
  </xdr:twoCellAnchor>
  <xdr:twoCellAnchor>
    <xdr:from>
      <xdr:col>29</xdr:col>
      <xdr:colOff>428093</xdr:colOff>
      <xdr:row>43</xdr:row>
      <xdr:rowOff>86870</xdr:rowOff>
    </xdr:from>
    <xdr:to>
      <xdr:col>38</xdr:col>
      <xdr:colOff>15875</xdr:colOff>
      <xdr:row>45</xdr:row>
      <xdr:rowOff>122661</xdr:rowOff>
    </xdr:to>
    <xdr:sp macro="" textlink="city">
      <xdr:nvSpPr>
        <xdr:cNvPr id="55" name="TextBox 54">
          <a:extLst>
            <a:ext uri="{FF2B5EF4-FFF2-40B4-BE49-F238E27FC236}">
              <a16:creationId xmlns:a16="http://schemas.microsoft.com/office/drawing/2014/main" id="{44F2406D-CA9A-AC7D-48C5-3C6752C9F909}"/>
            </a:ext>
          </a:extLst>
        </xdr:cNvPr>
        <xdr:cNvSpPr txBox="1"/>
      </xdr:nvSpPr>
      <xdr:spPr>
        <a:xfrm>
          <a:off x="17922343" y="8278370"/>
          <a:ext cx="5017032" cy="416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D913EBF-7D26-4FA4-BBB2-8DB061EC1948}" type="TxLink">
            <a:rPr lang="en-US" sz="2200" b="0" i="0" u="none" strike="noStrike">
              <a:solidFill>
                <a:srgbClr val="7F7F7F"/>
              </a:solidFill>
              <a:latin typeface="Aptos Narrow"/>
              <a:ea typeface="+mn-ea"/>
              <a:cs typeface="+mn-cs"/>
            </a:rPr>
            <a:pPr marL="0" indent="0"/>
            <a:t>Top Selling City: New York City ($109,316)</a:t>
          </a:fld>
          <a:endParaRPr lang="en-US" sz="2200" b="0" i="0" u="none" strike="noStrike">
            <a:solidFill>
              <a:srgbClr val="7F7F7F"/>
            </a:solidFill>
            <a:latin typeface="Aptos Narrow"/>
            <a:ea typeface="+mn-ea"/>
            <a:cs typeface="+mn-cs"/>
          </a:endParaRPr>
        </a:p>
      </xdr:txBody>
    </xdr:sp>
    <xdr:clientData/>
  </xdr:twoCellAnchor>
  <xdr:twoCellAnchor>
    <xdr:from>
      <xdr:col>18</xdr:col>
      <xdr:colOff>71477</xdr:colOff>
      <xdr:row>49</xdr:row>
      <xdr:rowOff>132072</xdr:rowOff>
    </xdr:from>
    <xdr:to>
      <xdr:col>28</xdr:col>
      <xdr:colOff>492715</xdr:colOff>
      <xdr:row>66</xdr:row>
      <xdr:rowOff>106818</xdr:rowOff>
    </xdr:to>
    <xdr:graphicFrame macro="">
      <xdr:nvGraphicFramePr>
        <xdr:cNvPr id="57" name="Chart 56">
          <a:extLst>
            <a:ext uri="{FF2B5EF4-FFF2-40B4-BE49-F238E27FC236}">
              <a16:creationId xmlns:a16="http://schemas.microsoft.com/office/drawing/2014/main" id="{949287F2-0D14-4079-A38F-CDE8805DF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95251</xdr:colOff>
      <xdr:row>52</xdr:row>
      <xdr:rowOff>63500</xdr:rowOff>
    </xdr:from>
    <xdr:to>
      <xdr:col>23</xdr:col>
      <xdr:colOff>493303</xdr:colOff>
      <xdr:row>63</xdr:row>
      <xdr:rowOff>190499</xdr:rowOff>
    </xdr:to>
    <xdr:sp macro="" textlink="">
      <xdr:nvSpPr>
        <xdr:cNvPr id="58" name="Oval 57">
          <a:extLst>
            <a:ext uri="{FF2B5EF4-FFF2-40B4-BE49-F238E27FC236}">
              <a16:creationId xmlns:a16="http://schemas.microsoft.com/office/drawing/2014/main" id="{F427B296-D6E7-4F39-F260-398F95254E9A}"/>
            </a:ext>
          </a:extLst>
        </xdr:cNvPr>
        <xdr:cNvSpPr/>
      </xdr:nvSpPr>
      <xdr:spPr>
        <a:xfrm>
          <a:off x="12160251" y="9969500"/>
          <a:ext cx="2207802" cy="2222499"/>
        </a:xfrm>
        <a:prstGeom prst="ellipse">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245661</xdr:colOff>
      <xdr:row>45</xdr:row>
      <xdr:rowOff>95250</xdr:rowOff>
    </xdr:from>
    <xdr:to>
      <xdr:col>22</xdr:col>
      <xdr:colOff>95250</xdr:colOff>
      <xdr:row>47</xdr:row>
      <xdr:rowOff>167346</xdr:rowOff>
    </xdr:to>
    <xdr:sp macro="" textlink="">
      <xdr:nvSpPr>
        <xdr:cNvPr id="59" name="TextBox 58">
          <a:extLst>
            <a:ext uri="{FF2B5EF4-FFF2-40B4-BE49-F238E27FC236}">
              <a16:creationId xmlns:a16="http://schemas.microsoft.com/office/drawing/2014/main" id="{6EB96752-6323-7387-F40B-B503CD9FCDBA}"/>
            </a:ext>
          </a:extLst>
        </xdr:cNvPr>
        <xdr:cNvSpPr txBox="1"/>
      </xdr:nvSpPr>
      <xdr:spPr>
        <a:xfrm>
          <a:off x="11104161" y="8667750"/>
          <a:ext cx="2262589" cy="453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385F7C"/>
              </a:solidFill>
            </a:rPr>
            <a:t>Shipping Mode</a:t>
          </a:r>
        </a:p>
      </xdr:txBody>
    </xdr:sp>
    <xdr:clientData/>
  </xdr:twoCellAnchor>
  <xdr:twoCellAnchor>
    <xdr:from>
      <xdr:col>18</xdr:col>
      <xdr:colOff>233393</xdr:colOff>
      <xdr:row>46</xdr:row>
      <xdr:rowOff>174816</xdr:rowOff>
    </xdr:from>
    <xdr:to>
      <xdr:col>26</xdr:col>
      <xdr:colOff>269874</xdr:colOff>
      <xdr:row>48</xdr:row>
      <xdr:rowOff>158750</xdr:rowOff>
    </xdr:to>
    <xdr:sp macro="" textlink="mode">
      <xdr:nvSpPr>
        <xdr:cNvPr id="60" name="TextBox 59">
          <a:extLst>
            <a:ext uri="{FF2B5EF4-FFF2-40B4-BE49-F238E27FC236}">
              <a16:creationId xmlns:a16="http://schemas.microsoft.com/office/drawing/2014/main" id="{D4E5B3D6-049F-0353-03E5-0E528CB283A0}"/>
            </a:ext>
          </a:extLst>
        </xdr:cNvPr>
        <xdr:cNvSpPr txBox="1"/>
      </xdr:nvSpPr>
      <xdr:spPr>
        <a:xfrm>
          <a:off x="11091893" y="8937816"/>
          <a:ext cx="4862481" cy="36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5646AF-E085-4692-A22F-C8720EA011C0}" type="TxLink">
            <a:rPr lang="en-US" sz="2200" b="0" i="0" u="none" strike="noStrike">
              <a:solidFill>
                <a:srgbClr val="7F7F7F"/>
              </a:solidFill>
              <a:latin typeface="Aptos Narrow"/>
              <a:ea typeface="+mn-ea"/>
              <a:cs typeface="+mn-cs"/>
            </a:rPr>
            <a:pPr marL="0" indent="0"/>
            <a:t>Most Orders Used Standard Class(59%)</a:t>
          </a:fld>
          <a:endParaRPr lang="en-US" sz="2200" b="0" i="0" u="none" strike="noStrike">
            <a:solidFill>
              <a:srgbClr val="7F7F7F"/>
            </a:solidFill>
            <a:latin typeface="Aptos Narrow"/>
            <a:ea typeface="+mn-ea"/>
            <a:cs typeface="+mn-cs"/>
          </a:endParaRPr>
        </a:p>
      </xdr:txBody>
    </xdr:sp>
    <xdr:clientData/>
  </xdr:twoCellAnchor>
  <xdr:twoCellAnchor>
    <xdr:from>
      <xdr:col>20</xdr:col>
      <xdr:colOff>376542</xdr:colOff>
      <xdr:row>56</xdr:row>
      <xdr:rowOff>70538</xdr:rowOff>
    </xdr:from>
    <xdr:to>
      <xdr:col>23</xdr:col>
      <xdr:colOff>380999</xdr:colOff>
      <xdr:row>59</xdr:row>
      <xdr:rowOff>190495</xdr:rowOff>
    </xdr:to>
    <xdr:sp macro="" textlink="">
      <xdr:nvSpPr>
        <xdr:cNvPr id="65" name="TextBox 64">
          <a:extLst>
            <a:ext uri="{FF2B5EF4-FFF2-40B4-BE49-F238E27FC236}">
              <a16:creationId xmlns:a16="http://schemas.microsoft.com/office/drawing/2014/main" id="{D5980EBD-74F6-4110-A829-A8A5E8A022E9}"/>
            </a:ext>
          </a:extLst>
        </xdr:cNvPr>
        <xdr:cNvSpPr txBox="1"/>
      </xdr:nvSpPr>
      <xdr:spPr>
        <a:xfrm>
          <a:off x="12441542" y="10738538"/>
          <a:ext cx="1814207" cy="69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385F7C"/>
              </a:solidFill>
            </a:rPr>
            <a:t>Ship</a:t>
          </a:r>
          <a:r>
            <a:rPr lang="en-US" sz="2800" baseline="0">
              <a:solidFill>
                <a:srgbClr val="385F7C"/>
              </a:solidFill>
            </a:rPr>
            <a:t> Mode</a:t>
          </a:r>
          <a:endParaRPr lang="en-US" sz="2800">
            <a:solidFill>
              <a:srgbClr val="385F7C"/>
            </a:solidFill>
          </a:endParaRPr>
        </a:p>
      </xdr:txBody>
    </xdr:sp>
    <xdr:clientData/>
  </xdr:twoCellAnchor>
  <xdr:twoCellAnchor>
    <xdr:from>
      <xdr:col>24</xdr:col>
      <xdr:colOff>391746</xdr:colOff>
      <xdr:row>10</xdr:row>
      <xdr:rowOff>121628</xdr:rowOff>
    </xdr:from>
    <xdr:to>
      <xdr:col>31</xdr:col>
      <xdr:colOff>153223</xdr:colOff>
      <xdr:row>12</xdr:row>
      <xdr:rowOff>163345</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292C6AFA-D639-49C6-8C18-87395CE1927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869746" y="2026628"/>
              <a:ext cx="3984227" cy="422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148599</xdr:colOff>
      <xdr:row>10</xdr:row>
      <xdr:rowOff>121627</xdr:rowOff>
    </xdr:from>
    <xdr:to>
      <xdr:col>40</xdr:col>
      <xdr:colOff>47625</xdr:colOff>
      <xdr:row>12</xdr:row>
      <xdr:rowOff>164367</xdr:rowOff>
    </xdr:to>
    <mc:AlternateContent xmlns:mc="http://schemas.openxmlformats.org/markup-compatibility/2006" xmlns:a14="http://schemas.microsoft.com/office/drawing/2010/main">
      <mc:Choice Requires="a14">
        <xdr:graphicFrame macro="">
          <xdr:nvGraphicFramePr>
            <xdr:cNvPr id="17" name="Segment 1">
              <a:extLst>
                <a:ext uri="{FF2B5EF4-FFF2-40B4-BE49-F238E27FC236}">
                  <a16:creationId xmlns:a16="http://schemas.microsoft.com/office/drawing/2014/main" id="{18C7F475-A1AD-403F-B332-D744E6D6B54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8849349" y="2026627"/>
              <a:ext cx="5328276" cy="423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59531</xdr:colOff>
      <xdr:row>0</xdr:row>
      <xdr:rowOff>154780</xdr:rowOff>
    </xdr:from>
    <xdr:to>
      <xdr:col>17</xdr:col>
      <xdr:colOff>226218</xdr:colOff>
      <xdr:row>33</xdr:row>
      <xdr:rowOff>154781</xdr:rowOff>
    </xdr:to>
    <xdr:sp macro="" textlink="">
      <xdr:nvSpPr>
        <xdr:cNvPr id="2" name="Rectangle 1">
          <a:extLst>
            <a:ext uri="{FF2B5EF4-FFF2-40B4-BE49-F238E27FC236}">
              <a16:creationId xmlns:a16="http://schemas.microsoft.com/office/drawing/2014/main" id="{C5E21DB3-9C3E-E546-A87E-E45AF5BD4A59}"/>
            </a:ext>
          </a:extLst>
        </xdr:cNvPr>
        <xdr:cNvSpPr/>
      </xdr:nvSpPr>
      <xdr:spPr>
        <a:xfrm>
          <a:off x="2472531" y="154780"/>
          <a:ext cx="8008937" cy="6286501"/>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214312</xdr:colOff>
      <xdr:row>1</xdr:row>
      <xdr:rowOff>35719</xdr:rowOff>
    </xdr:from>
    <xdr:to>
      <xdr:col>17</xdr:col>
      <xdr:colOff>95249</xdr:colOff>
      <xdr:row>4</xdr:row>
      <xdr:rowOff>11906</xdr:rowOff>
    </xdr:to>
    <xdr:sp macro="" textlink="">
      <xdr:nvSpPr>
        <xdr:cNvPr id="3" name="Rectangle: Rounded Corners 2">
          <a:extLst>
            <a:ext uri="{FF2B5EF4-FFF2-40B4-BE49-F238E27FC236}">
              <a16:creationId xmlns:a16="http://schemas.microsoft.com/office/drawing/2014/main" id="{FABF139B-D0CB-069F-FFD4-2CE2F975962A}"/>
            </a:ext>
          </a:extLst>
        </xdr:cNvPr>
        <xdr:cNvSpPr/>
      </xdr:nvSpPr>
      <xdr:spPr>
        <a:xfrm>
          <a:off x="2627312" y="226219"/>
          <a:ext cx="7723187" cy="547687"/>
        </a:xfrm>
        <a:prstGeom prst="roundRect">
          <a:avLst/>
        </a:prstGeom>
        <a:solidFill>
          <a:schemeClr val="bg1">
            <a:lumMod val="50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2">
                <a:lumMod val="25000"/>
              </a:schemeClr>
            </a:solidFill>
            <a:latin typeface="+mn-lt"/>
            <a:ea typeface="+mn-ea"/>
            <a:cs typeface="+mn-cs"/>
          </a:endParaRPr>
        </a:p>
      </xdr:txBody>
    </xdr:sp>
    <xdr:clientData/>
  </xdr:twoCellAnchor>
  <xdr:twoCellAnchor>
    <xdr:from>
      <xdr:col>4</xdr:col>
      <xdr:colOff>214311</xdr:colOff>
      <xdr:row>4</xdr:row>
      <xdr:rowOff>83345</xdr:rowOff>
    </xdr:from>
    <xdr:to>
      <xdr:col>6</xdr:col>
      <xdr:colOff>416717</xdr:colOff>
      <xdr:row>10</xdr:row>
      <xdr:rowOff>142876</xdr:rowOff>
    </xdr:to>
    <xdr:sp macro="" textlink="">
      <xdr:nvSpPr>
        <xdr:cNvPr id="4" name="Rectangle: Rounded Corners 3">
          <a:extLst>
            <a:ext uri="{FF2B5EF4-FFF2-40B4-BE49-F238E27FC236}">
              <a16:creationId xmlns:a16="http://schemas.microsoft.com/office/drawing/2014/main" id="{08C21226-F237-DCA7-C9DA-A14EBD64395E}"/>
            </a:ext>
          </a:extLst>
        </xdr:cNvPr>
        <xdr:cNvSpPr/>
      </xdr:nvSpPr>
      <xdr:spPr>
        <a:xfrm>
          <a:off x="2627311" y="845345"/>
          <a:ext cx="1408906" cy="1202531"/>
        </a:xfrm>
        <a:prstGeom prst="roundRect">
          <a:avLst>
            <a:gd name="adj" fmla="val 10726"/>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214311</xdr:colOff>
      <xdr:row>11</xdr:row>
      <xdr:rowOff>35716</xdr:rowOff>
    </xdr:from>
    <xdr:to>
      <xdr:col>9</xdr:col>
      <xdr:colOff>571500</xdr:colOff>
      <xdr:row>21</xdr:row>
      <xdr:rowOff>178590</xdr:rowOff>
    </xdr:to>
    <xdr:sp macro="" textlink="">
      <xdr:nvSpPr>
        <xdr:cNvPr id="9" name="Rectangle: Rounded Corners 8">
          <a:extLst>
            <a:ext uri="{FF2B5EF4-FFF2-40B4-BE49-F238E27FC236}">
              <a16:creationId xmlns:a16="http://schemas.microsoft.com/office/drawing/2014/main" id="{275DF90B-572C-99AA-91AF-F08BCE1F8496}"/>
            </a:ext>
          </a:extLst>
        </xdr:cNvPr>
        <xdr:cNvSpPr/>
      </xdr:nvSpPr>
      <xdr:spPr>
        <a:xfrm>
          <a:off x="2627311" y="2131216"/>
          <a:ext cx="3373439" cy="2047874"/>
        </a:xfrm>
        <a:prstGeom prst="roundRect">
          <a:avLst>
            <a:gd name="adj" fmla="val 5620"/>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23811</xdr:colOff>
      <xdr:row>11</xdr:row>
      <xdr:rowOff>35716</xdr:rowOff>
    </xdr:from>
    <xdr:to>
      <xdr:col>13</xdr:col>
      <xdr:colOff>345281</xdr:colOff>
      <xdr:row>21</xdr:row>
      <xdr:rowOff>178590</xdr:rowOff>
    </xdr:to>
    <xdr:sp macro="" textlink="">
      <xdr:nvSpPr>
        <xdr:cNvPr id="10" name="Rectangle: Rounded Corners 9">
          <a:extLst>
            <a:ext uri="{FF2B5EF4-FFF2-40B4-BE49-F238E27FC236}">
              <a16:creationId xmlns:a16="http://schemas.microsoft.com/office/drawing/2014/main" id="{A5841372-0697-F657-C560-878B4FAC5AB8}"/>
            </a:ext>
          </a:extLst>
        </xdr:cNvPr>
        <xdr:cNvSpPr/>
      </xdr:nvSpPr>
      <xdr:spPr>
        <a:xfrm>
          <a:off x="6095999" y="2131216"/>
          <a:ext cx="2143126" cy="2047874"/>
        </a:xfrm>
        <a:prstGeom prst="roundRect">
          <a:avLst>
            <a:gd name="adj" fmla="val 4458"/>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214311</xdr:colOff>
      <xdr:row>22</xdr:row>
      <xdr:rowOff>95248</xdr:rowOff>
    </xdr:from>
    <xdr:to>
      <xdr:col>8</xdr:col>
      <xdr:colOff>321469</xdr:colOff>
      <xdr:row>33</xdr:row>
      <xdr:rowOff>47622</xdr:rowOff>
    </xdr:to>
    <xdr:sp macro="" textlink="">
      <xdr:nvSpPr>
        <xdr:cNvPr id="17" name="Rectangle: Rounded Corners 16">
          <a:extLst>
            <a:ext uri="{FF2B5EF4-FFF2-40B4-BE49-F238E27FC236}">
              <a16:creationId xmlns:a16="http://schemas.microsoft.com/office/drawing/2014/main" id="{A9395295-86DD-62FC-6737-F3423C9866C9}"/>
            </a:ext>
          </a:extLst>
        </xdr:cNvPr>
        <xdr:cNvSpPr/>
      </xdr:nvSpPr>
      <xdr:spPr>
        <a:xfrm>
          <a:off x="2627311" y="4286248"/>
          <a:ext cx="2520158" cy="2047874"/>
        </a:xfrm>
        <a:prstGeom prst="roundRect">
          <a:avLst>
            <a:gd name="adj" fmla="val 5039"/>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416717</xdr:colOff>
      <xdr:row>22</xdr:row>
      <xdr:rowOff>95248</xdr:rowOff>
    </xdr:from>
    <xdr:to>
      <xdr:col>12</xdr:col>
      <xdr:colOff>523875</xdr:colOff>
      <xdr:row>33</xdr:row>
      <xdr:rowOff>47622</xdr:rowOff>
    </xdr:to>
    <xdr:sp macro="" textlink="">
      <xdr:nvSpPr>
        <xdr:cNvPr id="22" name="Rectangle: Rounded Corners 21">
          <a:extLst>
            <a:ext uri="{FF2B5EF4-FFF2-40B4-BE49-F238E27FC236}">
              <a16:creationId xmlns:a16="http://schemas.microsoft.com/office/drawing/2014/main" id="{521C5ACD-F2BF-EDAB-42D3-F9D875FDDBB8}"/>
            </a:ext>
          </a:extLst>
        </xdr:cNvPr>
        <xdr:cNvSpPr/>
      </xdr:nvSpPr>
      <xdr:spPr>
        <a:xfrm>
          <a:off x="5274467" y="4286248"/>
          <a:ext cx="2536033" cy="2047874"/>
        </a:xfrm>
        <a:prstGeom prst="roundRect">
          <a:avLst>
            <a:gd name="adj" fmla="val 5039"/>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595311</xdr:colOff>
      <xdr:row>22</xdr:row>
      <xdr:rowOff>95248</xdr:rowOff>
    </xdr:from>
    <xdr:to>
      <xdr:col>17</xdr:col>
      <xdr:colOff>95250</xdr:colOff>
      <xdr:row>33</xdr:row>
      <xdr:rowOff>47622</xdr:rowOff>
    </xdr:to>
    <xdr:sp macro="" textlink="">
      <xdr:nvSpPr>
        <xdr:cNvPr id="23" name="Rectangle: Rounded Corners 22">
          <a:extLst>
            <a:ext uri="{FF2B5EF4-FFF2-40B4-BE49-F238E27FC236}">
              <a16:creationId xmlns:a16="http://schemas.microsoft.com/office/drawing/2014/main" id="{FB3993E6-F74E-7512-CAC2-DEBB5CDB9140}"/>
            </a:ext>
          </a:extLst>
        </xdr:cNvPr>
        <xdr:cNvSpPr/>
      </xdr:nvSpPr>
      <xdr:spPr>
        <a:xfrm>
          <a:off x="7881936" y="4286248"/>
          <a:ext cx="2536033" cy="2047874"/>
        </a:xfrm>
        <a:prstGeom prst="roundRect">
          <a:avLst>
            <a:gd name="adj" fmla="val 5039"/>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392905</xdr:colOff>
      <xdr:row>11</xdr:row>
      <xdr:rowOff>35716</xdr:rowOff>
    </xdr:from>
    <xdr:to>
      <xdr:col>17</xdr:col>
      <xdr:colOff>107156</xdr:colOff>
      <xdr:row>21</xdr:row>
      <xdr:rowOff>178590</xdr:rowOff>
    </xdr:to>
    <xdr:sp macro="" textlink="">
      <xdr:nvSpPr>
        <xdr:cNvPr id="24" name="Rectangle: Rounded Corners 23">
          <a:extLst>
            <a:ext uri="{FF2B5EF4-FFF2-40B4-BE49-F238E27FC236}">
              <a16:creationId xmlns:a16="http://schemas.microsoft.com/office/drawing/2014/main" id="{816D81DE-113E-611C-7A24-7D7E3C452DD6}"/>
            </a:ext>
          </a:extLst>
        </xdr:cNvPr>
        <xdr:cNvSpPr/>
      </xdr:nvSpPr>
      <xdr:spPr>
        <a:xfrm>
          <a:off x="8286749" y="2131216"/>
          <a:ext cx="2143126" cy="2047874"/>
        </a:xfrm>
        <a:prstGeom prst="roundRect">
          <a:avLst>
            <a:gd name="adj" fmla="val 4458"/>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588364</xdr:colOff>
      <xdr:row>4</xdr:row>
      <xdr:rowOff>83345</xdr:rowOff>
    </xdr:from>
    <xdr:to>
      <xdr:col>9</xdr:col>
      <xdr:colOff>183552</xdr:colOff>
      <xdr:row>10</xdr:row>
      <xdr:rowOff>142876</xdr:rowOff>
    </xdr:to>
    <xdr:sp macro="" textlink="">
      <xdr:nvSpPr>
        <xdr:cNvPr id="25" name="Rectangle: Rounded Corners 24">
          <a:extLst>
            <a:ext uri="{FF2B5EF4-FFF2-40B4-BE49-F238E27FC236}">
              <a16:creationId xmlns:a16="http://schemas.microsoft.com/office/drawing/2014/main" id="{CA70E4DD-4180-C919-B1E4-4D976E686F4C}"/>
            </a:ext>
          </a:extLst>
        </xdr:cNvPr>
        <xdr:cNvSpPr/>
      </xdr:nvSpPr>
      <xdr:spPr>
        <a:xfrm>
          <a:off x="4207864" y="845345"/>
          <a:ext cx="1404938" cy="1202531"/>
        </a:xfrm>
        <a:prstGeom prst="roundRect">
          <a:avLst>
            <a:gd name="adj" fmla="val 10726"/>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355199</xdr:colOff>
      <xdr:row>4</xdr:row>
      <xdr:rowOff>83345</xdr:rowOff>
    </xdr:from>
    <xdr:to>
      <xdr:col>11</xdr:col>
      <xdr:colOff>557606</xdr:colOff>
      <xdr:row>10</xdr:row>
      <xdr:rowOff>142876</xdr:rowOff>
    </xdr:to>
    <xdr:sp macro="" textlink="">
      <xdr:nvSpPr>
        <xdr:cNvPr id="27" name="Rectangle: Rounded Corners 26">
          <a:extLst>
            <a:ext uri="{FF2B5EF4-FFF2-40B4-BE49-F238E27FC236}">
              <a16:creationId xmlns:a16="http://schemas.microsoft.com/office/drawing/2014/main" id="{5C0AE642-6247-F150-C0A8-5B14F0B8CA7C}"/>
            </a:ext>
          </a:extLst>
        </xdr:cNvPr>
        <xdr:cNvSpPr/>
      </xdr:nvSpPr>
      <xdr:spPr>
        <a:xfrm>
          <a:off x="5784449" y="845345"/>
          <a:ext cx="1408907" cy="1202531"/>
        </a:xfrm>
        <a:prstGeom prst="roundRect">
          <a:avLst>
            <a:gd name="adj" fmla="val 10726"/>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126003</xdr:colOff>
      <xdr:row>4</xdr:row>
      <xdr:rowOff>83345</xdr:rowOff>
    </xdr:from>
    <xdr:to>
      <xdr:col>14</xdr:col>
      <xdr:colOff>328409</xdr:colOff>
      <xdr:row>10</xdr:row>
      <xdr:rowOff>142876</xdr:rowOff>
    </xdr:to>
    <xdr:sp macro="" textlink="">
      <xdr:nvSpPr>
        <xdr:cNvPr id="28" name="Rectangle: Rounded Corners 27">
          <a:extLst>
            <a:ext uri="{FF2B5EF4-FFF2-40B4-BE49-F238E27FC236}">
              <a16:creationId xmlns:a16="http://schemas.microsoft.com/office/drawing/2014/main" id="{B6E1F03D-F549-495A-CF08-869264D919B6}"/>
            </a:ext>
          </a:extLst>
        </xdr:cNvPr>
        <xdr:cNvSpPr/>
      </xdr:nvSpPr>
      <xdr:spPr>
        <a:xfrm>
          <a:off x="7365003" y="845345"/>
          <a:ext cx="1408906" cy="1202531"/>
        </a:xfrm>
        <a:prstGeom prst="roundRect">
          <a:avLst>
            <a:gd name="adj" fmla="val 10726"/>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500055</xdr:colOff>
      <xdr:row>4</xdr:row>
      <xdr:rowOff>83345</xdr:rowOff>
    </xdr:from>
    <xdr:to>
      <xdr:col>17</xdr:col>
      <xdr:colOff>95243</xdr:colOff>
      <xdr:row>10</xdr:row>
      <xdr:rowOff>142876</xdr:rowOff>
    </xdr:to>
    <xdr:sp macro="" textlink="">
      <xdr:nvSpPr>
        <xdr:cNvPr id="29" name="Rectangle: Rounded Corners 28">
          <a:extLst>
            <a:ext uri="{FF2B5EF4-FFF2-40B4-BE49-F238E27FC236}">
              <a16:creationId xmlns:a16="http://schemas.microsoft.com/office/drawing/2014/main" id="{2EB5D19E-B8CC-7BCF-406C-5A05A5C7A995}"/>
            </a:ext>
          </a:extLst>
        </xdr:cNvPr>
        <xdr:cNvSpPr/>
      </xdr:nvSpPr>
      <xdr:spPr>
        <a:xfrm>
          <a:off x="9001118" y="845345"/>
          <a:ext cx="1416844" cy="1202531"/>
        </a:xfrm>
        <a:prstGeom prst="roundRect">
          <a:avLst>
            <a:gd name="adj" fmla="val 10726"/>
          </a:avLst>
        </a:prstGeom>
        <a:solidFill>
          <a:schemeClr val="bg2">
            <a:lumMod val="25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333375</xdr:colOff>
      <xdr:row>0</xdr:row>
      <xdr:rowOff>15876</xdr:rowOff>
    </xdr:from>
    <xdr:to>
      <xdr:col>17</xdr:col>
      <xdr:colOff>396875</xdr:colOff>
      <xdr:row>33</xdr:row>
      <xdr:rowOff>111127</xdr:rowOff>
    </xdr:to>
    <xdr:sp macro="" textlink="">
      <xdr:nvSpPr>
        <xdr:cNvPr id="30" name="Half Frame 29">
          <a:extLst>
            <a:ext uri="{FF2B5EF4-FFF2-40B4-BE49-F238E27FC236}">
              <a16:creationId xmlns:a16="http://schemas.microsoft.com/office/drawing/2014/main" id="{BEA51A01-A6FE-3083-6D01-261DFC3651E7}"/>
            </a:ext>
          </a:extLst>
        </xdr:cNvPr>
        <xdr:cNvSpPr/>
      </xdr:nvSpPr>
      <xdr:spPr>
        <a:xfrm rot="16200000" flipH="1" flipV="1">
          <a:off x="5619749" y="1365252"/>
          <a:ext cx="6381751" cy="3683000"/>
        </a:xfrm>
        <a:prstGeom prst="halfFrame">
          <a:avLst>
            <a:gd name="adj1" fmla="val 4700"/>
            <a:gd name="adj2" fmla="val 3845"/>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190500</xdr:colOff>
      <xdr:row>1</xdr:row>
      <xdr:rowOff>15876</xdr:rowOff>
    </xdr:from>
    <xdr:to>
      <xdr:col>11</xdr:col>
      <xdr:colOff>222250</xdr:colOff>
      <xdr:row>3</xdr:row>
      <xdr:rowOff>79376</xdr:rowOff>
    </xdr:to>
    <xdr:sp macro="" textlink="">
      <xdr:nvSpPr>
        <xdr:cNvPr id="31" name="TextBox 30">
          <a:extLst>
            <a:ext uri="{FF2B5EF4-FFF2-40B4-BE49-F238E27FC236}">
              <a16:creationId xmlns:a16="http://schemas.microsoft.com/office/drawing/2014/main" id="{A2568D50-0B00-4073-AFBC-BA8510A0B1D4}"/>
            </a:ext>
          </a:extLst>
        </xdr:cNvPr>
        <xdr:cNvSpPr txBox="1"/>
      </xdr:nvSpPr>
      <xdr:spPr>
        <a:xfrm>
          <a:off x="2603500" y="206376"/>
          <a:ext cx="42545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TECHNOLOGY SALES OVERVIEW</a:t>
          </a:r>
        </a:p>
      </xdr:txBody>
    </xdr:sp>
    <xdr:clientData/>
  </xdr:twoCellAnchor>
  <xdr:twoCellAnchor>
    <xdr:from>
      <xdr:col>4</xdr:col>
      <xdr:colOff>206376</xdr:colOff>
      <xdr:row>2</xdr:row>
      <xdr:rowOff>142875</xdr:rowOff>
    </xdr:from>
    <xdr:to>
      <xdr:col>14</xdr:col>
      <xdr:colOff>111126</xdr:colOff>
      <xdr:row>4</xdr:row>
      <xdr:rowOff>31750</xdr:rowOff>
    </xdr:to>
    <xdr:sp macro="" textlink="">
      <xdr:nvSpPr>
        <xdr:cNvPr id="32" name="TextBox 31">
          <a:extLst>
            <a:ext uri="{FF2B5EF4-FFF2-40B4-BE49-F238E27FC236}">
              <a16:creationId xmlns:a16="http://schemas.microsoft.com/office/drawing/2014/main" id="{5A21AD24-2425-494A-95D3-1347FA738142}"/>
            </a:ext>
          </a:extLst>
        </xdr:cNvPr>
        <xdr:cNvSpPr txBox="1"/>
      </xdr:nvSpPr>
      <xdr:spPr>
        <a:xfrm>
          <a:off x="2619376" y="523875"/>
          <a:ext cx="5937250"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1">
              <a:solidFill>
                <a:schemeClr val="tx1">
                  <a:lumMod val="85000"/>
                  <a:lumOff val="15000"/>
                </a:schemeClr>
              </a:solidFill>
              <a:latin typeface="+mn-lt"/>
              <a:ea typeface="+mn-ea"/>
              <a:cs typeface="+mn-cs"/>
            </a:rPr>
            <a:t>A Summary of Sales performance, shipping trends and regional distribution across the U.S.</a:t>
          </a:r>
        </a:p>
      </xdr:txBody>
    </xdr:sp>
    <xdr:clientData/>
  </xdr:twoCellAnchor>
  <xdr:twoCellAnchor>
    <xdr:from>
      <xdr:col>4</xdr:col>
      <xdr:colOff>333375</xdr:colOff>
      <xdr:row>6</xdr:row>
      <xdr:rowOff>0</xdr:rowOff>
    </xdr:from>
    <xdr:to>
      <xdr:col>6</xdr:col>
      <xdr:colOff>381000</xdr:colOff>
      <xdr:row>8</xdr:row>
      <xdr:rowOff>127000</xdr:rowOff>
    </xdr:to>
    <xdr:sp macro="" textlink="totalsales">
      <xdr:nvSpPr>
        <xdr:cNvPr id="33" name="TextBox 32">
          <a:extLst>
            <a:ext uri="{FF2B5EF4-FFF2-40B4-BE49-F238E27FC236}">
              <a16:creationId xmlns:a16="http://schemas.microsoft.com/office/drawing/2014/main" id="{276C7FF6-657C-4773-B751-99578ACB7FFF}"/>
            </a:ext>
          </a:extLst>
        </xdr:cNvPr>
        <xdr:cNvSpPr txBox="1"/>
      </xdr:nvSpPr>
      <xdr:spPr>
        <a:xfrm>
          <a:off x="2746375" y="1143000"/>
          <a:ext cx="12541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F9F1B-469F-480A-B232-5FF1F785C18C}" type="TxLink">
            <a:rPr lang="en-US" sz="2400" b="1" i="0" u="none" strike="noStrike">
              <a:solidFill>
                <a:schemeClr val="bg1"/>
              </a:solidFill>
              <a:latin typeface="Aptos Narrow"/>
            </a:rPr>
            <a:pPr/>
            <a:t>$836.2K</a:t>
          </a:fld>
          <a:endParaRPr lang="en-US" sz="2400" b="1">
            <a:solidFill>
              <a:schemeClr val="bg1"/>
            </a:solidFill>
          </a:endParaRPr>
        </a:p>
      </xdr:txBody>
    </xdr:sp>
    <xdr:clientData/>
  </xdr:twoCellAnchor>
  <xdr:twoCellAnchor>
    <xdr:from>
      <xdr:col>3</xdr:col>
      <xdr:colOff>492126</xdr:colOff>
      <xdr:row>0</xdr:row>
      <xdr:rowOff>63497</xdr:rowOff>
    </xdr:from>
    <xdr:to>
      <xdr:col>10</xdr:col>
      <xdr:colOff>428629</xdr:colOff>
      <xdr:row>34</xdr:row>
      <xdr:rowOff>174626</xdr:rowOff>
    </xdr:to>
    <xdr:sp macro="" textlink="">
      <xdr:nvSpPr>
        <xdr:cNvPr id="38" name="Half Frame 37">
          <a:extLst>
            <a:ext uri="{FF2B5EF4-FFF2-40B4-BE49-F238E27FC236}">
              <a16:creationId xmlns:a16="http://schemas.microsoft.com/office/drawing/2014/main" id="{730D5181-0A4B-1A33-48BC-A6D21D4363F2}"/>
            </a:ext>
          </a:extLst>
        </xdr:cNvPr>
        <xdr:cNvSpPr/>
      </xdr:nvSpPr>
      <xdr:spPr>
        <a:xfrm rot="16200000">
          <a:off x="1087438" y="1277935"/>
          <a:ext cx="6588129" cy="4159253"/>
        </a:xfrm>
        <a:prstGeom prst="halfFrame">
          <a:avLst>
            <a:gd name="adj1" fmla="val 3590"/>
            <a:gd name="adj2" fmla="val 4698"/>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096.559943287037" createdVersion="8" refreshedVersion="8" minRefreshableVersion="3" recordCount="1847" xr:uid="{1745DD72-CF95-4D8C-A014-3F90C6EF87C9}">
  <cacheSource type="worksheet">
    <worksheetSource name="Sample___Superstore"/>
  </cacheSource>
  <cacheFields count="22">
    <cacheField name="Order ID" numFmtId="0">
      <sharedItems/>
    </cacheField>
    <cacheField name="Order Date" numFmtId="14">
      <sharedItems containsSemiMixedTypes="0" containsNonDate="0" containsDate="1" containsString="0" minDate="2014-01-06T00:00:00" maxDate="2017-12-31T00:00:00" count="824">
        <d v="2014-06-09T00:00:00"/>
        <d v="2014-08-27T00:00:00"/>
        <d v="2016-01-16T00:00:00"/>
        <d v="2016-12-08T00:00:00"/>
        <d v="2015-12-27T00:00:00"/>
        <d v="2017-09-10T00:00:00"/>
        <d v="2016-03-11T00:00:00"/>
        <d v="2016-06-20T00:00:00"/>
        <d v="2016-12-11T00:00:00"/>
        <d v="2016-06-17T00:00:00"/>
        <d v="2015-11-24T00:00:00"/>
        <d v="2014-12-05T00:00:00"/>
        <d v="2017-10-26T00:00:00"/>
        <d v="2016-09-17T00:00:00"/>
        <d v="2016-08-29T00:00:00"/>
        <d v="2015-11-13T00:00:00"/>
        <d v="2017-11-23T00:00:00"/>
        <d v="2015-10-15T00:00:00"/>
        <d v="2016-06-12T00:00:00"/>
        <d v="2017-02-02T00:00:00"/>
        <d v="2016-12-05T00:00:00"/>
        <d v="2016-03-13T00:00:00"/>
        <d v="2016-11-20T00:00:00"/>
        <d v="2015-12-28T00:00:00"/>
        <d v="2014-09-08T00:00:00"/>
        <d v="2014-11-19T00:00:00"/>
        <d v="2014-08-26T00:00:00"/>
        <d v="2015-10-12T00:00:00"/>
        <d v="2017-12-09T00:00:00"/>
        <d v="2017-12-01T00:00:00"/>
        <d v="2015-02-09T00:00:00"/>
        <d v="2015-01-02T00:00:00"/>
        <d v="2016-10-28T00:00:00"/>
        <d v="2015-12-24T00:00:00"/>
        <d v="2017-04-07T00:00:00"/>
        <d v="2016-06-04T00:00:00"/>
        <d v="2016-09-11T00:00:00"/>
        <d v="2015-11-28T00:00:00"/>
        <d v="2014-09-19T00:00:00"/>
        <d v="2016-06-06T00:00:00"/>
        <d v="2015-11-10T00:00:00"/>
        <d v="2015-07-30T00:00:00"/>
        <d v="2015-09-26T00:00:00"/>
        <d v="2014-08-09T00:00:00"/>
        <d v="2014-11-04T00:00:00"/>
        <d v="2016-04-23T00:00:00"/>
        <d v="2016-08-30T00:00:00"/>
        <d v="2016-04-25T00:00:00"/>
        <d v="2015-09-01T00:00:00"/>
        <d v="2014-04-13T00:00:00"/>
        <d v="2017-06-15T00:00:00"/>
        <d v="2016-09-01T00:00:00"/>
        <d v="2014-07-23T00:00:00"/>
        <d v="2015-06-26T00:00:00"/>
        <d v="2015-11-27T00:00:00"/>
        <d v="2015-12-03T00:00:00"/>
        <d v="2017-12-11T00:00:00"/>
        <d v="2014-09-21T00:00:00"/>
        <d v="2016-09-08T00:00:00"/>
        <d v="2017-12-08T00:00:00"/>
        <d v="2014-06-22T00:00:00"/>
        <d v="2014-09-12T00:00:00"/>
        <d v="2016-04-15T00:00:00"/>
        <d v="2014-12-19T00:00:00"/>
        <d v="2016-04-01T00:00:00"/>
        <d v="2016-12-13T00:00:00"/>
        <d v="2015-12-15T00:00:00"/>
        <d v="2014-11-09T00:00:00"/>
        <d v="2016-07-12T00:00:00"/>
        <d v="2014-10-06T00:00:00"/>
        <d v="2014-07-22T00:00:00"/>
        <d v="2017-06-10T00:00:00"/>
        <d v="2014-10-29T00:00:00"/>
        <d v="2016-05-09T00:00:00"/>
        <d v="2017-11-26T00:00:00"/>
        <d v="2017-01-22T00:00:00"/>
        <d v="2015-03-22T00:00:00"/>
        <d v="2016-05-21T00:00:00"/>
        <d v="2016-05-29T00:00:00"/>
        <d v="2014-02-01T00:00:00"/>
        <d v="2016-07-14T00:00:00"/>
        <d v="2014-05-11T00:00:00"/>
        <d v="2017-12-07T00:00:00"/>
        <d v="2017-12-28T00:00:00"/>
        <d v="2016-03-20T00:00:00"/>
        <d v="2014-01-09T00:00:00"/>
        <d v="2014-08-08T00:00:00"/>
        <d v="2016-07-16T00:00:00"/>
        <d v="2014-05-23T00:00:00"/>
        <d v="2016-04-28T00:00:00"/>
        <d v="2017-11-14T00:00:00"/>
        <d v="2017-08-18T00:00:00"/>
        <d v="2017-09-24T00:00:00"/>
        <d v="2017-06-19T00:00:00"/>
        <d v="2017-06-08T00:00:00"/>
        <d v="2017-12-05T00:00:00"/>
        <d v="2017-03-18T00:00:00"/>
        <d v="2017-11-04T00:00:00"/>
        <d v="2014-07-05T00:00:00"/>
        <d v="2014-06-21T00:00:00"/>
        <d v="2015-03-28T00:00:00"/>
        <d v="2014-12-02T00:00:00"/>
        <d v="2017-05-19T00:00:00"/>
        <d v="2017-09-16T00:00:00"/>
        <d v="2017-01-21T00:00:00"/>
        <d v="2016-04-07T00:00:00"/>
        <d v="2014-12-29T00:00:00"/>
        <d v="2015-02-08T00:00:00"/>
        <d v="2014-01-13T00:00:00"/>
        <d v="2017-01-30T00:00:00"/>
        <d v="2015-10-03T00:00:00"/>
        <d v="2016-05-20T00:00:00"/>
        <d v="2017-02-20T00:00:00"/>
        <d v="2014-11-01T00:00:00"/>
        <d v="2015-02-03T00:00:00"/>
        <d v="2014-10-13T00:00:00"/>
        <d v="2017-05-14T00:00:00"/>
        <d v="2017-06-20T00:00:00"/>
        <d v="2014-05-09T00:00:00"/>
        <d v="2017-06-16T00:00:00"/>
        <d v="2016-07-23T00:00:00"/>
        <d v="2016-03-07T00:00:00"/>
        <d v="2015-10-13T00:00:00"/>
        <d v="2014-02-07T00:00:00"/>
        <d v="2016-01-05T00:00:00"/>
        <d v="2016-09-03T00:00:00"/>
        <d v="2016-01-17T00:00:00"/>
        <d v="2017-06-26T00:00:00"/>
        <d v="2017-09-15T00:00:00"/>
        <d v="2017-12-30T00:00:00"/>
        <d v="2017-09-02T00:00:00"/>
        <d v="2017-11-27T00:00:00"/>
        <d v="2015-04-11T00:00:00"/>
        <d v="2014-09-13T00:00:00"/>
        <d v="2017-11-05T00:00:00"/>
        <d v="2017-05-15T00:00:00"/>
        <d v="2014-01-16T00:00:00"/>
        <d v="2017-10-05T00:00:00"/>
        <d v="2017-01-07T00:00:00"/>
        <d v="2014-11-11T00:00:00"/>
        <d v="2017-09-29T00:00:00"/>
        <d v="2014-05-21T00:00:00"/>
        <d v="2015-07-31T00:00:00"/>
        <d v="2017-08-01T00:00:00"/>
        <d v="2015-12-21T00:00:00"/>
        <d v="2015-07-06T00:00:00"/>
        <d v="2015-04-27T00:00:00"/>
        <d v="2016-01-11T00:00:00"/>
        <d v="2014-07-11T00:00:00"/>
        <d v="2016-09-06T00:00:00"/>
        <d v="2016-03-08T00:00:00"/>
        <d v="2014-05-27T00:00:00"/>
        <d v="2015-04-16T00:00:00"/>
        <d v="2016-11-12T00:00:00"/>
        <d v="2016-03-01T00:00:00"/>
        <d v="2016-08-15T00:00:00"/>
        <d v="2017-06-04T00:00:00"/>
        <d v="2015-12-06T00:00:00"/>
        <d v="2016-06-14T00:00:00"/>
        <d v="2016-11-19T00:00:00"/>
        <d v="2017-12-18T00:00:00"/>
        <d v="2015-09-04T00:00:00"/>
        <d v="2014-01-20T00:00:00"/>
        <d v="2014-09-29T00:00:00"/>
        <d v="2015-04-04T00:00:00"/>
        <d v="2014-03-03T00:00:00"/>
        <d v="2015-11-02T00:00:00"/>
        <d v="2016-12-01T00:00:00"/>
        <d v="2016-04-24T00:00:00"/>
        <d v="2017-01-14T00:00:00"/>
        <d v="2017-02-26T00:00:00"/>
        <d v="2016-04-08T00:00:00"/>
        <d v="2017-09-09T00:00:00"/>
        <d v="2014-07-12T00:00:00"/>
        <d v="2016-12-04T00:00:00"/>
        <d v="2016-05-30T00:00:00"/>
        <d v="2015-07-04T00:00:00"/>
        <d v="2017-03-10T00:00:00"/>
        <d v="2016-12-24T00:00:00"/>
        <d v="2017-10-23T00:00:00"/>
        <d v="2016-10-01T00:00:00"/>
        <d v="2016-05-26T00:00:00"/>
        <d v="2016-09-05T00:00:00"/>
        <d v="2017-07-03T00:00:00"/>
        <d v="2017-12-10T00:00:00"/>
        <d v="2014-07-01T00:00:00"/>
        <d v="2017-06-02T00:00:00"/>
        <d v="2017-03-31T00:00:00"/>
        <d v="2017-01-02T00:00:00"/>
        <d v="2017-05-04T00:00:00"/>
        <d v="2017-10-19T00:00:00"/>
        <d v="2017-11-10T00:00:00"/>
        <d v="2017-03-07T00:00:00"/>
        <d v="2014-08-04T00:00:00"/>
        <d v="2016-02-05T00:00:00"/>
        <d v="2016-11-24T00:00:00"/>
        <d v="2016-11-01T00:00:00"/>
        <d v="2014-04-06T00:00:00"/>
        <d v="2017-01-28T00:00:00"/>
        <d v="2015-09-21T00:00:00"/>
        <d v="2016-05-23T00:00:00"/>
        <d v="2017-06-13T00:00:00"/>
        <d v="2015-05-01T00:00:00"/>
        <d v="2016-11-26T00:00:00"/>
        <d v="2016-08-26T00:00:00"/>
        <d v="2015-05-16T00:00:00"/>
        <d v="2017-11-19T00:00:00"/>
        <d v="2016-10-14T00:00:00"/>
        <d v="2015-11-03T00:00:00"/>
        <d v="2014-07-06T00:00:00"/>
        <d v="2017-09-04T00:00:00"/>
        <d v="2015-03-19T00:00:00"/>
        <d v="2015-11-29T00:00:00"/>
        <d v="2014-11-23T00:00:00"/>
        <d v="2014-12-15T00:00:00"/>
        <d v="2015-08-09T00:00:00"/>
        <d v="2015-06-23T00:00:00"/>
        <d v="2016-04-19T00:00:00"/>
        <d v="2014-05-26T00:00:00"/>
        <d v="2016-03-15T00:00:00"/>
        <d v="2017-07-08T00:00:00"/>
        <d v="2015-12-19T00:00:00"/>
        <d v="2016-05-08T00:00:00"/>
        <d v="2014-11-26T00:00:00"/>
        <d v="2015-11-01T00:00:00"/>
        <d v="2017-11-18T00:00:00"/>
        <d v="2017-01-20T00:00:00"/>
        <d v="2017-04-30T00:00:00"/>
        <d v="2016-03-22T00:00:00"/>
        <d v="2014-09-07T00:00:00"/>
        <d v="2016-06-26T00:00:00"/>
        <d v="2015-09-25T00:00:00"/>
        <d v="2017-10-30T00:00:00"/>
        <d v="2015-12-20T00:00:00"/>
        <d v="2016-02-07T00:00:00"/>
        <d v="2017-07-29T00:00:00"/>
        <d v="2015-09-03T00:00:00"/>
        <d v="2015-12-08T00:00:00"/>
        <d v="2016-11-27T00:00:00"/>
        <d v="2016-11-11T00:00:00"/>
        <d v="2017-09-22T00:00:00"/>
        <d v="2015-02-15T00:00:00"/>
        <d v="2017-08-27T00:00:00"/>
        <d v="2016-12-25T00:00:00"/>
        <d v="2016-02-11T00:00:00"/>
        <d v="2016-02-08T00:00:00"/>
        <d v="2014-05-18T00:00:00"/>
        <d v="2017-10-21T00:00:00"/>
        <d v="2015-07-20T00:00:00"/>
        <d v="2017-03-26T00:00:00"/>
        <d v="2017-11-12T00:00:00"/>
        <d v="2017-03-25T00:00:00"/>
        <d v="2017-12-29T00:00:00"/>
        <d v="2016-08-20T00:00:00"/>
        <d v="2016-11-15T00:00:00"/>
        <d v="2014-01-15T00:00:00"/>
        <d v="2015-10-30T00:00:00"/>
        <d v="2016-07-08T00:00:00"/>
        <d v="2017-03-09T00:00:00"/>
        <d v="2016-06-09T00:00:00"/>
        <d v="2017-03-16T00:00:00"/>
        <d v="2017-12-21T00:00:00"/>
        <d v="2017-09-23T00:00:00"/>
        <d v="2017-05-06T00:00:00"/>
        <d v="2014-12-14T00:00:00"/>
        <d v="2014-10-18T00:00:00"/>
        <d v="2014-12-03T00:00:00"/>
        <d v="2016-07-25T00:00:00"/>
        <d v="2014-02-06T00:00:00"/>
        <d v="2017-04-11T00:00:00"/>
        <d v="2014-12-31T00:00:00"/>
        <d v="2015-12-11T00:00:00"/>
        <d v="2016-07-17T00:00:00"/>
        <d v="2017-12-22T00:00:00"/>
        <d v="2014-10-31T00:00:00"/>
        <d v="2015-04-13T00:00:00"/>
        <d v="2017-11-07T00:00:00"/>
        <d v="2017-09-07T00:00:00"/>
        <d v="2017-03-24T00:00:00"/>
        <d v="2015-10-31T00:00:00"/>
        <d v="2014-06-23T00:00:00"/>
        <d v="2015-11-30T00:00:00"/>
        <d v="2014-11-24T00:00:00"/>
        <d v="2016-10-13T00:00:00"/>
        <d v="2017-01-27T00:00:00"/>
        <d v="2016-05-07T00:00:00"/>
        <d v="2017-08-10T00:00:00"/>
        <d v="2016-12-10T00:00:00"/>
        <d v="2014-06-01T00:00:00"/>
        <d v="2014-07-14T00:00:00"/>
        <d v="2014-11-14T00:00:00"/>
        <d v="2017-07-28T00:00:00"/>
        <d v="2015-12-14T00:00:00"/>
        <d v="2017-11-21T00:00:00"/>
        <d v="2015-11-08T00:00:00"/>
        <d v="2015-12-18T00:00:00"/>
        <d v="2016-11-14T00:00:00"/>
        <d v="2015-03-06T00:00:00"/>
        <d v="2014-06-27T00:00:00"/>
        <d v="2015-03-05T00:00:00"/>
        <d v="2015-04-20T00:00:00"/>
        <d v="2017-07-20T00:00:00"/>
        <d v="2017-03-20T00:00:00"/>
        <d v="2015-08-31T00:00:00"/>
        <d v="2017-07-07T00:00:00"/>
        <d v="2015-11-14T00:00:00"/>
        <d v="2017-10-07T00:00:00"/>
        <d v="2017-10-12T00:00:00"/>
        <d v="2017-11-09T00:00:00"/>
        <d v="2017-12-25T00:00:00"/>
        <d v="2017-05-28T00:00:00"/>
        <d v="2016-05-22T00:00:00"/>
        <d v="2017-03-17T00:00:00"/>
        <d v="2017-12-03T00:00:00"/>
        <d v="2016-11-03T00:00:00"/>
        <d v="2017-08-28T00:00:00"/>
        <d v="2015-10-09T00:00:00"/>
        <d v="2016-09-10T00:00:00"/>
        <d v="2017-03-02T00:00:00"/>
        <d v="2015-04-18T00:00:00"/>
        <d v="2016-10-15T00:00:00"/>
        <d v="2015-04-06T00:00:00"/>
        <d v="2014-08-17T00:00:00"/>
        <d v="2015-09-06T00:00:00"/>
        <d v="2015-01-27T00:00:00"/>
        <d v="2015-08-16T00:00:00"/>
        <d v="2015-03-17T00:00:00"/>
        <d v="2017-12-27T00:00:00"/>
        <d v="2016-08-12T00:00:00"/>
        <d v="2014-01-26T00:00:00"/>
        <d v="2016-05-05T00:00:00"/>
        <d v="2017-11-24T00:00:00"/>
        <d v="2017-05-13T00:00:00"/>
        <d v="2014-11-25T00:00:00"/>
        <d v="2017-10-22T00:00:00"/>
        <d v="2017-11-13T00:00:00"/>
        <d v="2015-02-20T00:00:00"/>
        <d v="2016-04-17T00:00:00"/>
        <d v="2017-11-28T00:00:00"/>
        <d v="2016-08-28T00:00:00"/>
        <d v="2014-03-18T00:00:00"/>
        <d v="2017-07-11T00:00:00"/>
        <d v="2015-01-30T00:00:00"/>
        <d v="2014-04-25T00:00:00"/>
        <d v="2014-12-04T00:00:00"/>
        <d v="2017-08-26T00:00:00"/>
        <d v="2017-02-13T00:00:00"/>
        <d v="2014-07-02T00:00:00"/>
        <d v="2017-04-16T00:00:00"/>
        <d v="2015-06-20T00:00:00"/>
        <d v="2017-08-07T00:00:00"/>
        <d v="2015-11-22T00:00:00"/>
        <d v="2015-04-17T00:00:00"/>
        <d v="2016-06-11T00:00:00"/>
        <d v="2015-04-02T00:00:00"/>
        <d v="2016-11-05T00:00:00"/>
        <d v="2016-10-09T00:00:00"/>
        <d v="2014-04-12T00:00:00"/>
        <d v="2016-10-25T00:00:00"/>
        <d v="2015-11-16T00:00:00"/>
        <d v="2016-12-31T00:00:00"/>
        <d v="2017-05-18T00:00:00"/>
        <d v="2016-01-15T00:00:00"/>
        <d v="2016-01-04T00:00:00"/>
        <d v="2015-09-12T00:00:00"/>
        <d v="2016-12-06T00:00:00"/>
        <d v="2016-08-18T00:00:00"/>
        <d v="2016-02-21T00:00:00"/>
        <d v="2017-04-17T00:00:00"/>
        <d v="2016-08-23T00:00:00"/>
        <d v="2016-03-24T00:00:00"/>
        <d v="2015-06-11T00:00:00"/>
        <d v="2015-04-30T00:00:00"/>
        <d v="2017-04-02T00:00:00"/>
        <d v="2016-04-09T00:00:00"/>
        <d v="2015-08-28T00:00:00"/>
        <d v="2016-11-07T00:00:00"/>
        <d v="2017-03-13T00:00:00"/>
        <d v="2017-05-27T00:00:00"/>
        <d v="2017-02-09T00:00:00"/>
        <d v="2016-03-03T00:00:00"/>
        <d v="2017-09-08T00:00:00"/>
        <d v="2014-12-16T00:00:00"/>
        <d v="2017-09-25T00:00:00"/>
        <d v="2017-02-11T00:00:00"/>
        <d v="2015-08-24T00:00:00"/>
        <d v="2016-03-26T00:00:00"/>
        <d v="2017-03-12T00:00:00"/>
        <d v="2017-10-02T00:00:00"/>
        <d v="2017-07-22T00:00:00"/>
        <d v="2014-12-01T00:00:00"/>
        <d v="2014-11-10T00:00:00"/>
        <d v="2016-01-09T00:00:00"/>
        <d v="2014-05-13T00:00:00"/>
        <d v="2015-10-02T00:00:00"/>
        <d v="2014-10-02T00:00:00"/>
        <d v="2017-10-27T00:00:00"/>
        <d v="2014-11-17T00:00:00"/>
        <d v="2014-05-22T00:00:00"/>
        <d v="2014-07-15T00:00:00"/>
        <d v="2017-05-08T00:00:00"/>
        <d v="2014-04-05T00:00:00"/>
        <d v="2014-09-17T00:00:00"/>
        <d v="2015-12-13T00:00:00"/>
        <d v="2017-10-01T00:00:00"/>
        <d v="2017-11-16T00:00:00"/>
        <d v="2014-11-18T00:00:00"/>
        <d v="2014-12-30T00:00:00"/>
        <d v="2017-12-14T00:00:00"/>
        <d v="2017-08-21T00:00:00"/>
        <d v="2016-08-27T00:00:00"/>
        <d v="2016-12-26T00:00:00"/>
        <d v="2014-09-23T00:00:00"/>
        <d v="2014-07-19T00:00:00"/>
        <d v="2016-05-06T00:00:00"/>
        <d v="2016-03-25T00:00:00"/>
        <d v="2015-12-04T00:00:00"/>
        <d v="2014-11-21T00:00:00"/>
        <d v="2016-05-28T00:00:00"/>
        <d v="2014-03-16T00:00:00"/>
        <d v="2017-03-03T00:00:00"/>
        <d v="2014-08-31T00:00:00"/>
        <d v="2016-11-30T00:00:00"/>
        <d v="2016-09-29T00:00:00"/>
        <d v="2017-04-10T00:00:00"/>
        <d v="2014-06-20T00:00:00"/>
        <d v="2016-12-20T00:00:00"/>
        <d v="2016-08-09T00:00:00"/>
        <d v="2016-11-21T00:00:00"/>
        <d v="2016-06-24T00:00:00"/>
        <d v="2015-09-17T00:00:00"/>
        <d v="2014-04-18T00:00:00"/>
        <d v="2016-03-29T00:00:00"/>
        <d v="2014-03-23T00:00:00"/>
        <d v="2014-09-09T00:00:00"/>
        <d v="2016-11-29T00:00:00"/>
        <d v="2016-09-22T00:00:00"/>
        <d v="2016-11-10T00:00:00"/>
        <d v="2016-06-13T00:00:00"/>
        <d v="2014-12-08T00:00:00"/>
        <d v="2015-07-09T00:00:00"/>
        <d v="2015-06-13T00:00:00"/>
        <d v="2017-04-21T00:00:00"/>
        <d v="2016-09-19T00:00:00"/>
        <d v="2015-09-18T00:00:00"/>
        <d v="2016-03-17T00:00:00"/>
        <d v="2016-12-09T00:00:00"/>
        <d v="2014-08-06T00:00:00"/>
        <d v="2014-04-11T00:00:00"/>
        <d v="2017-11-30T00:00:00"/>
        <d v="2014-11-16T00:00:00"/>
        <d v="2017-07-31T00:00:00"/>
        <d v="2015-11-12T00:00:00"/>
        <d v="2015-09-15T00:00:00"/>
        <d v="2015-09-14T00:00:00"/>
        <d v="2014-07-26T00:00:00"/>
        <d v="2014-12-20T00:00:00"/>
        <d v="2017-02-17T00:00:00"/>
        <d v="2014-07-27T00:00:00"/>
        <d v="2017-04-23T00:00:00"/>
        <d v="2015-10-23T00:00:00"/>
        <d v="2014-06-02T00:00:00"/>
        <d v="2017-05-01T00:00:00"/>
        <d v="2015-04-05T00:00:00"/>
        <d v="2017-06-05T00:00:00"/>
        <d v="2016-06-28T00:00:00"/>
        <d v="2015-10-19T00:00:00"/>
        <d v="2016-07-07T00:00:00"/>
        <d v="2015-03-08T00:00:00"/>
        <d v="2014-10-11T00:00:00"/>
        <d v="2015-12-10T00:00:00"/>
        <d v="2015-08-23T00:00:00"/>
        <d v="2017-08-11T00:00:00"/>
        <d v="2017-12-24T00:00:00"/>
        <d v="2016-09-26T00:00:00"/>
        <d v="2016-12-12T00:00:00"/>
        <d v="2015-07-16T00:00:00"/>
        <d v="2015-11-20T00:00:00"/>
        <d v="2016-03-10T00:00:00"/>
        <d v="2015-09-24T00:00:00"/>
        <d v="2016-08-04T00:00:00"/>
        <d v="2015-12-25T00:00:00"/>
        <d v="2015-05-02T00:00:00"/>
        <d v="2015-12-05T00:00:00"/>
        <d v="2014-04-07T00:00:00"/>
        <d v="2017-10-06T00:00:00"/>
        <d v="2016-10-21T00:00:00"/>
        <d v="2017-11-17T00:00:00"/>
        <d v="2017-04-01T00:00:00"/>
        <d v="2017-06-11T00:00:00"/>
        <d v="2016-04-04T00:00:00"/>
        <d v="2014-03-26T00:00:00"/>
        <d v="2017-07-21T00:00:00"/>
        <d v="2016-04-16T00:00:00"/>
        <d v="2015-11-21T00:00:00"/>
        <d v="2017-08-23T00:00:00"/>
        <d v="2014-10-26T00:00:00"/>
        <d v="2015-02-14T00:00:00"/>
        <d v="2017-09-01T00:00:00"/>
        <d v="2017-03-19T00:00:00"/>
        <d v="2017-07-23T00:00:00"/>
        <d v="2017-11-20T00:00:00"/>
        <d v="2015-07-05T00:00:00"/>
        <d v="2014-11-29T00:00:00"/>
        <d v="2016-07-22T00:00:00"/>
        <d v="2017-09-28T00:00:00"/>
        <d v="2014-12-24T00:00:00"/>
        <d v="2014-02-20T00:00:00"/>
        <d v="2017-07-17T00:00:00"/>
        <d v="2015-02-27T00:00:00"/>
        <d v="2015-07-12T00:00:00"/>
        <d v="2015-05-26T00:00:00"/>
        <d v="2015-05-28T00:00:00"/>
        <d v="2015-08-02T00:00:00"/>
        <d v="2015-05-03T00:00:00"/>
        <d v="2016-01-10T00:00:00"/>
        <d v="2016-07-31T00:00:00"/>
        <d v="2014-03-14T00:00:00"/>
        <d v="2017-06-29T00:00:00"/>
        <d v="2015-05-12T00:00:00"/>
        <d v="2016-07-18T00:00:00"/>
        <d v="2015-03-29T00:00:00"/>
        <d v="2016-10-07T00:00:00"/>
        <d v="2015-12-12T00:00:00"/>
        <d v="2014-11-03T00:00:00"/>
        <d v="2015-03-09T00:00:00"/>
        <d v="2016-05-14T00:00:00"/>
        <d v="2017-07-13T00:00:00"/>
        <d v="2015-04-07T00:00:00"/>
        <d v="2017-06-01T00:00:00"/>
        <d v="2014-06-25T00:00:00"/>
        <d v="2017-11-02T00:00:00"/>
        <d v="2016-11-28T00:00:00"/>
        <d v="2016-01-02T00:00:00"/>
        <d v="2015-03-15T00:00:00"/>
        <d v="2015-03-16T00:00:00"/>
        <d v="2016-11-18T00:00:00"/>
        <d v="2015-05-25T00:00:00"/>
        <d v="2015-12-07T00:00:00"/>
        <d v="2017-08-31T00:00:00"/>
        <d v="2016-01-31T00:00:00"/>
        <d v="2017-05-07T00:00:00"/>
        <d v="2014-04-30T00:00:00"/>
        <d v="2015-11-09T00:00:00"/>
        <d v="2015-09-07T00:00:00"/>
        <d v="2014-11-15T00:00:00"/>
        <d v="2016-12-18T00:00:00"/>
        <d v="2014-09-02T00:00:00"/>
        <d v="2015-07-11T00:00:00"/>
        <d v="2014-03-31T00:00:00"/>
        <d v="2015-01-03T00:00:00"/>
        <d v="2015-05-08T00:00:00"/>
        <d v="2014-12-06T00:00:00"/>
        <d v="2015-03-26T00:00:00"/>
        <d v="2015-09-19T00:00:00"/>
        <d v="2014-04-04T00:00:00"/>
        <d v="2014-09-14T00:00:00"/>
        <d v="2015-06-21T00:00:00"/>
        <d v="2017-06-30T00:00:00"/>
        <d v="2015-10-26T00:00:00"/>
        <d v="2015-09-13T00:00:00"/>
        <d v="2014-05-10T00:00:00"/>
        <d v="2014-09-20T00:00:00"/>
        <d v="2016-08-02T00:00:00"/>
        <d v="2017-11-03T00:00:00"/>
        <d v="2017-07-27T00:00:00"/>
        <d v="2015-10-11T00:00:00"/>
        <d v="2014-08-05T00:00:00"/>
        <d v="2016-08-14T00:00:00"/>
        <d v="2017-02-18T00:00:00"/>
        <d v="2017-09-21T00:00:00"/>
        <d v="2016-02-22T00:00:00"/>
        <d v="2017-09-18T00:00:00"/>
        <d v="2016-03-31T00:00:00"/>
        <d v="2016-12-03T00:00:00"/>
        <d v="2017-10-08T00:00:00"/>
        <d v="2017-06-12T00:00:00"/>
        <d v="2017-07-15T00:00:00"/>
        <d v="2015-05-30T00:00:00"/>
        <d v="2017-12-04T00:00:00"/>
        <d v="2015-03-31T00:00:00"/>
        <d v="2017-12-02T00:00:00"/>
        <d v="2014-11-28T00:00:00"/>
        <d v="2014-11-12T00:00:00"/>
        <d v="2014-10-03T00:00:00"/>
        <d v="2015-10-05T00:00:00"/>
        <d v="2016-09-25T00:00:00"/>
        <d v="2016-10-24T00:00:00"/>
        <d v="2014-02-11T00:00:00"/>
        <d v="2017-09-03T00:00:00"/>
        <d v="2015-06-09T00:00:00"/>
        <d v="2014-05-28T00:00:00"/>
        <d v="2014-04-02T00:00:00"/>
        <d v="2014-03-01T00:00:00"/>
        <d v="2015-05-04T00:00:00"/>
        <d v="2017-03-28T00:00:00"/>
        <d v="2014-10-14T00:00:00"/>
        <d v="2014-11-08T00:00:00"/>
        <d v="2015-11-26T00:00:00"/>
        <d v="2015-06-15T00:00:00"/>
        <d v="2015-07-18T00:00:00"/>
        <d v="2015-11-17T00:00:00"/>
        <d v="2014-10-16T00:00:00"/>
        <d v="2016-04-03T00:00:00"/>
        <d v="2017-11-06T00:00:00"/>
        <d v="2017-06-03T00:00:00"/>
        <d v="2016-07-04T00:00:00"/>
        <d v="2016-08-06T00:00:00"/>
        <d v="2014-08-25T00:00:00"/>
        <d v="2017-03-05T00:00:00"/>
        <d v="2017-08-20T00:00:00"/>
        <d v="2017-04-24T00:00:00"/>
        <d v="2015-12-30T00:00:00"/>
        <d v="2016-08-13T00:00:00"/>
        <d v="2017-02-23T00:00:00"/>
        <d v="2017-05-20T00:00:00"/>
        <d v="2016-11-22T00:00:00"/>
        <d v="2017-09-20T00:00:00"/>
        <d v="2016-11-13T00:00:00"/>
        <d v="2017-09-19T00:00:00"/>
        <d v="2015-10-18T00:00:00"/>
        <d v="2017-07-09T00:00:00"/>
        <d v="2016-06-27T00:00:00"/>
        <d v="2016-08-03T00:00:00"/>
        <d v="2014-03-19T00:00:00"/>
        <d v="2014-08-02T00:00:00"/>
        <d v="2017-04-04T00:00:00"/>
        <d v="2015-07-27T00:00:00"/>
        <d v="2016-10-20T00:00:00"/>
        <d v="2014-11-02T00:00:00"/>
        <d v="2016-01-22T00:00:00"/>
        <d v="2017-09-11T00:00:00"/>
        <d v="2015-10-01T00:00:00"/>
        <d v="2015-04-22T00:00:00"/>
        <d v="2017-02-16T00:00:00"/>
        <d v="2017-11-25T00:00:00"/>
        <d v="2014-06-17T00:00:00"/>
        <d v="2015-03-07T00:00:00"/>
        <d v="2017-01-23T00:00:00"/>
        <d v="2017-10-03T00:00:00"/>
        <d v="2017-01-15T00:00:00"/>
        <d v="2017-08-06T00:00:00"/>
        <d v="2017-08-17T00:00:00"/>
        <d v="2015-03-30T00:00:00"/>
        <d v="2017-05-22T00:00:00"/>
        <d v="2016-12-02T00:00:00"/>
        <d v="2015-08-29T00:00:00"/>
        <d v="2017-10-28T00:00:00"/>
        <d v="2015-07-24T00:00:00"/>
        <d v="2017-03-06T00:00:00"/>
        <d v="2016-12-23T00:00:00"/>
        <d v="2015-10-25T00:00:00"/>
        <d v="2014-10-20T00:00:00"/>
        <d v="2016-11-25T00:00:00"/>
        <d v="2016-08-07T00:00:00"/>
        <d v="2015-04-21T00:00:00"/>
        <d v="2017-08-05T00:00:00"/>
        <d v="2015-08-10T00:00:00"/>
        <d v="2017-05-12T00:00:00"/>
        <d v="2016-09-02T00:00:00"/>
        <d v="2014-10-05T00:00:00"/>
        <d v="2017-09-14T00:00:00"/>
        <d v="2016-10-02T00:00:00"/>
        <d v="2017-02-05T00:00:00"/>
        <d v="2016-09-12T00:00:00"/>
        <d v="2017-12-23T00:00:00"/>
        <d v="2016-08-21T00:00:00"/>
        <d v="2014-10-17T00:00:00"/>
        <d v="2017-07-24T00:00:00"/>
        <d v="2016-09-27T00:00:00"/>
        <d v="2017-05-02T00:00:00"/>
        <d v="2015-06-12T00:00:00"/>
        <d v="2016-06-23T00:00:00"/>
        <d v="2015-07-25T00:00:00"/>
        <d v="2015-10-16T00:00:00"/>
        <d v="2014-03-11T00:00:00"/>
        <d v="2014-08-23T00:00:00"/>
        <d v="2017-02-06T00:00:00"/>
        <d v="2014-05-02T00:00:00"/>
        <d v="2017-07-18T00:00:00"/>
        <d v="2014-04-08T00:00:00"/>
        <d v="2017-03-11T00:00:00"/>
        <d v="2015-05-13T00:00:00"/>
        <d v="2017-04-25T00:00:00"/>
        <d v="2016-12-27T00:00:00"/>
        <d v="2015-08-11T00:00:00"/>
        <d v="2017-02-24T00:00:00"/>
        <d v="2016-07-10T00:00:00"/>
        <d v="2015-06-04T00:00:00"/>
        <d v="2016-07-19T00:00:00"/>
        <d v="2017-10-16T00:00:00"/>
        <d v="2017-10-14T00:00:00"/>
        <d v="2014-10-28T00:00:00"/>
        <d v="2016-09-13T00:00:00"/>
        <d v="2017-05-30T00:00:00"/>
        <d v="2017-09-17T00:00:00"/>
        <d v="2017-06-25T00:00:00"/>
        <d v="2016-07-01T00:00:00"/>
        <d v="2014-01-06T00:00:00"/>
        <d v="2017-07-14T00:00:00"/>
        <d v="2017-03-30T00:00:00"/>
        <d v="2014-10-10T00:00:00"/>
        <d v="2014-11-20T00:00:00"/>
        <d v="2014-03-21T00:00:00"/>
        <d v="2014-03-30T00:00:00"/>
        <d v="2016-10-06T00:00:00"/>
        <d v="2016-10-04T00:00:00"/>
        <d v="2014-10-08T00:00:00"/>
        <d v="2014-10-25T00:00:00"/>
        <d v="2017-07-30T00:00:00"/>
        <d v="2015-06-18T00:00:00"/>
        <d v="2016-08-01T00:00:00"/>
        <d v="2016-04-18T00:00:00"/>
        <d v="2016-01-08T00:00:00"/>
        <d v="2017-10-31T00:00:00"/>
        <d v="2015-04-26T00:00:00"/>
        <d v="2015-09-27T00:00:00"/>
        <d v="2014-05-30T00:00:00"/>
        <d v="2017-08-13T00:00:00"/>
        <d v="2017-06-17T00:00:00"/>
        <d v="2015-11-19T00:00:00"/>
        <d v="2016-10-10T00:00:00"/>
        <d v="2014-05-31T00:00:00"/>
        <d v="2016-07-20T00:00:00"/>
        <d v="2017-05-25T00:00:00"/>
        <d v="2017-10-17T00:00:00"/>
        <d v="2015-09-11T00:00:00"/>
        <d v="2015-10-20T00:00:00"/>
        <d v="2015-05-22T00:00:00"/>
        <d v="2014-12-09T00:00:00"/>
        <d v="2015-02-06T00:00:00"/>
        <d v="2014-07-20T00:00:00"/>
        <d v="2017-03-23T00:00:00"/>
        <d v="2016-03-09T00:00:00"/>
        <d v="2015-09-28T00:00:00"/>
        <d v="2017-09-05T00:00:00"/>
        <d v="2014-09-01T00:00:00"/>
        <d v="2014-08-12T00:00:00"/>
        <d v="2016-05-10T00:00:00"/>
        <d v="2017-08-12T00:00:00"/>
        <d v="2014-04-29T00:00:00"/>
        <d v="2017-07-26T00:00:00"/>
        <d v="2017-01-26T00:00:00"/>
        <d v="2014-12-27T00:00:00"/>
        <d v="2017-04-28T00:00:00"/>
        <d v="2016-12-17T00:00:00"/>
        <d v="2017-05-09T00:00:00"/>
        <d v="2017-03-14T00:00:00"/>
        <d v="2016-03-06T00:00:00"/>
        <d v="2014-04-28T00:00:00"/>
        <d v="2014-03-28T00:00:00"/>
        <d v="2015-05-10T00:00:00"/>
        <d v="2014-07-21T00:00:00"/>
        <d v="2016-02-02T00:00:00"/>
        <d v="2014-03-05T00:00:00"/>
        <d v="2015-03-01T00:00:00"/>
        <d v="2014-05-16T00:00:00"/>
        <d v="2016-11-17T00:00:00"/>
        <d v="2014-05-20T00:00:00"/>
        <d v="2016-01-03T00:00:00"/>
        <d v="2016-11-09T00:00:00"/>
        <d v="2016-12-22T00:00:00"/>
        <d v="2014-11-05T00:00:00"/>
        <d v="2016-12-16T00:00:00"/>
        <d v="2017-06-27T00:00:00"/>
        <d v="2015-06-16T00:00:00"/>
        <d v="2016-04-06T00:00:00"/>
        <d v="2014-05-08T00:00:00"/>
        <d v="2015-11-23T00:00:00"/>
        <d v="2016-02-09T00:00:00"/>
        <d v="2015-07-02T00:00:00"/>
        <d v="2015-09-22T00:00:00"/>
        <d v="2017-10-13T00:00:00"/>
        <d v="2016-11-04T00:00:00"/>
        <d v="2015-03-23T00:00:00"/>
        <d v="2016-06-30T00:00:00"/>
        <d v="2017-10-20T00:00:00"/>
        <d v="2016-10-17T00:00:00"/>
        <d v="2015-08-07T00:00:00"/>
        <d v="2016-01-30T00:00:00"/>
        <d v="2015-12-17T00:00:00"/>
        <d v="2017-11-11T00:00:00"/>
        <d v="2017-12-16T00:00:00"/>
        <d v="2017-05-26T00:00:00"/>
        <d v="2016-02-04T00:00:00"/>
        <d v="2016-09-04T00:00:00"/>
        <d v="2015-06-01T00:00:00"/>
        <d v="2015-11-07T00:00:00"/>
        <d v="2017-01-19T00:00:00"/>
        <d v="2014-02-02T00:00:00"/>
        <d v="2017-09-30T00:00:00"/>
        <d v="2016-01-23T00:00:00"/>
        <d v="2015-06-08T00:00:00"/>
        <d v="2015-08-21T00:00:00"/>
        <d v="2014-11-30T00:00:00"/>
        <d v="2017-08-03T00:00:00"/>
        <d v="2016-05-12T00:00:00"/>
        <d v="2014-03-25T00:00:00"/>
        <d v="2016-04-05T00:00:00"/>
        <d v="2017-02-21T00:00:00"/>
        <d v="2014-10-19T00:00:00"/>
        <d v="2015-08-17T00:00:00"/>
        <d v="2016-06-16T00:00:00"/>
        <d v="2014-10-09T00:00:00"/>
        <d v="2016-05-03T00:00:00"/>
        <d v="2017-07-05T00:00:00"/>
        <d v="2017-01-24T00:00:00"/>
        <d v="2016-09-18T00:00:00"/>
        <d v="2014-09-26T00:00:00"/>
        <d v="2016-05-31T00:00:00"/>
        <d v="2017-12-15T00:00:00"/>
        <d v="2016-02-16T00:00:00"/>
        <d v="2015-06-29T00:00:00"/>
        <d v="2016-03-04T00:00:00"/>
        <d v="2017-03-27T00:00:00"/>
        <d v="2014-02-14T00:00:00"/>
        <d v="2014-06-18T00:00:00"/>
        <d v="2016-09-14T00:00:00"/>
        <d v="2015-01-12T00:00:00"/>
        <d v="2017-04-20T00:00:00"/>
        <d v="2014-04-03T00:00:00"/>
        <d v="2015-08-08T00:00:00"/>
        <d v="2015-03-20T00:00:00"/>
        <d v="2014-03-02T00:00:00"/>
      </sharedItems>
    </cacheField>
    <cacheField name="Ship Date" numFmtId="14">
      <sharedItems containsSemiMixedTypes="0" containsNonDate="0" containsDate="1" containsString="0" minDate="2014-01-10T00:00:00" maxDate="2018-01-05T00:00:00"/>
    </cacheField>
    <cacheField name="Ship Mode" numFmtId="0">
      <sharedItems count="4">
        <s v="Standard Class"/>
        <s v="Secon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43">
        <s v="Los Angeles"/>
        <s v="San Francisco"/>
        <s v="Richardson"/>
        <s v="Houston"/>
        <s v="Naperville"/>
        <s v="Eagan"/>
        <s v="Dover"/>
        <s v="New York City"/>
        <s v="Troy"/>
        <s v="Gilbert"/>
        <s v="Rochester"/>
        <s v="Chicago"/>
        <s v="Aurora"/>
        <s v="Charlotte"/>
        <s v="Orland Park"/>
        <s v="Wilmington"/>
        <s v="Columbus"/>
        <s v="Franklin"/>
        <s v="Scottsdale"/>
        <s v="Edmond"/>
        <s v="Philadelphia"/>
        <s v="San Antonio"/>
        <s v="Decatur"/>
        <s v="Monroe"/>
        <s v="Whittier"/>
        <s v="Saginaw"/>
        <s v="Dallas"/>
        <s v="Medina"/>
        <s v="Dublin"/>
        <s v="Tampa"/>
        <s v="San Diego"/>
        <s v="Brentwood"/>
        <s v="Portland"/>
        <s v="Saint Petersburg"/>
        <s v="Hesperia"/>
        <s v="Tucson"/>
        <s v="Taylor"/>
        <s v="Pembroke Pines"/>
        <s v="Des Moines"/>
        <s v="Louisville"/>
        <s v="New Rochelle"/>
        <s v="Gastonia"/>
        <s v="Jacksonville"/>
        <s v="Auburn"/>
        <s v="Norman"/>
        <s v="Seattle"/>
        <s v="Huntsville"/>
        <s v="Gladstone"/>
        <s v="Great Falls"/>
        <s v="Montgomery"/>
        <s v="Green Bay"/>
        <s v="Fort Worth"/>
        <s v="Denver"/>
        <s v="Salem"/>
        <s v="Laredo"/>
        <s v="Grove City"/>
        <s v="Miami"/>
        <s v="Rochester Hills"/>
        <s v="Vancouver"/>
        <s v="Tyler"/>
        <s v="Burlington"/>
        <s v="Jackson"/>
        <s v="Waynesboro"/>
        <s v="Cary"/>
        <s v="Mount Vernon"/>
        <s v="Austin"/>
        <s v="Evanston"/>
        <s v="Cottage Grove"/>
        <s v="Bossier City"/>
        <s v="Asheville"/>
        <s v="Omaha"/>
        <s v="Edmonds"/>
        <s v="Santa Ana"/>
        <s v="Belleville"/>
        <s v="Florence"/>
        <s v="Linden"/>
        <s v="Concord"/>
        <s v="Detroit"/>
        <s v="Milwaukee"/>
        <s v="Farmington"/>
        <s v="Phoenix"/>
        <s v="Pasadena"/>
        <s v="Virginia Beach"/>
        <s v="Washington"/>
        <s v="Springfield"/>
        <s v="Hackensack"/>
        <s v="Toledo"/>
        <s v="Mesa"/>
        <s v="Yonkers"/>
        <s v="Oakland"/>
        <s v="Encinitas"/>
        <s v="Roswell"/>
        <s v="Jonesboro"/>
        <s v="Lansing"/>
        <s v="Rockville"/>
        <s v="Lakewood"/>
        <s v="Cincinnati"/>
        <s v="Chester"/>
        <s v="La Porte"/>
        <s v="Macon"/>
        <s v="Cedar Rapids"/>
        <s v="Saint Paul"/>
        <s v="Deltona"/>
        <s v="Lorain"/>
        <s v="Clinton"/>
        <s v="Pleasant Grove"/>
        <s v="Smyrna"/>
        <s v="Costa Mesa"/>
        <s v="Amarillo"/>
        <s v="Mobile"/>
        <s v="Glendale"/>
        <s v="Westminster"/>
        <s v="Everett"/>
        <s v="Long Beach"/>
        <s v="Allen"/>
        <s v="El Paso"/>
        <s v="Olympia"/>
        <s v="Kent"/>
        <s v="Cleveland"/>
        <s v="Tigard"/>
        <s v="North Las Vegas"/>
        <s v="Plano"/>
        <s v="Bayonne"/>
        <s v="Kenosha"/>
        <s v="Tulsa"/>
        <s v="Raleigh"/>
        <s v="Muskogee"/>
        <s v="South Bend"/>
        <s v="Bristol"/>
        <s v="Newark"/>
        <s v="Arlington"/>
        <s v="Carrollton"/>
        <s v="Paterson"/>
        <s v="Oklahoma City"/>
        <s v="Chesapeake"/>
        <s v="Columbia"/>
        <s v="Perth Amboy"/>
        <s v="Pomona"/>
        <s v="Redlands"/>
        <s v="Saint Louis"/>
        <s v="Little Rock"/>
        <s v="Fairfield"/>
        <s v="Marion"/>
        <s v="Bangor"/>
        <s v="Atlanta"/>
        <s v="Southaven"/>
        <s v="New Castle"/>
        <s v="Sioux Falls"/>
        <s v="Warwick"/>
        <s v="Fresno"/>
        <s v="Albuquerque"/>
        <s v="Sparks"/>
        <s v="Coachella"/>
        <s v="Passaic"/>
        <s v="Jamestown"/>
        <s v="La Quinta"/>
        <s v="Tallahassee"/>
        <s v="Bowling Green"/>
        <s v="Alexandria"/>
        <s v="Summerville"/>
        <s v="Carlsbad"/>
        <s v="Hot Springs"/>
        <s v="Englewood"/>
        <s v="Plainfield"/>
        <s v="Hoover"/>
        <s v="Frisco"/>
        <s v="Pompano Beach"/>
        <s v="Redondo Beach"/>
        <s v="Anaheim"/>
        <s v="Westfield"/>
        <s v="Noblesville"/>
        <s v="Pharr"/>
        <s v="Gresham"/>
        <s v="Apple Valley"/>
        <s v="Henderson"/>
        <s v="Lakeland"/>
        <s v="Fort Collins"/>
        <s v="Lowell"/>
        <s v="Tempe"/>
        <s v="Grand Prairie"/>
        <s v="Visalia"/>
        <s v="Temecula"/>
        <s v="Quincy"/>
        <s v="Hempstead"/>
        <s v="Richmond"/>
        <s v="Dearborn Heights"/>
        <s v="Overland Park"/>
        <s v="Santa Fe"/>
        <s v="Hickory"/>
        <s v="Saint Cloud"/>
        <s v="Fayetteville"/>
        <s v="Orlando"/>
        <s v="Lancaster"/>
        <s v="Mesquite"/>
        <s v="Inglewood"/>
        <s v="Manhattan"/>
        <s v="Fort Lauderdale"/>
        <s v="Greensboro"/>
        <s v="Plantation"/>
        <s v="Thornton"/>
        <s v="Lawrence"/>
        <s v="Johnson City"/>
        <s v="Bloomington"/>
        <s v="Texarkana"/>
        <s v="Pearland"/>
        <s v="Bakersfield"/>
        <s v="Bedford"/>
        <s v="Lafayette"/>
        <s v="Covington"/>
        <s v="Indianapolis"/>
        <s v="Broken Arrow"/>
        <s v="Sacramento"/>
        <s v="Baltimore"/>
        <s v="Boise"/>
        <s v="Moorhead"/>
        <s v="Murray"/>
        <s v="Port Arthur"/>
        <s v="Akron"/>
        <s v="Redmond"/>
        <s v="Daytona Beach"/>
        <s v="Stockton"/>
        <s v="Elkhart"/>
        <s v="Highland Park"/>
        <s v="Sandy Springs"/>
        <s v="Westland"/>
        <s v="Mentor"/>
        <s v="Rome"/>
        <s v="Providence"/>
        <s v="Hattiesburg"/>
        <s v="Newport News"/>
        <s v="Logan"/>
        <s v="Lewiston"/>
        <s v="Spokane"/>
        <s v="Avondale"/>
        <s v="Colorado Springs"/>
        <s v="Eau Claire"/>
        <s v="Marietta"/>
        <s v="Gaithersburg"/>
        <s v="Lehi"/>
        <s v="Georgetown"/>
        <s v="Minneapolis"/>
        <s v="Trenton"/>
        <s v="Oceanside"/>
        <s v="Peoria"/>
        <s v="Round Rock"/>
        <s v="Clovis"/>
        <s v="Wichita"/>
        <s v="Olathe"/>
        <s v="Draper"/>
        <s v="La Crosse"/>
        <s v="La Mesa"/>
        <s v="Pocatello"/>
        <s v="Athens"/>
        <s v="Ann Arbor"/>
        <s v="Madison"/>
        <s v="Greenville"/>
        <s v="Hialeah"/>
        <s v="Redding"/>
        <s v="Thousand Oaks"/>
        <s v="Utica"/>
        <s v="Roseville"/>
        <s v="Bellingham"/>
        <s v="New Bedford"/>
        <s v="Kenner"/>
        <s v="Mcallen"/>
        <s v="Manchester"/>
        <s v="Des Plaines"/>
        <s v="Irving"/>
        <s v="Cambridge"/>
        <s v="Palatine"/>
        <s v="Lebanon"/>
        <s v="Laguna Niguel"/>
        <s v="Renton"/>
        <s v="Waterbury"/>
        <s v="Glenview"/>
        <s v="Vineland"/>
        <s v="Skokie"/>
        <s v="Montebello"/>
        <s v="Torrance"/>
        <s v="Beaumont"/>
        <s v="Huntington Beach"/>
        <s v="West Palm Beach"/>
        <s v="Hampton"/>
        <s v="Nashville"/>
        <s v="Saint Charles"/>
        <s v="Superior"/>
        <s v="Helena"/>
        <s v="Yuma"/>
        <s v="San Jose"/>
        <s v="Park Ridge"/>
        <s v="Burbank"/>
        <s v="Modesto"/>
        <s v="Garden City"/>
        <s v="Bolingbrook"/>
        <s v="Brownsville"/>
        <s v="Pueblo"/>
        <s v="Buffalo"/>
        <s v="Riverside"/>
        <s v="Memphis"/>
        <s v="Hollywood"/>
        <s v="Chico"/>
        <s v="Sheboygan"/>
        <s v="Boca Raton"/>
        <s v="Dubuque"/>
        <s v="East Point"/>
        <s v="Middletown"/>
        <s v="Milford"/>
        <s v="Knoxville"/>
        <s v="Kissimmee"/>
        <s v="Shelton"/>
        <s v="Clarksville"/>
        <s v="Lubbock"/>
        <s v="Longmont"/>
        <s v="The Colony"/>
        <s v="San Marcos"/>
        <s v="Reno"/>
        <s v="Oxnard"/>
        <s v="Murfreesboro"/>
        <s v="Hillsboro"/>
        <s v="Morristown"/>
        <s v="Durham"/>
        <s v="Chattanooga"/>
        <s v="Coral Gables"/>
        <s v="Rockford"/>
        <s v="Sunnyvale"/>
        <s v="Harrisonburg"/>
        <s v="Haltom City"/>
        <s v="Buffalo Grove"/>
        <s v="Las Vegas"/>
        <s v="Allentown"/>
        <s v="Pine Bluff"/>
        <s v="Delray Beach"/>
        <s v="East Orange"/>
        <s v="Coppell"/>
        <s v="Mission Viejo"/>
        <s v="Appleton"/>
        <s v="Fremont"/>
        <s v="Woodland"/>
        <s v="Coon Rapids"/>
        <s v="Santa Barbara"/>
        <s v="Woodstock"/>
        <s v="Niagara Falls"/>
        <s v="Grand Rapids"/>
      </sharedItems>
    </cacheField>
    <cacheField name="State" numFmtId="0">
      <sharedItems count="46">
        <s v="California"/>
        <s v="Texas"/>
        <s v="Illinois"/>
        <s v="Minnesota"/>
        <s v="Delaware"/>
        <s v="New York"/>
        <s v="Arizona"/>
        <s v="Colorado"/>
        <s v="North Carolina"/>
        <s v="Ohio"/>
        <s v="Wisconsin"/>
        <s v="Oklahoma"/>
        <s v="Pennsylvania"/>
        <s v="Louisiana"/>
        <s v="Michigan"/>
        <s v="Florida"/>
        <s v="Oregon"/>
        <s v="Washington"/>
        <s v="Missouri"/>
        <s v="Montana"/>
        <s v="Alabama"/>
        <s v="Indiana"/>
        <s v="Mississippi"/>
        <s v="Virginia"/>
        <s v="Iowa"/>
        <s v="Nebraska"/>
        <s v="New Jersey"/>
        <s v="Kentucky"/>
        <s v="New Hampshire"/>
        <s v="New Mexico"/>
        <s v="District of Columbia"/>
        <s v="Georgia"/>
        <s v="Arkansas"/>
        <s v="Maryland"/>
        <s v="Utah"/>
        <s v="Massachusetts"/>
        <s v="Nevada"/>
        <s v="Connecticut"/>
        <s v="Vermont"/>
        <s v="Maine"/>
        <s v="South Dakota"/>
        <s v="Rhode Island"/>
        <s v="South Carolina"/>
        <s v="Kansas"/>
        <s v="Tennessee"/>
        <s v="Idaho"/>
      </sharedItems>
    </cacheField>
    <cacheField name="Region" numFmtId="0">
      <sharedItems count="4">
        <s v="West"/>
        <s v="Central"/>
        <s v="East"/>
        <s v="South"/>
      </sharedItems>
    </cacheField>
    <cacheField name="Product ID" numFmtId="0">
      <sharedItems/>
    </cacheField>
    <cacheField name="Category" numFmtId="0">
      <sharedItems count="1">
        <s v="Technology"/>
      </sharedItems>
    </cacheField>
    <cacheField name="Sub-Category" numFmtId="0">
      <sharedItems count="4">
        <s v="Phones"/>
        <s v="Accessories"/>
        <s v="Machines"/>
        <s v="Copiers"/>
      </sharedItems>
    </cacheField>
    <cacheField name="Product Name" numFmtId="0">
      <sharedItems/>
    </cacheField>
    <cacheField name="Sales" numFmtId="0">
      <sharedItems containsSemiMixedTypes="0" containsString="0" containsNumber="1" minValue="0.99"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Duration" numFmtId="2">
      <sharedItems count="8">
        <s v="5 days"/>
        <s v="4 days"/>
        <s v="2 days"/>
        <s v="6 days"/>
        <s v="1 days"/>
        <s v="7 days"/>
        <s v="3 days"/>
        <s v="0 days"/>
      </sharedItems>
    </cacheField>
    <cacheField name="Year" numFmtId="0">
      <sharedItems containsSemiMixedTypes="0" containsString="0" containsNumber="1" containsInteger="1" minValue="2014" maxValue="2017" count="4">
        <n v="2014"/>
        <n v="2016"/>
        <n v="2015"/>
        <n v="2017"/>
      </sharedItems>
    </cacheField>
    <cacheField name="Month" numFmtId="0">
      <sharedItems count="12">
        <s v="Jun"/>
        <s v="Aug"/>
        <s v="Jan"/>
        <s v="Dec"/>
        <s v="Sep"/>
        <s v="Mar"/>
        <s v="Nov"/>
        <s v="Oct"/>
        <s v="Feb"/>
        <s v="Apr"/>
        <s v="Jul"/>
        <s v="May"/>
      </sharedItems>
    </cacheField>
    <cacheField name="Profit Margin" numFmtId="10">
      <sharedItems containsSemiMixedTypes="0" containsString="0" containsNumber="1" minValue="-1.4666666666666699" maxValue="0.5"/>
    </cacheField>
  </cacheFields>
  <extLst>
    <ext xmlns:x14="http://schemas.microsoft.com/office/spreadsheetml/2009/9/main" uri="{725AE2AE-9491-48be-B2B4-4EB974FC3084}">
      <x14:pivotCacheDefinition pivotCacheId="1776824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7">
  <r>
    <s v="CA-2014-115812"/>
    <x v="0"/>
    <d v="2014-06-14T00:00:00"/>
    <x v="0"/>
    <s v="BH-11710"/>
    <s v="Brosina Hoffman"/>
    <x v="0"/>
    <s v="United States"/>
    <x v="0"/>
    <x v="0"/>
    <x v="0"/>
    <s v="TEC-PH-10002275"/>
    <x v="0"/>
    <x v="0"/>
    <s v="Mitel 5320 IP Phone VoIP phone"/>
    <n v="907.15200000000004"/>
    <n v="6"/>
    <n v="90.715199999999996"/>
    <x v="0"/>
    <x v="0"/>
    <x v="0"/>
    <n v="0.1"/>
  </r>
  <r>
    <s v="CA-2014-115812"/>
    <x v="0"/>
    <d v="2014-06-14T00:00:00"/>
    <x v="0"/>
    <s v="BH-11710"/>
    <s v="Brosina Hoffman"/>
    <x v="0"/>
    <s v="United States"/>
    <x v="0"/>
    <x v="0"/>
    <x v="0"/>
    <s v="TEC-PH-10002033"/>
    <x v="0"/>
    <x v="0"/>
    <s v="Konftel 250 Conference phone - Charcoal black"/>
    <n v="911.42399999999998"/>
    <n v="4"/>
    <n v="68.356800000000007"/>
    <x v="0"/>
    <x v="0"/>
    <x v="0"/>
    <n v="7.4999999999999997E-2"/>
  </r>
  <r>
    <s v="CA-2014-143336"/>
    <x v="1"/>
    <d v="2014-09-01T00:00:00"/>
    <x v="1"/>
    <s v="ZD-21925"/>
    <s v="Zuschuss Donatelli"/>
    <x v="0"/>
    <s v="United States"/>
    <x v="1"/>
    <x v="0"/>
    <x v="0"/>
    <s v="TEC-PH-10001949"/>
    <x v="0"/>
    <x v="0"/>
    <s v="Cisco SPA 501G IP Phone"/>
    <n v="213.48"/>
    <n v="3"/>
    <n v="16.010999999999999"/>
    <x v="0"/>
    <x v="0"/>
    <x v="1"/>
    <n v="7.4999999999999997E-2"/>
  </r>
  <r>
    <s v="CA-2016-121755"/>
    <x v="2"/>
    <d v="2016-01-20T00:00:00"/>
    <x v="1"/>
    <s v="EH-13945"/>
    <s v="Eric Hoffmann"/>
    <x v="0"/>
    <s v="United States"/>
    <x v="0"/>
    <x v="0"/>
    <x v="0"/>
    <s v="TEC-AC-10003027"/>
    <x v="0"/>
    <x v="1"/>
    <s v="Imation 8GB Mini TravelDrive USB 2.0 Flash Drive"/>
    <n v="90.57"/>
    <n v="3"/>
    <n v="11.774100000000001"/>
    <x v="1"/>
    <x v="1"/>
    <x v="2"/>
    <n v="0.13"/>
  </r>
  <r>
    <s v="CA-2016-117590"/>
    <x v="3"/>
    <d v="2016-12-10T00:00:00"/>
    <x v="2"/>
    <s v="GH-14485"/>
    <s v="Gene Hale"/>
    <x v="1"/>
    <s v="United States"/>
    <x v="2"/>
    <x v="1"/>
    <x v="1"/>
    <s v="TEC-PH-10004977"/>
    <x v="0"/>
    <x v="0"/>
    <s v="GE 30524EE4"/>
    <n v="1097.5440000000001"/>
    <n v="7"/>
    <n v="123.47369999999999"/>
    <x v="2"/>
    <x v="1"/>
    <x v="3"/>
    <n v="0.1125"/>
  </r>
  <r>
    <s v="CA-2015-117415"/>
    <x v="4"/>
    <d v="2015-12-31T00:00:00"/>
    <x v="0"/>
    <s v="SN-20710"/>
    <s v="Steve Nguyen"/>
    <x v="2"/>
    <s v="United States"/>
    <x v="3"/>
    <x v="1"/>
    <x v="1"/>
    <s v="TEC-PH-10000486"/>
    <x v="0"/>
    <x v="0"/>
    <s v="Plantronics HL10 Handset Lifter"/>
    <n v="371.16800000000001"/>
    <n v="4"/>
    <n v="41.756399999999999"/>
    <x v="1"/>
    <x v="2"/>
    <x v="3"/>
    <n v="0.1125"/>
  </r>
  <r>
    <s v="CA-2017-120999"/>
    <x v="5"/>
    <d v="2017-09-15T00:00:00"/>
    <x v="0"/>
    <s v="LC-16930"/>
    <s v="Linda Cazamias"/>
    <x v="1"/>
    <s v="United States"/>
    <x v="4"/>
    <x v="2"/>
    <x v="1"/>
    <s v="TEC-PH-10004093"/>
    <x v="0"/>
    <x v="0"/>
    <s v="Panasonic Kx-TS550"/>
    <n v="147.16800000000001"/>
    <n v="4"/>
    <n v="16.5564"/>
    <x v="0"/>
    <x v="3"/>
    <x v="4"/>
    <n v="0.1125"/>
  </r>
  <r>
    <s v="CA-2016-118255"/>
    <x v="6"/>
    <d v="2016-03-13T00:00:00"/>
    <x v="2"/>
    <s v="ON-18715"/>
    <s v="Odella Nelson"/>
    <x v="1"/>
    <s v="United States"/>
    <x v="5"/>
    <x v="3"/>
    <x v="1"/>
    <s v="TEC-AC-10000171"/>
    <x v="0"/>
    <x v="1"/>
    <s v="Verbatim 25 GB 6x Blu-ray Single Layer Recordable Disc, 25/Pack"/>
    <n v="45.98"/>
    <n v="2"/>
    <n v="19.7714"/>
    <x v="2"/>
    <x v="1"/>
    <x v="5"/>
    <n v="0.43"/>
  </r>
  <r>
    <s v="CA-2016-169194"/>
    <x v="7"/>
    <d v="2016-06-25T00:00:00"/>
    <x v="0"/>
    <s v="LH-16900"/>
    <s v="Lena Hernandez"/>
    <x v="0"/>
    <s v="United States"/>
    <x v="6"/>
    <x v="4"/>
    <x v="2"/>
    <s v="TEC-AC-10002167"/>
    <x v="0"/>
    <x v="1"/>
    <s v="Imation 8gb Micro Traveldrive Usb 2.0 Flash Drive"/>
    <n v="45"/>
    <n v="3"/>
    <n v="4.95"/>
    <x v="0"/>
    <x v="1"/>
    <x v="0"/>
    <n v="0.11"/>
  </r>
  <r>
    <s v="CA-2016-169194"/>
    <x v="7"/>
    <d v="2016-06-25T00:00:00"/>
    <x v="0"/>
    <s v="LH-16900"/>
    <s v="Lena Hernandez"/>
    <x v="0"/>
    <s v="United States"/>
    <x v="6"/>
    <x v="4"/>
    <x v="2"/>
    <s v="TEC-PH-10003988"/>
    <x v="0"/>
    <x v="0"/>
    <s v="LF Elite 3D Dazzle Designer Hard Case Cover, Lf Stylus Pen and Wiper For Apple Iphone 5c Mini Lite"/>
    <n v="21.8"/>
    <n v="2"/>
    <n v="6.1040000000000001"/>
    <x v="0"/>
    <x v="1"/>
    <x v="0"/>
    <n v="0.28000000000000003"/>
  </r>
  <r>
    <s v="CA-2016-105816"/>
    <x v="8"/>
    <d v="2016-12-17T00:00:00"/>
    <x v="0"/>
    <s v="JM-15265"/>
    <s v="Janet Molinari"/>
    <x v="1"/>
    <s v="United States"/>
    <x v="7"/>
    <x v="5"/>
    <x v="2"/>
    <s v="TEC-PH-10002447"/>
    <x v="0"/>
    <x v="0"/>
    <s v="AT&amp;T CL83451 4-Handset Telephone"/>
    <n v="1029.95"/>
    <n v="5"/>
    <n v="298.68549999999999"/>
    <x v="3"/>
    <x v="1"/>
    <x v="3"/>
    <n v="0.28999999999999998"/>
  </r>
  <r>
    <s v="CA-2016-111682"/>
    <x v="9"/>
    <d v="2016-06-18T00:00:00"/>
    <x v="2"/>
    <s v="TB-21055"/>
    <s v="Ted Butterfield"/>
    <x v="0"/>
    <s v="United States"/>
    <x v="8"/>
    <x v="5"/>
    <x v="2"/>
    <s v="TEC-AC-10002167"/>
    <x v="0"/>
    <x v="1"/>
    <s v="Imation 8gb Micro Traveldrive Usb 2.0 Flash Drive"/>
    <n v="30"/>
    <n v="2"/>
    <n v="3.3"/>
    <x v="4"/>
    <x v="1"/>
    <x v="0"/>
    <n v="0.11"/>
  </r>
  <r>
    <s v="CA-2015-135545"/>
    <x v="10"/>
    <d v="2015-11-30T00:00:00"/>
    <x v="0"/>
    <s v="KM-16720"/>
    <s v="Kunst Miller"/>
    <x v="0"/>
    <s v="United States"/>
    <x v="0"/>
    <x v="0"/>
    <x v="0"/>
    <s v="TEC-AC-10004633"/>
    <x v="0"/>
    <x v="1"/>
    <s v="Verbatim 25 GB 6x Blu-ray Single Layer Recordable Disc, 3/Pack"/>
    <n v="13.98"/>
    <n v="2"/>
    <n v="6.1512000000000002"/>
    <x v="3"/>
    <x v="2"/>
    <x v="6"/>
    <n v="0.44"/>
  </r>
  <r>
    <s v="CA-2014-106376"/>
    <x v="11"/>
    <d v="2014-12-10T00:00:00"/>
    <x v="0"/>
    <s v="BS-11590"/>
    <s v="Brendan Sweed"/>
    <x v="1"/>
    <s v="United States"/>
    <x v="9"/>
    <x v="6"/>
    <x v="0"/>
    <s v="TEC-PH-10002726"/>
    <x v="0"/>
    <x v="0"/>
    <s v="netTALK DUO VoIP Telephone Service"/>
    <n v="167.96799999999999"/>
    <n v="4"/>
    <n v="62.988"/>
    <x v="0"/>
    <x v="0"/>
    <x v="3"/>
    <n v="0.375"/>
  </r>
  <r>
    <s v="CA-2017-155558"/>
    <x v="12"/>
    <d v="2017-11-02T00:00:00"/>
    <x v="0"/>
    <s v="PG-18895"/>
    <s v="Paul Gonzalez"/>
    <x v="0"/>
    <s v="United States"/>
    <x v="10"/>
    <x v="3"/>
    <x v="1"/>
    <s v="TEC-AC-10001998"/>
    <x v="0"/>
    <x v="1"/>
    <s v="Logitech LS21 Speaker System - PC Multimedia - 2.1-CH - Wired"/>
    <n v="19.989999999999998"/>
    <n v="1"/>
    <n v="6.7965999999999998"/>
    <x v="5"/>
    <x v="3"/>
    <x v="7"/>
    <n v="0.34"/>
  </r>
  <r>
    <s v="CA-2016-109806"/>
    <x v="13"/>
    <d v="2016-09-22T00:00:00"/>
    <x v="0"/>
    <s v="JS-15685"/>
    <s v="Jim Sink"/>
    <x v="1"/>
    <s v="United States"/>
    <x v="0"/>
    <x v="0"/>
    <x v="0"/>
    <s v="TEC-PH-10004093"/>
    <x v="0"/>
    <x v="0"/>
    <s v="Panasonic Kx-TS550"/>
    <n v="73.584000000000003"/>
    <n v="2"/>
    <n v="8.2782"/>
    <x v="0"/>
    <x v="1"/>
    <x v="4"/>
    <n v="0.1125"/>
  </r>
  <r>
    <s v="CA-2016-158568"/>
    <x v="14"/>
    <d v="2016-09-02T00:00:00"/>
    <x v="0"/>
    <s v="RB-19465"/>
    <s v="Rick Bensley"/>
    <x v="2"/>
    <s v="United States"/>
    <x v="11"/>
    <x v="2"/>
    <x v="1"/>
    <s v="TEC-AC-10001767"/>
    <x v="0"/>
    <x v="1"/>
    <s v="SanDisk Ultra 64 GB MicroSDHC Class 10 Memory Card"/>
    <n v="95.975999999999999"/>
    <n v="3"/>
    <n v="-10.7973"/>
    <x v="1"/>
    <x v="1"/>
    <x v="1"/>
    <n v="-0.1125"/>
  </r>
  <r>
    <s v="US-2015-156867"/>
    <x v="15"/>
    <d v="2015-11-17T00:00:00"/>
    <x v="0"/>
    <s v="LC-16870"/>
    <s v="Lena Cacioppo"/>
    <x v="0"/>
    <s v="United States"/>
    <x v="12"/>
    <x v="7"/>
    <x v="0"/>
    <s v="TEC-AC-10001552"/>
    <x v="0"/>
    <x v="1"/>
    <s v="Logitech K350 2.4Ghz Wireless Keyboard"/>
    <n v="238.89599999999999"/>
    <n v="6"/>
    <n v="-26.875800000000002"/>
    <x v="1"/>
    <x v="2"/>
    <x v="6"/>
    <n v="-0.1125"/>
  </r>
  <r>
    <s v="CA-2017-119004"/>
    <x v="16"/>
    <d v="2017-11-28T00:00:00"/>
    <x v="0"/>
    <s v="JM-15250"/>
    <s v="Janet Martin"/>
    <x v="0"/>
    <s v="United States"/>
    <x v="13"/>
    <x v="8"/>
    <x v="3"/>
    <s v="TEC-AC-10003499"/>
    <x v="0"/>
    <x v="1"/>
    <s v="Memorex Mini Travel Drive 8 GB USB 2.0 Flash Drive"/>
    <n v="74.111999999999995"/>
    <n v="8"/>
    <n v="17.601600000000001"/>
    <x v="0"/>
    <x v="3"/>
    <x v="6"/>
    <n v="0.23749999999999999"/>
  </r>
  <r>
    <s v="CA-2017-119004"/>
    <x v="16"/>
    <d v="2017-11-28T00:00:00"/>
    <x v="0"/>
    <s v="JM-15250"/>
    <s v="Janet Martin"/>
    <x v="0"/>
    <s v="United States"/>
    <x v="13"/>
    <x v="8"/>
    <x v="3"/>
    <s v="TEC-PH-10002844"/>
    <x v="0"/>
    <x v="0"/>
    <s v="Speck Products Candyshell Flip Case"/>
    <n v="27.992000000000001"/>
    <n v="1"/>
    <n v="2.0994000000000002"/>
    <x v="0"/>
    <x v="3"/>
    <x v="6"/>
    <n v="7.4999999999999997E-2"/>
  </r>
  <r>
    <s v="CA-2015-129476"/>
    <x v="17"/>
    <d v="2015-10-20T00:00:00"/>
    <x v="0"/>
    <s v="PA-19060"/>
    <s v="Pete Armstrong"/>
    <x v="2"/>
    <s v="United States"/>
    <x v="14"/>
    <x v="2"/>
    <x v="1"/>
    <s v="TEC-AC-10000844"/>
    <x v="0"/>
    <x v="1"/>
    <s v="Logitech Gaming G510s - Keyboard"/>
    <n v="339.96"/>
    <n v="5"/>
    <n v="67.992000000000004"/>
    <x v="0"/>
    <x v="2"/>
    <x v="7"/>
    <n v="0.2"/>
  </r>
  <r>
    <s v="CA-2016-103730"/>
    <x v="18"/>
    <d v="2016-06-15T00:00:00"/>
    <x v="2"/>
    <s v="SC-20725"/>
    <s v="Steven Cartwright"/>
    <x v="0"/>
    <s v="United States"/>
    <x v="15"/>
    <x v="4"/>
    <x v="2"/>
    <s v="TEC-PH-10003875"/>
    <x v="0"/>
    <x v="0"/>
    <s v="KLD Oscar II Style Snap-on Ultra Thin Side Flip Synthetic Leather Cover Case for HTC One HTC M7"/>
    <n v="68.040000000000006"/>
    <n v="7"/>
    <n v="19.7316"/>
    <x v="6"/>
    <x v="1"/>
    <x v="0"/>
    <n v="0.28999999999999998"/>
  </r>
  <r>
    <s v="US-2017-164147"/>
    <x v="19"/>
    <d v="2017-02-05T00:00:00"/>
    <x v="2"/>
    <s v="DW-13585"/>
    <s v="Dorothy Wardle"/>
    <x v="1"/>
    <s v="United States"/>
    <x v="16"/>
    <x v="9"/>
    <x v="2"/>
    <s v="TEC-PH-10002293"/>
    <x v="0"/>
    <x v="0"/>
    <s v="Anker 36W 4-Port USB Wall Charger Travel Power Adapter for iPhone 5s 5c 5"/>
    <n v="59.97"/>
    <n v="5"/>
    <n v="-11.994"/>
    <x v="6"/>
    <x v="3"/>
    <x v="8"/>
    <n v="-0.2"/>
  </r>
  <r>
    <s v="CA-2016-114489"/>
    <x v="20"/>
    <d v="2016-12-09T00:00:00"/>
    <x v="0"/>
    <s v="JE-16165"/>
    <s v="Justin Ellison"/>
    <x v="1"/>
    <s v="United States"/>
    <x v="17"/>
    <x v="10"/>
    <x v="1"/>
    <s v="TEC-PH-10000215"/>
    <x v="0"/>
    <x v="0"/>
    <s v="Plantronics Cordless Phone Headset with In-line Volume - M214C"/>
    <n v="384.45"/>
    <n v="11"/>
    <n v="103.8015"/>
    <x v="1"/>
    <x v="1"/>
    <x v="3"/>
    <n v="0.27"/>
  </r>
  <r>
    <s v="CA-2016-114489"/>
    <x v="20"/>
    <d v="2016-12-09T00:00:00"/>
    <x v="0"/>
    <s v="JE-16165"/>
    <s v="Justin Ellison"/>
    <x v="1"/>
    <s v="United States"/>
    <x v="17"/>
    <x v="10"/>
    <x v="1"/>
    <s v="TEC-PH-10001448"/>
    <x v="0"/>
    <x v="0"/>
    <s v="Anker Astro 15000mAh USB Portable Charger"/>
    <n v="149.97"/>
    <n v="3"/>
    <n v="5.9988000000000001"/>
    <x v="1"/>
    <x v="1"/>
    <x v="3"/>
    <n v="0.04"/>
  </r>
  <r>
    <s v="CA-2016-158834"/>
    <x v="21"/>
    <d v="2016-03-16T00:00:00"/>
    <x v="2"/>
    <s v="TW-21025"/>
    <s v="Tamara Willingham"/>
    <x v="2"/>
    <s v="United States"/>
    <x v="18"/>
    <x v="6"/>
    <x v="0"/>
    <s v="TEC-PH-10001254"/>
    <x v="0"/>
    <x v="0"/>
    <s v="Jabra BIZ 2300 Duo QD Duo Corded Headset"/>
    <n v="203.184"/>
    <n v="2"/>
    <n v="15.238799999999999"/>
    <x v="6"/>
    <x v="1"/>
    <x v="5"/>
    <n v="7.4999999999999997E-2"/>
  </r>
  <r>
    <s v="CA-2016-114104"/>
    <x v="22"/>
    <d v="2016-11-24T00:00:00"/>
    <x v="0"/>
    <s v="NP-18670"/>
    <s v="Nora Paige"/>
    <x v="0"/>
    <s v="United States"/>
    <x v="19"/>
    <x v="11"/>
    <x v="1"/>
    <s v="TEC-PH-10004536"/>
    <x v="0"/>
    <x v="0"/>
    <s v="Avaya 5420 Digital phone"/>
    <n v="944.93"/>
    <n v="7"/>
    <n v="236.23249999999999"/>
    <x v="1"/>
    <x v="1"/>
    <x v="6"/>
    <n v="0.25"/>
  </r>
  <r>
    <s v="CA-2015-119697"/>
    <x v="23"/>
    <d v="2015-12-31T00:00:00"/>
    <x v="1"/>
    <s v="EM-13960"/>
    <s v="Eric Murdock"/>
    <x v="0"/>
    <s v="United States"/>
    <x v="20"/>
    <x v="12"/>
    <x v="2"/>
    <s v="TEC-AC-10003657"/>
    <x v="0"/>
    <x v="1"/>
    <s v="Lenovo 17-Key USB Numeric Keypad"/>
    <n v="54.384"/>
    <n v="2"/>
    <n v="1.3595999999999999"/>
    <x v="6"/>
    <x v="2"/>
    <x v="3"/>
    <n v="2.5000000000000001E-2"/>
  </r>
  <r>
    <s v="CA-2014-139892"/>
    <x v="24"/>
    <d v="2014-09-12T00:00:00"/>
    <x v="0"/>
    <s v="BM-11140"/>
    <s v="Becky Martin"/>
    <x v="0"/>
    <s v="United States"/>
    <x v="21"/>
    <x v="1"/>
    <x v="1"/>
    <s v="TEC-MA-10000822"/>
    <x v="0"/>
    <x v="2"/>
    <s v="Lexmark MX611dhe Monochrome Laser Printer"/>
    <n v="8159.9520000000002"/>
    <n v="8"/>
    <n v="-1359.992"/>
    <x v="1"/>
    <x v="0"/>
    <x v="4"/>
    <n v="-0.16666666666666699"/>
  </r>
  <r>
    <s v="CA-2014-139892"/>
    <x v="24"/>
    <d v="2014-09-12T00:00:00"/>
    <x v="0"/>
    <s v="BM-11140"/>
    <s v="Becky Martin"/>
    <x v="0"/>
    <s v="United States"/>
    <x v="21"/>
    <x v="1"/>
    <x v="1"/>
    <s v="TEC-PH-10003931"/>
    <x v="0"/>
    <x v="0"/>
    <s v="JBL Micro Wireless Portable Bluetooth Speaker"/>
    <n v="143.976"/>
    <n v="3"/>
    <n v="8.9984999999999999"/>
    <x v="1"/>
    <x v="0"/>
    <x v="4"/>
    <n v="6.25E-2"/>
  </r>
  <r>
    <s v="CA-2014-166191"/>
    <x v="11"/>
    <d v="2014-12-09T00:00:00"/>
    <x v="1"/>
    <s v="DK-13150"/>
    <s v="David Kendrick"/>
    <x v="1"/>
    <s v="United States"/>
    <x v="22"/>
    <x v="2"/>
    <x v="1"/>
    <s v="TEC-AC-10004659"/>
    <x v="0"/>
    <x v="1"/>
    <s v="Imation Secure+ Hardware Encrypted USB 2.0 Flash Drive; 16GB"/>
    <n v="408.74400000000003"/>
    <n v="7"/>
    <n v="76.639499999999998"/>
    <x v="1"/>
    <x v="0"/>
    <x v="3"/>
    <n v="0.1875"/>
  </r>
  <r>
    <s v="CA-2014-158274"/>
    <x v="25"/>
    <d v="2014-11-24T00:00:00"/>
    <x v="1"/>
    <s v="RM-19675"/>
    <s v="Robert Marley"/>
    <x v="2"/>
    <s v="United States"/>
    <x v="23"/>
    <x v="13"/>
    <x v="3"/>
    <s v="TEC-PH-10003273"/>
    <x v="0"/>
    <x v="0"/>
    <s v="AT&amp;T TR1909W"/>
    <n v="503.96"/>
    <n v="4"/>
    <n v="131.02959999999999"/>
    <x v="0"/>
    <x v="0"/>
    <x v="6"/>
    <n v="0.26"/>
  </r>
  <r>
    <s v="CA-2014-158274"/>
    <x v="25"/>
    <d v="2014-11-24T00:00:00"/>
    <x v="1"/>
    <s v="RM-19675"/>
    <s v="Robert Marley"/>
    <x v="2"/>
    <s v="United States"/>
    <x v="23"/>
    <x v="13"/>
    <x v="3"/>
    <s v="TEC-PH-10004896"/>
    <x v="0"/>
    <x v="0"/>
    <s v="Nokia Lumia 521 (T-Mobile)"/>
    <n v="149.94999999999999"/>
    <n v="5"/>
    <n v="41.985999999999997"/>
    <x v="0"/>
    <x v="0"/>
    <x v="6"/>
    <n v="0.28000000000000003"/>
  </r>
  <r>
    <s v="CA-2014-158274"/>
    <x v="25"/>
    <d v="2014-11-24T00:00:00"/>
    <x v="1"/>
    <s v="RM-19675"/>
    <s v="Robert Marley"/>
    <x v="2"/>
    <s v="United States"/>
    <x v="23"/>
    <x v="13"/>
    <x v="3"/>
    <s v="TEC-AC-10002345"/>
    <x v="0"/>
    <x v="1"/>
    <s v="HP Standard 104 key PS/2 Keyboard"/>
    <n v="29"/>
    <n v="2"/>
    <n v="7.25"/>
    <x v="0"/>
    <x v="0"/>
    <x v="6"/>
    <n v="0.25"/>
  </r>
  <r>
    <s v="CA-2014-123260"/>
    <x v="26"/>
    <d v="2014-08-30T00:00:00"/>
    <x v="0"/>
    <s v="FM-14290"/>
    <s v="Frank Merwin"/>
    <x v="2"/>
    <s v="United States"/>
    <x v="0"/>
    <x v="0"/>
    <x v="0"/>
    <s v="TEC-AC-10002323"/>
    <x v="0"/>
    <x v="1"/>
    <s v="SanDisk Ultra 32 GB MicroSDHC Class 10 Memory Card"/>
    <n v="176.8"/>
    <n v="8"/>
    <n v="22.984000000000002"/>
    <x v="1"/>
    <x v="0"/>
    <x v="1"/>
    <n v="0.13"/>
  </r>
  <r>
    <s v="CA-2015-102281"/>
    <x v="27"/>
    <d v="2015-10-14T00:00:00"/>
    <x v="2"/>
    <s v="MP-17470"/>
    <s v="Mark Packer"/>
    <x v="2"/>
    <s v="United States"/>
    <x v="7"/>
    <x v="5"/>
    <x v="2"/>
    <s v="TEC-PH-10001552"/>
    <x v="0"/>
    <x v="0"/>
    <s v="I Need's 3d Hello Kitty Hybrid Silicone Case Cover for HTC One X 4g with 3d Hello Kitty Stylus Pen Green/pink"/>
    <n v="71.760000000000005"/>
    <n v="6"/>
    <n v="20.0928"/>
    <x v="2"/>
    <x v="2"/>
    <x v="7"/>
    <n v="0.28000000000000003"/>
  </r>
  <r>
    <s v="CA-2017-108329"/>
    <x v="28"/>
    <d v="2017-12-14T00:00:00"/>
    <x v="0"/>
    <s v="LE-16810"/>
    <s v="Laurel Elliston"/>
    <x v="0"/>
    <s v="United States"/>
    <x v="24"/>
    <x v="0"/>
    <x v="0"/>
    <s v="TEC-PH-10001918"/>
    <x v="0"/>
    <x v="0"/>
    <s v="Nortel Business Series Terminal T7208 Digital phone"/>
    <n v="444.76799999999997"/>
    <n v="4"/>
    <n v="44.476799999999997"/>
    <x v="0"/>
    <x v="3"/>
    <x v="3"/>
    <n v="0.1"/>
  </r>
  <r>
    <s v="CA-2017-135860"/>
    <x v="29"/>
    <d v="2017-12-07T00:00:00"/>
    <x v="0"/>
    <s v="JH-15985"/>
    <s v="Joseph Holt"/>
    <x v="0"/>
    <s v="United States"/>
    <x v="25"/>
    <x v="14"/>
    <x v="1"/>
    <s v="TEC-PH-10001700"/>
    <x v="0"/>
    <x v="0"/>
    <s v="Panasonic KX-TG6844B Expandable Digital Cordless Telephone"/>
    <n v="131.97999999999999"/>
    <n v="2"/>
    <n v="35.634599999999999"/>
    <x v="3"/>
    <x v="3"/>
    <x v="3"/>
    <n v="0.27"/>
  </r>
  <r>
    <s v="CA-2015-101007"/>
    <x v="30"/>
    <d v="2015-02-13T00:00:00"/>
    <x v="1"/>
    <s v="MS-17980"/>
    <s v="Michael Stewart"/>
    <x v="1"/>
    <s v="United States"/>
    <x v="26"/>
    <x v="1"/>
    <x v="1"/>
    <s v="TEC-AC-10001266"/>
    <x v="0"/>
    <x v="1"/>
    <s v="Memorex Micro Travel Drive 8 GB"/>
    <n v="20.8"/>
    <n v="2"/>
    <n v="6.5"/>
    <x v="1"/>
    <x v="2"/>
    <x v="8"/>
    <n v="0.3125"/>
  </r>
  <r>
    <s v="CA-2015-146262"/>
    <x v="31"/>
    <d v="2015-01-09T00:00:00"/>
    <x v="0"/>
    <s v="VW-21775"/>
    <s v="Victoria Wilson"/>
    <x v="1"/>
    <s v="United States"/>
    <x v="27"/>
    <x v="9"/>
    <x v="2"/>
    <s v="TEC-PH-10002844"/>
    <x v="0"/>
    <x v="0"/>
    <s v="Speck Products Candyshell Flip Case"/>
    <n v="62.981999999999999"/>
    <n v="3"/>
    <n v="-14.6958"/>
    <x v="5"/>
    <x v="2"/>
    <x v="2"/>
    <n v="-0.233333333333333"/>
  </r>
  <r>
    <s v="CA-2015-146262"/>
    <x v="31"/>
    <d v="2015-01-09T00:00:00"/>
    <x v="0"/>
    <s v="VW-21775"/>
    <s v="Victoria Wilson"/>
    <x v="1"/>
    <s v="United States"/>
    <x v="27"/>
    <x v="9"/>
    <x v="2"/>
    <s v="TEC-MA-10000864"/>
    <x v="0"/>
    <x v="2"/>
    <s v="Cisco 9971 IP Video Phone Charcoal"/>
    <n v="1188"/>
    <n v="9"/>
    <n v="-950.4"/>
    <x v="5"/>
    <x v="2"/>
    <x v="2"/>
    <n v="-0.8"/>
  </r>
  <r>
    <s v="CA-2015-146262"/>
    <x v="31"/>
    <d v="2015-01-09T00:00:00"/>
    <x v="0"/>
    <s v="VW-21775"/>
    <s v="Victoria Wilson"/>
    <x v="1"/>
    <s v="United States"/>
    <x v="27"/>
    <x v="9"/>
    <x v="2"/>
    <s v="TEC-AC-10000109"/>
    <x v="0"/>
    <x v="1"/>
    <s v="Sony Micro Vault Click 16 GB USB 2.0 Flash Drive"/>
    <n v="89.584000000000003"/>
    <n v="2"/>
    <n v="4.4791999999999996"/>
    <x v="5"/>
    <x v="2"/>
    <x v="2"/>
    <n v="0.05"/>
  </r>
  <r>
    <s v="CA-2016-130162"/>
    <x v="32"/>
    <d v="2016-11-01T00:00:00"/>
    <x v="0"/>
    <s v="JH-15910"/>
    <s v="Jonathan Howell"/>
    <x v="0"/>
    <s v="United States"/>
    <x v="0"/>
    <x v="0"/>
    <x v="0"/>
    <s v="TEC-PH-10002563"/>
    <x v="0"/>
    <x v="0"/>
    <s v="Adtran 1202752G1"/>
    <n v="302.37599999999998"/>
    <n v="3"/>
    <n v="22.6782"/>
    <x v="1"/>
    <x v="1"/>
    <x v="7"/>
    <n v="7.4999999999999997E-2"/>
  </r>
  <r>
    <s v="CA-2015-169397"/>
    <x v="33"/>
    <d v="2015-12-27T00:00:00"/>
    <x v="2"/>
    <s v="JB-15925"/>
    <s v="Joni Blumstein"/>
    <x v="0"/>
    <s v="United States"/>
    <x v="28"/>
    <x v="9"/>
    <x v="2"/>
    <s v="TEC-MA-10001148"/>
    <x v="0"/>
    <x v="2"/>
    <s v="Swingline SM12-08 MicroCut Jam Free Shredder"/>
    <n v="479.988"/>
    <n v="4"/>
    <n v="-383.99040000000002"/>
    <x v="6"/>
    <x v="2"/>
    <x v="3"/>
    <n v="-0.8"/>
  </r>
  <r>
    <s v="US-2017-100930"/>
    <x v="34"/>
    <d v="2017-04-12T00:00:00"/>
    <x v="0"/>
    <s v="CS-12400"/>
    <s v="Christopher Schild"/>
    <x v="2"/>
    <s v="United States"/>
    <x v="29"/>
    <x v="15"/>
    <x v="3"/>
    <s v="TEC-AC-10003832"/>
    <x v="0"/>
    <x v="1"/>
    <s v="Logitech P710e Mobile Speakerphone"/>
    <n v="617.976"/>
    <n v="3"/>
    <n v="-7.7247000000000003"/>
    <x v="0"/>
    <x v="3"/>
    <x v="9"/>
    <n v="-1.2500000000000001E-2"/>
  </r>
  <r>
    <s v="CA-2016-157749"/>
    <x v="35"/>
    <d v="2016-06-09T00:00:00"/>
    <x v="1"/>
    <s v="KL-16645"/>
    <s v="Ken Lonsdale"/>
    <x v="0"/>
    <s v="United States"/>
    <x v="11"/>
    <x v="2"/>
    <x v="1"/>
    <s v="TEC-PH-10000011"/>
    <x v="0"/>
    <x v="0"/>
    <s v="PureGear Roll-On Screen Protector"/>
    <n v="31.984000000000002"/>
    <n v="2"/>
    <n v="11.1944"/>
    <x v="0"/>
    <x v="1"/>
    <x v="0"/>
    <n v="0.35"/>
  </r>
  <r>
    <s v="CA-2016-145625"/>
    <x v="36"/>
    <d v="2016-09-17T00:00:00"/>
    <x v="0"/>
    <s v="KC-16540"/>
    <s v="Kelly Collister"/>
    <x v="0"/>
    <s v="United States"/>
    <x v="30"/>
    <x v="0"/>
    <x v="0"/>
    <s v="TEC-AC-10003832"/>
    <x v="0"/>
    <x v="1"/>
    <s v="Logitech P710e Mobile Speakerphone"/>
    <n v="3347.37"/>
    <n v="13"/>
    <n v="636.00030000000004"/>
    <x v="3"/>
    <x v="1"/>
    <x v="4"/>
    <n v="0.19"/>
  </r>
  <r>
    <s v="US-2015-159982"/>
    <x v="37"/>
    <d v="2015-12-04T00:00:00"/>
    <x v="0"/>
    <s v="DR-12880"/>
    <s v="Dan Reichenbach"/>
    <x v="1"/>
    <s v="United States"/>
    <x v="11"/>
    <x v="2"/>
    <x v="1"/>
    <s v="TEC-PH-10001580"/>
    <x v="0"/>
    <x v="0"/>
    <s v="Logitech Mobile Speakerphone P710e - speaker phone"/>
    <n v="647.904"/>
    <n v="6"/>
    <n v="56.691600000000001"/>
    <x v="3"/>
    <x v="2"/>
    <x v="6"/>
    <n v="8.7499999999999994E-2"/>
  </r>
  <r>
    <s v="CA-2017-163139"/>
    <x v="29"/>
    <d v="2017-12-03T00:00:00"/>
    <x v="1"/>
    <s v="CC-12670"/>
    <s v="Craig Carreira"/>
    <x v="0"/>
    <s v="United States"/>
    <x v="7"/>
    <x v="5"/>
    <x v="2"/>
    <s v="TEC-AC-10000290"/>
    <x v="0"/>
    <x v="1"/>
    <s v="Sabrent 4-Port USB 2.0 Hub"/>
    <n v="20.37"/>
    <n v="3"/>
    <n v="6.9257999999999997"/>
    <x v="2"/>
    <x v="3"/>
    <x v="3"/>
    <n v="0.34"/>
  </r>
  <r>
    <s v="US-2014-106992"/>
    <x v="38"/>
    <d v="2014-09-21T00:00:00"/>
    <x v="1"/>
    <s v="SB-20290"/>
    <s v="Sean Braxton"/>
    <x v="1"/>
    <s v="United States"/>
    <x v="3"/>
    <x v="1"/>
    <x v="1"/>
    <s v="TEC-MA-10000822"/>
    <x v="0"/>
    <x v="2"/>
    <s v="Lexmark MX611dhe Monochrome Laser Printer"/>
    <n v="3059.982"/>
    <n v="3"/>
    <n v="-509.99700000000001"/>
    <x v="2"/>
    <x v="0"/>
    <x v="4"/>
    <n v="-0.16666666666666699"/>
  </r>
  <r>
    <s v="US-2014-106992"/>
    <x v="38"/>
    <d v="2014-09-21T00:00:00"/>
    <x v="1"/>
    <s v="SB-20290"/>
    <s v="Sean Braxton"/>
    <x v="1"/>
    <s v="United States"/>
    <x v="3"/>
    <x v="1"/>
    <x v="1"/>
    <s v="TEC-MA-10003353"/>
    <x v="0"/>
    <x v="2"/>
    <s v="Xerox WorkCentre 6505DN Laser Multifunction Printer"/>
    <n v="2519.9580000000001"/>
    <n v="7"/>
    <n v="-251.9958"/>
    <x v="2"/>
    <x v="0"/>
    <x v="4"/>
    <n v="-0.1"/>
  </r>
  <r>
    <s v="CA-2016-125318"/>
    <x v="39"/>
    <d v="2016-06-13T00:00:00"/>
    <x v="0"/>
    <s v="RC-19825"/>
    <s v="Roy Collins"/>
    <x v="0"/>
    <s v="United States"/>
    <x v="11"/>
    <x v="2"/>
    <x v="1"/>
    <s v="TEC-PH-10001433"/>
    <x v="0"/>
    <x v="0"/>
    <s v="Cisco Small Business SPA 502G VoIP phone"/>
    <n v="328.22399999999999"/>
    <n v="4"/>
    <n v="28.7196"/>
    <x v="5"/>
    <x v="1"/>
    <x v="0"/>
    <n v="8.7499999999999994E-2"/>
  </r>
  <r>
    <s v="CA-2015-155040"/>
    <x v="40"/>
    <d v="2015-11-15T00:00:00"/>
    <x v="0"/>
    <s v="AH-10210"/>
    <s v="Alan Hwang"/>
    <x v="0"/>
    <s v="United States"/>
    <x v="31"/>
    <x v="0"/>
    <x v="0"/>
    <s v="TEC-AC-10004469"/>
    <x v="0"/>
    <x v="1"/>
    <s v="Microsoft Sculpt Comfort Mouse"/>
    <n v="79.900000000000006"/>
    <n v="2"/>
    <n v="35.155999999999999"/>
    <x v="0"/>
    <x v="2"/>
    <x v="6"/>
    <n v="0.44"/>
  </r>
  <r>
    <s v="CA-2015-155334"/>
    <x v="41"/>
    <d v="2015-07-31T00:00:00"/>
    <x v="2"/>
    <s v="HA-14920"/>
    <s v="Helen Andreada"/>
    <x v="0"/>
    <s v="United States"/>
    <x v="1"/>
    <x v="0"/>
    <x v="0"/>
    <s v="TEC-AC-10003628"/>
    <x v="0"/>
    <x v="1"/>
    <s v="Logitech 910-002974 M325 Wireless Mouse for Web Scrolling"/>
    <n v="209.93"/>
    <n v="7"/>
    <n v="92.369200000000006"/>
    <x v="4"/>
    <x v="2"/>
    <x v="10"/>
    <n v="0.44"/>
  </r>
  <r>
    <s v="US-2015-161991"/>
    <x v="42"/>
    <d v="2015-09-28T00:00:00"/>
    <x v="1"/>
    <s v="SC-20725"/>
    <s v="Steven Cartwright"/>
    <x v="0"/>
    <s v="United States"/>
    <x v="3"/>
    <x v="1"/>
    <x v="1"/>
    <s v="TEC-PH-10001760"/>
    <x v="0"/>
    <x v="0"/>
    <s v="Bose SoundLink Bluetooth Speaker"/>
    <n v="1114.4000000000001"/>
    <n v="7"/>
    <n v="376.11"/>
    <x v="2"/>
    <x v="2"/>
    <x v="4"/>
    <n v="0.33750000000000002"/>
  </r>
  <r>
    <s v="CA-2015-130883"/>
    <x v="42"/>
    <d v="2015-10-02T00:00:00"/>
    <x v="0"/>
    <s v="TB-21520"/>
    <s v="Tracy Blumstein"/>
    <x v="0"/>
    <s v="United States"/>
    <x v="32"/>
    <x v="16"/>
    <x v="0"/>
    <s v="TEC-AC-10001956"/>
    <x v="0"/>
    <x v="1"/>
    <s v="Microsoft Arc Touch Mouse"/>
    <n v="239.8"/>
    <n v="5"/>
    <n v="47.96"/>
    <x v="3"/>
    <x v="2"/>
    <x v="4"/>
    <n v="0.2"/>
  </r>
  <r>
    <s v="CA-2016-110772"/>
    <x v="22"/>
    <d v="2016-11-24T00:00:00"/>
    <x v="1"/>
    <s v="NZ-18565"/>
    <s v="Nick Zandusky"/>
    <x v="2"/>
    <s v="United States"/>
    <x v="16"/>
    <x v="9"/>
    <x v="2"/>
    <s v="TEC-AC-10002001"/>
    <x v="0"/>
    <x v="1"/>
    <s v="Logitech Wireless Gaming Headset G930"/>
    <n v="255.98400000000001"/>
    <n v="2"/>
    <n v="54.396599999999999"/>
    <x v="1"/>
    <x v="1"/>
    <x v="6"/>
    <n v="0.21249999999999999"/>
  </r>
  <r>
    <s v="CA-2014-167850"/>
    <x v="43"/>
    <d v="2014-08-16T00:00:00"/>
    <x v="0"/>
    <s v="AG-10525"/>
    <s v="Andy Gerbode"/>
    <x v="1"/>
    <s v="United States"/>
    <x v="33"/>
    <x v="15"/>
    <x v="3"/>
    <s v="TEC-PH-10002398"/>
    <x v="0"/>
    <x v="0"/>
    <s v="AT&amp;T 1070 Corded Phone"/>
    <n v="178.38399999999999"/>
    <n v="2"/>
    <n v="22.297999999999998"/>
    <x v="5"/>
    <x v="0"/>
    <x v="1"/>
    <n v="0.125"/>
  </r>
  <r>
    <s v="CA-2014-164973"/>
    <x v="44"/>
    <d v="2014-11-09T00:00:00"/>
    <x v="0"/>
    <s v="NM-18445"/>
    <s v="Nathan Mautz"/>
    <x v="2"/>
    <s v="United States"/>
    <x v="7"/>
    <x v="5"/>
    <x v="2"/>
    <s v="TEC-MA-10002927"/>
    <x v="0"/>
    <x v="2"/>
    <s v="Canon imageCLASS MF7460 Monochrome Digital Laser Multifunction Copier"/>
    <n v="3991.98"/>
    <n v="2"/>
    <n v="1995.99"/>
    <x v="0"/>
    <x v="0"/>
    <x v="6"/>
    <n v="0.5"/>
  </r>
  <r>
    <s v="CA-2014-164973"/>
    <x v="44"/>
    <d v="2014-11-09T00:00:00"/>
    <x v="0"/>
    <s v="NM-18445"/>
    <s v="Nathan Mautz"/>
    <x v="2"/>
    <s v="United States"/>
    <x v="7"/>
    <x v="5"/>
    <x v="2"/>
    <s v="TEC-PH-10004093"/>
    <x v="0"/>
    <x v="0"/>
    <s v="Panasonic Kx-TS550"/>
    <n v="275.94"/>
    <n v="6"/>
    <n v="80.022599999999997"/>
    <x v="0"/>
    <x v="0"/>
    <x v="6"/>
    <n v="0.28999999999999998"/>
  </r>
  <r>
    <s v="CA-2014-164973"/>
    <x v="44"/>
    <d v="2014-11-09T00:00:00"/>
    <x v="0"/>
    <s v="NM-18445"/>
    <s v="Nathan Mautz"/>
    <x v="2"/>
    <s v="United States"/>
    <x v="7"/>
    <x v="5"/>
    <x v="2"/>
    <s v="TEC-AC-10000892"/>
    <x v="0"/>
    <x v="1"/>
    <s v="NETGEAR N750 Dual Band Wi-Fi Gigabit Router"/>
    <n v="360"/>
    <n v="4"/>
    <n v="129.6"/>
    <x v="0"/>
    <x v="0"/>
    <x v="6"/>
    <n v="0.36"/>
  </r>
  <r>
    <s v="CA-2016-162138"/>
    <x v="45"/>
    <d v="2016-04-27T00:00:00"/>
    <x v="0"/>
    <s v="GK-14620"/>
    <s v="Grace Kelly"/>
    <x v="1"/>
    <s v="United States"/>
    <x v="34"/>
    <x v="0"/>
    <x v="0"/>
    <s v="TEC-AC-10001908"/>
    <x v="0"/>
    <x v="1"/>
    <s v="Logitech Wireless Headset h800"/>
    <n v="99.99"/>
    <n v="1"/>
    <n v="34.996499999999997"/>
    <x v="1"/>
    <x v="1"/>
    <x v="9"/>
    <n v="0.35"/>
  </r>
  <r>
    <s v="US-2016-141544"/>
    <x v="46"/>
    <d v="2016-09-01T00:00:00"/>
    <x v="2"/>
    <s v="PO-18850"/>
    <s v="Patrick O'Brill"/>
    <x v="0"/>
    <s v="United States"/>
    <x v="20"/>
    <x v="12"/>
    <x v="2"/>
    <s v="TEC-PH-10003645"/>
    <x v="0"/>
    <x v="0"/>
    <s v="Aastra 57i VoIP phone"/>
    <n v="290.89800000000002"/>
    <n v="3"/>
    <n v="-67.876199999999997"/>
    <x v="2"/>
    <x v="1"/>
    <x v="1"/>
    <n v="-0.233333333333333"/>
  </r>
  <r>
    <s v="US-2016-150147"/>
    <x v="47"/>
    <d v="2016-04-29T00:00:00"/>
    <x v="1"/>
    <s v="JL-15850"/>
    <s v="John Lucas"/>
    <x v="0"/>
    <s v="United States"/>
    <x v="20"/>
    <x v="12"/>
    <x v="2"/>
    <s v="TEC-PH-10004614"/>
    <x v="0"/>
    <x v="0"/>
    <s v="AT&amp;T 841000 Phone"/>
    <n v="82.8"/>
    <n v="2"/>
    <n v="-20.7"/>
    <x v="1"/>
    <x v="1"/>
    <x v="9"/>
    <n v="-0.25"/>
  </r>
  <r>
    <s v="CA-2015-137946"/>
    <x v="48"/>
    <d v="2015-09-04T00:00:00"/>
    <x v="1"/>
    <s v="DB-13615"/>
    <s v="Doug Bickford"/>
    <x v="0"/>
    <s v="United States"/>
    <x v="0"/>
    <x v="0"/>
    <x v="0"/>
    <s v="TEC-CO-10001449"/>
    <x v="0"/>
    <x v="3"/>
    <s v="Hewlett Packard LaserJet 3310 Copier"/>
    <n v="959.98400000000004"/>
    <n v="2"/>
    <n v="335.99439999999998"/>
    <x v="6"/>
    <x v="2"/>
    <x v="4"/>
    <n v="0.35"/>
  </r>
  <r>
    <s v="CA-2014-122336"/>
    <x v="49"/>
    <d v="2014-04-17T00:00:00"/>
    <x v="1"/>
    <s v="JD-15895"/>
    <s v="Jonathan Doherty"/>
    <x v="1"/>
    <s v="United States"/>
    <x v="20"/>
    <x v="12"/>
    <x v="2"/>
    <s v="TEC-PH-10000702"/>
    <x v="0"/>
    <x v="0"/>
    <s v="Square Credit Card Reader, 4 1/2&quot; x 4 1/2&quot; x 1&quot;, White"/>
    <n v="71.927999999999997"/>
    <n v="12"/>
    <n v="8.3916000000000004"/>
    <x v="1"/>
    <x v="0"/>
    <x v="9"/>
    <n v="0.116666666666667"/>
  </r>
  <r>
    <s v="CA-2017-169901"/>
    <x v="50"/>
    <d v="2017-06-19T00:00:00"/>
    <x v="0"/>
    <s v="CC-12550"/>
    <s v="Clay Cheatham"/>
    <x v="0"/>
    <s v="United States"/>
    <x v="1"/>
    <x v="0"/>
    <x v="0"/>
    <s v="TEC-PH-10002293"/>
    <x v="0"/>
    <x v="0"/>
    <s v="Anker 36W 4-Port USB Wall Charger Travel Power Adapter for iPhone 5s 5c 5"/>
    <n v="47.975999999999999"/>
    <n v="3"/>
    <n v="4.7976000000000001"/>
    <x v="1"/>
    <x v="3"/>
    <x v="0"/>
    <n v="0.1"/>
  </r>
  <r>
    <s v="CA-2016-129714"/>
    <x v="51"/>
    <d v="2016-09-03T00:00:00"/>
    <x v="2"/>
    <s v="AB-10060"/>
    <s v="Adam Bellavance"/>
    <x v="2"/>
    <s v="United States"/>
    <x v="7"/>
    <x v="5"/>
    <x v="2"/>
    <s v="TEC-AC-10000290"/>
    <x v="0"/>
    <x v="1"/>
    <s v="Sabrent 4-Port USB 2.0 Hub"/>
    <n v="6.79"/>
    <n v="1"/>
    <n v="2.3086000000000002"/>
    <x v="2"/>
    <x v="1"/>
    <x v="4"/>
    <n v="0.34"/>
  </r>
  <r>
    <s v="US-2014-119137"/>
    <x v="52"/>
    <d v="2014-07-27T00:00:00"/>
    <x v="0"/>
    <s v="AG-10900"/>
    <s v="Arthur Gainer"/>
    <x v="0"/>
    <s v="United States"/>
    <x v="35"/>
    <x v="6"/>
    <x v="0"/>
    <s v="TEC-AC-10003911"/>
    <x v="0"/>
    <x v="1"/>
    <s v="NETGEAR AC1750 Dual Band Gigabit Smart WiFi Router"/>
    <n v="1023.936"/>
    <n v="8"/>
    <n v="179.18879999999999"/>
    <x v="1"/>
    <x v="0"/>
    <x v="10"/>
    <n v="0.17499999999999999"/>
  </r>
  <r>
    <s v="US-2014-119137"/>
    <x v="52"/>
    <d v="2014-07-27T00:00:00"/>
    <x v="0"/>
    <s v="AG-10900"/>
    <s v="Arthur Gainer"/>
    <x v="0"/>
    <s v="United States"/>
    <x v="35"/>
    <x v="6"/>
    <x v="0"/>
    <s v="TEC-AC-10002076"/>
    <x v="0"/>
    <x v="1"/>
    <s v="Microsoft Natural Keyboard Elite"/>
    <n v="479.04"/>
    <n v="10"/>
    <n v="-29.94"/>
    <x v="1"/>
    <x v="0"/>
    <x v="10"/>
    <n v="-6.25E-2"/>
  </r>
  <r>
    <s v="CA-2015-125395"/>
    <x v="53"/>
    <d v="2015-06-29T00:00:00"/>
    <x v="1"/>
    <s v="LA-16780"/>
    <s v="Laura Armstrong"/>
    <x v="1"/>
    <s v="United States"/>
    <x v="36"/>
    <x v="14"/>
    <x v="1"/>
    <s v="TEC-AC-10004708"/>
    <x v="0"/>
    <x v="1"/>
    <s v="Sony 32GB Class 10 Micro SDHC R40 Memory Card"/>
    <n v="41.9"/>
    <n v="2"/>
    <n v="8.7989999999999995"/>
    <x v="6"/>
    <x v="2"/>
    <x v="0"/>
    <n v="0.21"/>
  </r>
  <r>
    <s v="US-2015-168935"/>
    <x v="54"/>
    <d v="2015-12-02T00:00:00"/>
    <x v="0"/>
    <s v="DO-13435"/>
    <s v="Denny Ordway"/>
    <x v="0"/>
    <s v="United States"/>
    <x v="37"/>
    <x v="15"/>
    <x v="3"/>
    <s v="TEC-AC-10002335"/>
    <x v="0"/>
    <x v="1"/>
    <s v="Logitech Media Keyboard K200"/>
    <n v="83.975999999999999"/>
    <n v="3"/>
    <n v="-1.0497000000000001"/>
    <x v="0"/>
    <x v="2"/>
    <x v="6"/>
    <n v="-1.2500000000000001E-2"/>
  </r>
  <r>
    <s v="CA-2015-122756"/>
    <x v="55"/>
    <d v="2015-12-07T00:00:00"/>
    <x v="0"/>
    <s v="DK-13225"/>
    <s v="Dean Katz"/>
    <x v="1"/>
    <s v="United States"/>
    <x v="20"/>
    <x v="12"/>
    <x v="2"/>
    <s v="TEC-MA-10001681"/>
    <x v="0"/>
    <x v="2"/>
    <s v="Lexmark MarkNet N8150 Wireless Print Server"/>
    <n v="482.34"/>
    <n v="4"/>
    <n v="-337.63799999999998"/>
    <x v="1"/>
    <x v="2"/>
    <x v="3"/>
    <n v="-0.7"/>
  </r>
  <r>
    <s v="CA-2017-101798"/>
    <x v="56"/>
    <d v="2017-12-15T00:00:00"/>
    <x v="0"/>
    <s v="MV-18190"/>
    <s v="Mike Vittorini"/>
    <x v="0"/>
    <s v="United States"/>
    <x v="7"/>
    <x v="5"/>
    <x v="2"/>
    <s v="TEC-AC-10001998"/>
    <x v="0"/>
    <x v="1"/>
    <s v="Logitech LS21 Speaker System - PC Multimedia - 2.1-CH - Wired"/>
    <n v="39.979999999999997"/>
    <n v="2"/>
    <n v="13.5932"/>
    <x v="1"/>
    <x v="3"/>
    <x v="3"/>
    <n v="0.34"/>
  </r>
  <r>
    <s v="US-2014-135972"/>
    <x v="57"/>
    <d v="2014-09-23T00:00:00"/>
    <x v="1"/>
    <s v="JG-15115"/>
    <s v="Jack Garza"/>
    <x v="0"/>
    <s v="United States"/>
    <x v="38"/>
    <x v="17"/>
    <x v="0"/>
    <s v="TEC-PH-10003012"/>
    <x v="0"/>
    <x v="0"/>
    <s v="Nortel Meridian M3904 Professional Digital phone"/>
    <n v="246.38399999999999"/>
    <n v="2"/>
    <n v="27.7182"/>
    <x v="2"/>
    <x v="0"/>
    <x v="4"/>
    <n v="0.1125"/>
  </r>
  <r>
    <s v="US-2014-135972"/>
    <x v="57"/>
    <d v="2014-09-23T00:00:00"/>
    <x v="1"/>
    <s v="JG-15115"/>
    <s v="Jack Garza"/>
    <x v="0"/>
    <s v="United States"/>
    <x v="38"/>
    <x v="17"/>
    <x v="0"/>
    <s v="TEC-CO-10002313"/>
    <x v="0"/>
    <x v="3"/>
    <s v="Canon PC1080F Personal Copier"/>
    <n v="1799.97"/>
    <n v="3"/>
    <n v="701.98829999999998"/>
    <x v="2"/>
    <x v="0"/>
    <x v="4"/>
    <n v="0.39"/>
  </r>
  <r>
    <s v="CA-2016-108987"/>
    <x v="58"/>
    <d v="2016-09-10T00:00:00"/>
    <x v="1"/>
    <s v="AG-10675"/>
    <s v="Anna Gayman"/>
    <x v="0"/>
    <s v="United States"/>
    <x v="3"/>
    <x v="1"/>
    <x v="1"/>
    <s v="TEC-AC-10000158"/>
    <x v="0"/>
    <x v="1"/>
    <s v="Sony 64GB Class 10 Micro SDHC R40 Memory Card"/>
    <n v="57.584000000000003"/>
    <n v="2"/>
    <n v="0.7198"/>
    <x v="2"/>
    <x v="1"/>
    <x v="4"/>
    <n v="1.2500000000000001E-2"/>
  </r>
  <r>
    <s v="CA-2017-117457"/>
    <x v="59"/>
    <d v="2017-12-12T00:00:00"/>
    <x v="0"/>
    <s v="KH-16510"/>
    <s v="Keith Herrera"/>
    <x v="0"/>
    <s v="United States"/>
    <x v="1"/>
    <x v="0"/>
    <x v="0"/>
    <s v="TEC-AC-10000158"/>
    <x v="0"/>
    <x v="1"/>
    <s v="Sony 64GB Class 10 Micro SDHC R40 Memory Card"/>
    <n v="179.95"/>
    <n v="5"/>
    <n v="37.789499999999997"/>
    <x v="1"/>
    <x v="3"/>
    <x v="3"/>
    <n v="0.21"/>
  </r>
  <r>
    <s v="CA-2017-117457"/>
    <x v="59"/>
    <d v="2017-12-12T00:00:00"/>
    <x v="0"/>
    <s v="KH-16510"/>
    <s v="Keith Herrera"/>
    <x v="0"/>
    <s v="United States"/>
    <x v="1"/>
    <x v="0"/>
    <x v="0"/>
    <s v="TEC-CO-10004115"/>
    <x v="0"/>
    <x v="3"/>
    <s v="Sharp AL-1530CS Digital Copier"/>
    <n v="1199.9760000000001"/>
    <n v="3"/>
    <n v="434.99130000000002"/>
    <x v="1"/>
    <x v="3"/>
    <x v="3"/>
    <n v="0.36249999999999999"/>
  </r>
  <r>
    <s v="CA-2014-142048"/>
    <x v="60"/>
    <d v="2014-06-25T00:00:00"/>
    <x v="2"/>
    <s v="JE-15745"/>
    <s v="Joel Eaton"/>
    <x v="0"/>
    <s v="United States"/>
    <x v="39"/>
    <x v="7"/>
    <x v="0"/>
    <s v="TEC-AC-10004114"/>
    <x v="0"/>
    <x v="1"/>
    <s v="KeyTronic 6101 Series - Keyboard - Black"/>
    <n v="196.75200000000001"/>
    <n v="6"/>
    <n v="56.566200000000002"/>
    <x v="6"/>
    <x v="0"/>
    <x v="0"/>
    <n v="0.28749999999999998"/>
  </r>
  <r>
    <s v="CA-2014-101476"/>
    <x v="61"/>
    <d v="2014-09-13T00:00:00"/>
    <x v="2"/>
    <s v="SD-20485"/>
    <s v="Shirley Daniels"/>
    <x v="2"/>
    <s v="United States"/>
    <x v="40"/>
    <x v="5"/>
    <x v="2"/>
    <s v="TEC-MA-10000029"/>
    <x v="0"/>
    <x v="2"/>
    <s v="Epson WorkForce WF-2530 All-in-One Printer, Copier Scanner"/>
    <n v="69.989999999999995"/>
    <n v="1"/>
    <n v="30.095700000000001"/>
    <x v="4"/>
    <x v="0"/>
    <x v="4"/>
    <n v="0.43"/>
  </r>
  <r>
    <s v="US-2016-123750"/>
    <x v="62"/>
    <d v="2016-04-21T00:00:00"/>
    <x v="0"/>
    <s v="RB-19795"/>
    <s v="Ross Baird"/>
    <x v="2"/>
    <s v="United States"/>
    <x v="41"/>
    <x v="8"/>
    <x v="3"/>
    <s v="TEC-AC-10004659"/>
    <x v="0"/>
    <x v="1"/>
    <s v="Imation Secure+ Hardware Encrypted USB 2.0 Flash Drive; 16GB"/>
    <n v="408.74400000000003"/>
    <n v="7"/>
    <n v="76.639499999999998"/>
    <x v="3"/>
    <x v="1"/>
    <x v="9"/>
    <n v="0.1875"/>
  </r>
  <r>
    <s v="US-2016-123750"/>
    <x v="62"/>
    <d v="2016-04-21T00:00:00"/>
    <x v="0"/>
    <s v="RB-19795"/>
    <s v="Ross Baird"/>
    <x v="2"/>
    <s v="United States"/>
    <x v="41"/>
    <x v="8"/>
    <x v="3"/>
    <s v="TEC-AC-10004659"/>
    <x v="0"/>
    <x v="1"/>
    <s v="Imation Secure+ Hardware Encrypted USB 2.0 Flash Drive; 16GB"/>
    <n v="291.95999999999998"/>
    <n v="5"/>
    <n v="54.7425"/>
    <x v="3"/>
    <x v="1"/>
    <x v="9"/>
    <n v="0.1875"/>
  </r>
  <r>
    <s v="US-2014-150574"/>
    <x v="63"/>
    <d v="2014-12-25T00:00:00"/>
    <x v="0"/>
    <s v="MK-18160"/>
    <s v="Mike Kennedy"/>
    <x v="0"/>
    <s v="United States"/>
    <x v="42"/>
    <x v="15"/>
    <x v="3"/>
    <s v="TEC-AC-10002600"/>
    <x v="0"/>
    <x v="1"/>
    <s v="Belkin QODE FastFit Bluetooth Keyboard"/>
    <n v="247.8"/>
    <n v="5"/>
    <n v="-18.585000000000001"/>
    <x v="3"/>
    <x v="0"/>
    <x v="3"/>
    <n v="-7.4999999999999997E-2"/>
  </r>
  <r>
    <s v="CA-2016-147375"/>
    <x v="18"/>
    <d v="2016-06-14T00:00:00"/>
    <x v="1"/>
    <s v="PO-19180"/>
    <s v="Philisse Overcash"/>
    <x v="2"/>
    <s v="United States"/>
    <x v="11"/>
    <x v="2"/>
    <x v="1"/>
    <s v="TEC-MA-10002937"/>
    <x v="0"/>
    <x v="2"/>
    <s v="Canon Color ImageCLASS MF8580Cdw Wireless Laser All-In-One Printer, Copier, Scanner"/>
    <n v="1007.979"/>
    <n v="3"/>
    <n v="43.199100000000001"/>
    <x v="2"/>
    <x v="1"/>
    <x v="0"/>
    <n v="4.2857142857142899E-2"/>
  </r>
  <r>
    <s v="CA-2016-166674"/>
    <x v="64"/>
    <d v="2016-04-03T00:00:00"/>
    <x v="1"/>
    <s v="RB-19360"/>
    <s v="Raymond Buch"/>
    <x v="0"/>
    <s v="United States"/>
    <x v="43"/>
    <x v="5"/>
    <x v="2"/>
    <s v="TEC-PH-10002365"/>
    <x v="0"/>
    <x v="0"/>
    <s v="Belkin Grip Candy Sheer Case / Cover for iPhone 5 and 5S"/>
    <n v="35.119999999999997"/>
    <n v="4"/>
    <n v="9.1311999999999998"/>
    <x v="2"/>
    <x v="1"/>
    <x v="9"/>
    <n v="0.26"/>
  </r>
  <r>
    <s v="CA-2016-100153"/>
    <x v="65"/>
    <d v="2016-12-17T00:00:00"/>
    <x v="0"/>
    <s v="KH-16630"/>
    <s v="Ken Heidel"/>
    <x v="1"/>
    <s v="United States"/>
    <x v="44"/>
    <x v="11"/>
    <x v="1"/>
    <s v="TEC-AC-10001772"/>
    <x v="0"/>
    <x v="1"/>
    <s v="Memorex Mini Travel Drive 16 GB USB 2.0 Flash Drive"/>
    <n v="63.88"/>
    <n v="4"/>
    <n v="24.9132"/>
    <x v="1"/>
    <x v="1"/>
    <x v="3"/>
    <n v="0.39"/>
  </r>
  <r>
    <s v="CA-2015-109638"/>
    <x v="66"/>
    <d v="2015-12-22T00:00:00"/>
    <x v="0"/>
    <s v="JH-15985"/>
    <s v="Joseph Holt"/>
    <x v="0"/>
    <s v="United States"/>
    <x v="45"/>
    <x v="17"/>
    <x v="0"/>
    <s v="TEC-AC-10004571"/>
    <x v="0"/>
    <x v="1"/>
    <s v="Logitech G700s Rechargeable Gaming Mouse"/>
    <n v="899.91"/>
    <n v="9"/>
    <n v="377.9622"/>
    <x v="5"/>
    <x v="2"/>
    <x v="3"/>
    <n v="0.42"/>
  </r>
  <r>
    <s v="CA-2014-144666"/>
    <x v="67"/>
    <d v="2014-11-11T00:00:00"/>
    <x v="1"/>
    <s v="JP-15520"/>
    <s v="Jeremy Pistek"/>
    <x v="0"/>
    <s v="United States"/>
    <x v="1"/>
    <x v="0"/>
    <x v="0"/>
    <s v="TEC-PH-10002680"/>
    <x v="0"/>
    <x v="0"/>
    <s v="Samsung Galaxy Note 3"/>
    <n v="703.96799999999996"/>
    <n v="4"/>
    <n v="87.995999999999995"/>
    <x v="2"/>
    <x v="0"/>
    <x v="6"/>
    <n v="0.125"/>
  </r>
  <r>
    <s v="CA-2016-103891"/>
    <x v="68"/>
    <d v="2016-07-19T00:00:00"/>
    <x v="0"/>
    <s v="KH-16690"/>
    <s v="Kristen Hastings"/>
    <x v="1"/>
    <s v="United States"/>
    <x v="0"/>
    <x v="0"/>
    <x v="0"/>
    <s v="TEC-PH-10000149"/>
    <x v="0"/>
    <x v="0"/>
    <s v="Cisco SPA525G2 IP Phone - Wireless"/>
    <n v="95.76"/>
    <n v="6"/>
    <n v="7.1820000000000004"/>
    <x v="5"/>
    <x v="1"/>
    <x v="10"/>
    <n v="7.4999999999999997E-2"/>
  </r>
  <r>
    <s v="CA-2014-134677"/>
    <x v="69"/>
    <d v="2014-10-10T00:00:00"/>
    <x v="0"/>
    <s v="XP-21865"/>
    <s v="Xylona Preis"/>
    <x v="0"/>
    <s v="United States"/>
    <x v="30"/>
    <x v="0"/>
    <x v="0"/>
    <s v="TEC-AC-10001445"/>
    <x v="0"/>
    <x v="1"/>
    <s v="Imation USB 2.0 Swivel Flash Drive USB flash drive - 4 GB - Pink"/>
    <n v="9.09"/>
    <n v="3"/>
    <n v="1.9089"/>
    <x v="1"/>
    <x v="0"/>
    <x v="7"/>
    <n v="0.21"/>
  </r>
  <r>
    <s v="CA-2014-127691"/>
    <x v="70"/>
    <d v="2014-07-27T00:00:00"/>
    <x v="0"/>
    <s v="EM-14065"/>
    <s v="Erin Mull"/>
    <x v="0"/>
    <s v="United States"/>
    <x v="7"/>
    <x v="5"/>
    <x v="2"/>
    <s v="TEC-AC-10002567"/>
    <x v="0"/>
    <x v="1"/>
    <s v="Logitech G602 Wireless Gaming Mouse"/>
    <n v="159.97999999999999"/>
    <n v="2"/>
    <n v="57.592799999999997"/>
    <x v="0"/>
    <x v="0"/>
    <x v="10"/>
    <n v="0.36"/>
  </r>
  <r>
    <s v="CA-2017-140963"/>
    <x v="71"/>
    <d v="2017-06-13T00:00:00"/>
    <x v="2"/>
    <s v="MT-18070"/>
    <s v="Michelle Tran"/>
    <x v="2"/>
    <s v="United States"/>
    <x v="0"/>
    <x v="0"/>
    <x v="0"/>
    <s v="TEC-PH-10001924"/>
    <x v="0"/>
    <x v="0"/>
    <s v="iHome FM Clock Radio with Lightning Dock"/>
    <n v="279.95999999999998"/>
    <n v="5"/>
    <n v="17.497499999999999"/>
    <x v="6"/>
    <x v="3"/>
    <x v="0"/>
    <n v="6.25E-2"/>
  </r>
  <r>
    <s v="CA-2014-154627"/>
    <x v="72"/>
    <d v="2014-10-31T00:00:00"/>
    <x v="2"/>
    <s v="SA-20830"/>
    <s v="Sue Ann Reed"/>
    <x v="0"/>
    <s v="United States"/>
    <x v="11"/>
    <x v="2"/>
    <x v="1"/>
    <s v="TEC-PH-10001363"/>
    <x v="0"/>
    <x v="0"/>
    <s v="Apple iPhone 5S"/>
    <n v="2735.9520000000002"/>
    <n v="6"/>
    <n v="341.99400000000003"/>
    <x v="2"/>
    <x v="0"/>
    <x v="7"/>
    <n v="0.125"/>
  </r>
  <r>
    <s v="CA-2014-133753"/>
    <x v="0"/>
    <d v="2014-06-13T00:00:00"/>
    <x v="1"/>
    <s v="CW-11905"/>
    <s v="Carl Weiss"/>
    <x v="2"/>
    <s v="United States"/>
    <x v="46"/>
    <x v="1"/>
    <x v="1"/>
    <s v="TEC-PH-10000376"/>
    <x v="0"/>
    <x v="0"/>
    <s v="Square Credit Card Reader"/>
    <n v="7.992"/>
    <n v="1"/>
    <n v="0.59940000000000004"/>
    <x v="1"/>
    <x v="0"/>
    <x v="0"/>
    <n v="7.4999999999999997E-2"/>
  </r>
  <r>
    <s v="CA-2014-133753"/>
    <x v="0"/>
    <d v="2014-06-13T00:00:00"/>
    <x v="1"/>
    <s v="CW-11905"/>
    <s v="Carl Weiss"/>
    <x v="2"/>
    <s v="United States"/>
    <x v="46"/>
    <x v="1"/>
    <x v="1"/>
    <s v="TEC-AC-10000303"/>
    <x v="0"/>
    <x v="1"/>
    <s v="Logitech M510 Wireless Mouse"/>
    <n v="63.984000000000002"/>
    <n v="2"/>
    <n v="10.397399999999999"/>
    <x v="1"/>
    <x v="0"/>
    <x v="0"/>
    <n v="0.16250000000000001"/>
  </r>
  <r>
    <s v="CA-2016-169166"/>
    <x v="73"/>
    <d v="2016-05-14T00:00:00"/>
    <x v="0"/>
    <s v="SS-20590"/>
    <s v="Sonia Sunley"/>
    <x v="0"/>
    <s v="United States"/>
    <x v="45"/>
    <x v="17"/>
    <x v="0"/>
    <s v="TEC-AC-10000991"/>
    <x v="0"/>
    <x v="1"/>
    <s v="Sony Micro Vault Click 8 GB USB 2.0 Flash Drive"/>
    <n v="93.98"/>
    <n v="2"/>
    <n v="13.1572"/>
    <x v="0"/>
    <x v="1"/>
    <x v="11"/>
    <n v="0.14000000000000001"/>
  </r>
  <r>
    <s v="CA-2017-135307"/>
    <x v="74"/>
    <d v="2017-11-27T00:00:00"/>
    <x v="2"/>
    <s v="LS-17245"/>
    <s v="Lynn Smith"/>
    <x v="0"/>
    <s v="United States"/>
    <x v="47"/>
    <x v="18"/>
    <x v="1"/>
    <s v="TEC-AC-10002399"/>
    <x v="0"/>
    <x v="1"/>
    <s v="SanDisk Cruzer 32 GB USB Flash Drive"/>
    <n v="38.04"/>
    <n v="2"/>
    <n v="12.172800000000001"/>
    <x v="4"/>
    <x v="3"/>
    <x v="6"/>
    <n v="0.32"/>
  </r>
  <r>
    <s v="CA-2017-127432"/>
    <x v="75"/>
    <d v="2017-01-27T00:00:00"/>
    <x v="0"/>
    <s v="AD-10180"/>
    <s v="Alan Dominguez"/>
    <x v="2"/>
    <s v="United States"/>
    <x v="48"/>
    <x v="19"/>
    <x v="0"/>
    <s v="TEC-CO-10003236"/>
    <x v="0"/>
    <x v="3"/>
    <s v="Canon Image Class D660 Copier"/>
    <n v="2999.95"/>
    <n v="5"/>
    <n v="1379.9770000000001"/>
    <x v="0"/>
    <x v="3"/>
    <x v="2"/>
    <n v="0.46"/>
  </r>
  <r>
    <s v="CA-2015-157812"/>
    <x v="76"/>
    <d v="2015-03-26T00:00:00"/>
    <x v="0"/>
    <s v="DB-13210"/>
    <s v="Dean Braden"/>
    <x v="0"/>
    <s v="United States"/>
    <x v="3"/>
    <x v="1"/>
    <x v="1"/>
    <s v="TEC-AC-10000171"/>
    <x v="0"/>
    <x v="1"/>
    <s v="Verbatim 25 GB 6x Blu-ray Single Layer Recordable Disc, 25/Pack"/>
    <n v="18.391999999999999"/>
    <n v="1"/>
    <n v="5.2877000000000001"/>
    <x v="1"/>
    <x v="2"/>
    <x v="5"/>
    <n v="0.28749999999999998"/>
  </r>
  <r>
    <s v="US-2016-139486"/>
    <x v="77"/>
    <d v="2016-05-23T00:00:00"/>
    <x v="2"/>
    <s v="LH-17155"/>
    <s v="Logan Haushalter"/>
    <x v="0"/>
    <s v="United States"/>
    <x v="0"/>
    <x v="0"/>
    <x v="0"/>
    <s v="TEC-PH-10003555"/>
    <x v="0"/>
    <x v="0"/>
    <s v="Motorola HK250 Universal Bluetooth Headset"/>
    <n v="55.176000000000002"/>
    <n v="3"/>
    <n v="-12.4146"/>
    <x v="2"/>
    <x v="1"/>
    <x v="11"/>
    <n v="-0.22500000000000001"/>
  </r>
  <r>
    <s v="US-2016-139486"/>
    <x v="77"/>
    <d v="2016-05-23T00:00:00"/>
    <x v="2"/>
    <s v="LH-17155"/>
    <s v="Logan Haushalter"/>
    <x v="0"/>
    <s v="United States"/>
    <x v="0"/>
    <x v="0"/>
    <x v="0"/>
    <s v="TEC-AC-10003832"/>
    <x v="0"/>
    <x v="1"/>
    <s v="Imation 16GB Mini TravelDrive USB 2.0 Flash Drive"/>
    <n v="66.260000000000005"/>
    <n v="2"/>
    <n v="27.166599999999999"/>
    <x v="2"/>
    <x v="1"/>
    <x v="11"/>
    <n v="0.41"/>
  </r>
  <r>
    <s v="CA-2016-168753"/>
    <x v="78"/>
    <d v="2016-06-01T00:00:00"/>
    <x v="1"/>
    <s v="RL-19615"/>
    <s v="Rob Lucas"/>
    <x v="0"/>
    <s v="United States"/>
    <x v="49"/>
    <x v="20"/>
    <x v="3"/>
    <s v="TEC-PH-10000984"/>
    <x v="0"/>
    <x v="0"/>
    <s v="Panasonic KX-TG9471B"/>
    <n v="979.95"/>
    <n v="5"/>
    <n v="274.38600000000002"/>
    <x v="6"/>
    <x v="1"/>
    <x v="11"/>
    <n v="0.28000000000000003"/>
  </r>
  <r>
    <s v="CA-2014-140795"/>
    <x v="79"/>
    <d v="2014-02-03T00:00:00"/>
    <x v="2"/>
    <s v="BD-11500"/>
    <s v="Bradley Drucker"/>
    <x v="0"/>
    <s v="United States"/>
    <x v="50"/>
    <x v="10"/>
    <x v="1"/>
    <s v="TEC-AC-10001432"/>
    <x v="0"/>
    <x v="1"/>
    <s v="Enermax Aurora Lite Keyboard"/>
    <n v="468.9"/>
    <n v="6"/>
    <n v="206.316"/>
    <x v="2"/>
    <x v="0"/>
    <x v="8"/>
    <n v="0.44"/>
  </r>
  <r>
    <s v="CA-2016-136924"/>
    <x v="80"/>
    <d v="2016-07-17T00:00:00"/>
    <x v="2"/>
    <s v="ES-14080"/>
    <s v="Erin Smith"/>
    <x v="1"/>
    <s v="United States"/>
    <x v="35"/>
    <x v="6"/>
    <x v="0"/>
    <s v="TEC-PH-10002262"/>
    <x v="0"/>
    <x v="0"/>
    <s v="LG Electronics Tone+ HBS-730 Bluetooth Headset"/>
    <n v="380.86399999999998"/>
    <n v="8"/>
    <n v="38.086399999999998"/>
    <x v="6"/>
    <x v="1"/>
    <x v="10"/>
    <n v="0.1"/>
  </r>
  <r>
    <s v="CA-2014-103849"/>
    <x v="81"/>
    <d v="2014-05-16T00:00:00"/>
    <x v="0"/>
    <s v="PG-18895"/>
    <s v="Paul Gonzalez"/>
    <x v="0"/>
    <s v="United States"/>
    <x v="51"/>
    <x v="1"/>
    <x v="1"/>
    <s v="TEC-AC-10001465"/>
    <x v="0"/>
    <x v="1"/>
    <s v="SanDisk Cruzer 64 GB USB Flash Drive"/>
    <n v="58.112000000000002"/>
    <n v="2"/>
    <n v="7.2640000000000002"/>
    <x v="0"/>
    <x v="0"/>
    <x v="11"/>
    <n v="0.125"/>
  </r>
  <r>
    <s v="CA-2014-103849"/>
    <x v="81"/>
    <d v="2014-05-16T00:00:00"/>
    <x v="0"/>
    <s v="PG-18895"/>
    <s v="Paul Gonzalez"/>
    <x v="0"/>
    <s v="United States"/>
    <x v="51"/>
    <x v="1"/>
    <x v="1"/>
    <s v="TEC-PH-10002597"/>
    <x v="0"/>
    <x v="0"/>
    <s v="Xblue XB-1670-86 X16 Small Office Telephone - Titanium"/>
    <n v="100.792"/>
    <n v="1"/>
    <n v="6.2995000000000001"/>
    <x v="0"/>
    <x v="0"/>
    <x v="11"/>
    <n v="6.25E-2"/>
  </r>
  <r>
    <s v="CA-2017-137099"/>
    <x v="82"/>
    <d v="2017-12-10T00:00:00"/>
    <x v="2"/>
    <s v="FP-14320"/>
    <s v="Frank Preis"/>
    <x v="0"/>
    <s v="United States"/>
    <x v="0"/>
    <x v="0"/>
    <x v="0"/>
    <s v="TEC-PH-10002496"/>
    <x v="0"/>
    <x v="0"/>
    <s v="Cisco SPA301"/>
    <n v="374.37599999999998"/>
    <n v="3"/>
    <n v="46.796999999999997"/>
    <x v="6"/>
    <x v="3"/>
    <x v="3"/>
    <n v="0.125"/>
  </r>
  <r>
    <s v="CA-2017-164826"/>
    <x v="83"/>
    <d v="2018-01-04T00:00:00"/>
    <x v="0"/>
    <s v="JF-15415"/>
    <s v="Jennifer Ferguson"/>
    <x v="0"/>
    <s v="United States"/>
    <x v="7"/>
    <x v="5"/>
    <x v="2"/>
    <s v="TEC-PH-10000347"/>
    <x v="0"/>
    <x v="0"/>
    <s v="Cush Cases Heavy Duty Rugged Cover Case for Samsung Galaxy S5 - Purple"/>
    <n v="14.85"/>
    <n v="3"/>
    <n v="4.0095000000000001"/>
    <x v="5"/>
    <x v="3"/>
    <x v="3"/>
    <n v="0.27"/>
  </r>
  <r>
    <s v="CA-2017-145233"/>
    <x v="29"/>
    <d v="2017-12-05T00:00:00"/>
    <x v="0"/>
    <s v="DV-13465"/>
    <s v="Dianna Vittorini"/>
    <x v="0"/>
    <s v="United States"/>
    <x v="52"/>
    <x v="7"/>
    <x v="0"/>
    <s v="TEC-PH-10004977"/>
    <x v="0"/>
    <x v="0"/>
    <s v="GE 30524EE4"/>
    <n v="470.37599999999998"/>
    <n v="3"/>
    <n v="52.917299999999997"/>
    <x v="1"/>
    <x v="3"/>
    <x v="3"/>
    <n v="0.1125"/>
  </r>
  <r>
    <s v="CA-2017-145233"/>
    <x v="29"/>
    <d v="2017-12-05T00:00:00"/>
    <x v="0"/>
    <s v="DV-13465"/>
    <s v="Dianna Vittorini"/>
    <x v="0"/>
    <s v="United States"/>
    <x v="52"/>
    <x v="7"/>
    <x v="0"/>
    <s v="TEC-PH-10000586"/>
    <x v="0"/>
    <x v="0"/>
    <s v="AT&amp;T SB67148 SynJ"/>
    <n v="105.584"/>
    <n v="2"/>
    <n v="9.2385999999999999"/>
    <x v="1"/>
    <x v="3"/>
    <x v="3"/>
    <n v="8.7499999999999994E-2"/>
  </r>
  <r>
    <s v="CA-2017-145233"/>
    <x v="29"/>
    <d v="2017-12-05T00:00:00"/>
    <x v="0"/>
    <s v="DV-13465"/>
    <s v="Dianna Vittorini"/>
    <x v="0"/>
    <s v="United States"/>
    <x v="52"/>
    <x v="7"/>
    <x v="0"/>
    <s v="TEC-PH-10001254"/>
    <x v="0"/>
    <x v="0"/>
    <s v="Jabra BIZ 2300 Duo QD Duo Corded Headset"/>
    <n v="406.36799999999999"/>
    <n v="4"/>
    <n v="30.477599999999999"/>
    <x v="1"/>
    <x v="3"/>
    <x v="3"/>
    <n v="7.4999999999999997E-2"/>
  </r>
  <r>
    <s v="US-2016-156986"/>
    <x v="84"/>
    <d v="2016-03-24T00:00:00"/>
    <x v="0"/>
    <s v="ZC-21910"/>
    <s v="Zuschuss Carroll"/>
    <x v="0"/>
    <s v="United States"/>
    <x v="53"/>
    <x v="16"/>
    <x v="0"/>
    <s v="TEC-PH-10003800"/>
    <x v="0"/>
    <x v="0"/>
    <s v="i.Sound Portable Power - 8000 mAh"/>
    <n v="84.784000000000006"/>
    <n v="2"/>
    <n v="-20.136199999999999"/>
    <x v="1"/>
    <x v="1"/>
    <x v="5"/>
    <n v="-0.23749999999999999"/>
  </r>
  <r>
    <s v="CA-2014-135405"/>
    <x v="85"/>
    <d v="2014-01-13T00:00:00"/>
    <x v="0"/>
    <s v="MS-17830"/>
    <s v="Melanie Seite"/>
    <x v="0"/>
    <s v="United States"/>
    <x v="54"/>
    <x v="1"/>
    <x v="1"/>
    <s v="TEC-AC-10001266"/>
    <x v="0"/>
    <x v="1"/>
    <s v="Memorex Micro Travel Drive 8 GB"/>
    <n v="31.2"/>
    <n v="3"/>
    <n v="9.75"/>
    <x v="1"/>
    <x v="0"/>
    <x v="2"/>
    <n v="0.3125"/>
  </r>
  <r>
    <s v="CA-2014-131450"/>
    <x v="86"/>
    <d v="2014-08-15T00:00:00"/>
    <x v="0"/>
    <s v="LR-16915"/>
    <s v="Lena Radford"/>
    <x v="0"/>
    <s v="United States"/>
    <x v="30"/>
    <x v="0"/>
    <x v="0"/>
    <s v="TEC-CO-10004115"/>
    <x v="0"/>
    <x v="3"/>
    <s v="Sharp AL-1530CS Digital Copier"/>
    <n v="1199.9760000000001"/>
    <n v="3"/>
    <n v="434.99130000000002"/>
    <x v="5"/>
    <x v="0"/>
    <x v="1"/>
    <n v="0.36249999999999999"/>
  </r>
  <r>
    <s v="CA-2014-131450"/>
    <x v="86"/>
    <d v="2014-08-15T00:00:00"/>
    <x v="0"/>
    <s v="LR-16915"/>
    <s v="Lena Radford"/>
    <x v="0"/>
    <s v="United States"/>
    <x v="30"/>
    <x v="0"/>
    <x v="0"/>
    <s v="TEC-PH-10002398"/>
    <x v="0"/>
    <x v="0"/>
    <s v="AT&amp;T 1070 Corded Phone"/>
    <n v="445.96"/>
    <n v="5"/>
    <n v="55.744999999999997"/>
    <x v="5"/>
    <x v="0"/>
    <x v="1"/>
    <n v="0.125"/>
  </r>
  <r>
    <s v="US-2016-100720"/>
    <x v="87"/>
    <d v="2016-07-21T00:00:00"/>
    <x v="0"/>
    <s v="CK-12205"/>
    <s v="Chloris Kastensmidt"/>
    <x v="0"/>
    <s v="United States"/>
    <x v="20"/>
    <x v="12"/>
    <x v="2"/>
    <s v="TEC-PH-10001425"/>
    <x v="0"/>
    <x v="0"/>
    <s v="Mophie Juice Pack Helium for iPhone"/>
    <n v="143.982"/>
    <n v="3"/>
    <n v="-28.796399999999998"/>
    <x v="0"/>
    <x v="1"/>
    <x v="10"/>
    <n v="-0.2"/>
  </r>
  <r>
    <s v="US-2016-100720"/>
    <x v="87"/>
    <d v="2016-07-21T00:00:00"/>
    <x v="0"/>
    <s v="CK-12205"/>
    <s v="Chloris Kastensmidt"/>
    <x v="0"/>
    <s v="United States"/>
    <x v="20"/>
    <x v="12"/>
    <x v="2"/>
    <s v="TEC-PH-10003963"/>
    <x v="0"/>
    <x v="0"/>
    <s v="GE 2-Jack Phone Line Splitter"/>
    <n v="494.37599999999998"/>
    <n v="4"/>
    <n v="-115.3544"/>
    <x v="0"/>
    <x v="1"/>
    <x v="10"/>
    <n v="-0.233333333333333"/>
  </r>
  <r>
    <s v="US-2014-105767"/>
    <x v="88"/>
    <d v="2014-05-27T00:00:00"/>
    <x v="0"/>
    <s v="AR-10510"/>
    <s v="Andrew Roberts"/>
    <x v="0"/>
    <s v="United States"/>
    <x v="20"/>
    <x v="12"/>
    <x v="2"/>
    <s v="TEC-PH-10003092"/>
    <x v="0"/>
    <x v="0"/>
    <s v="Motorola L804"/>
    <n v="55.188000000000002"/>
    <n v="2"/>
    <n v="-10.117800000000001"/>
    <x v="1"/>
    <x v="0"/>
    <x v="11"/>
    <n v="-0.18333333333333299"/>
  </r>
  <r>
    <s v="CA-2016-161816"/>
    <x v="89"/>
    <d v="2016-05-01T00:00:00"/>
    <x v="2"/>
    <s v="NB-18655"/>
    <s v="Nona Balk"/>
    <x v="1"/>
    <s v="United States"/>
    <x v="26"/>
    <x v="1"/>
    <x v="1"/>
    <s v="TEC-PH-10003012"/>
    <x v="0"/>
    <x v="0"/>
    <s v="Nortel Meridian M3904 Professional Digital phone"/>
    <n v="369.57600000000002"/>
    <n v="3"/>
    <n v="41.577300000000001"/>
    <x v="6"/>
    <x v="1"/>
    <x v="9"/>
    <n v="0.1125"/>
  </r>
  <r>
    <s v="CA-2016-121223"/>
    <x v="36"/>
    <d v="2016-09-13T00:00:00"/>
    <x v="1"/>
    <s v="GD-14590"/>
    <s v="Giulietta Dortch"/>
    <x v="1"/>
    <s v="United States"/>
    <x v="20"/>
    <x v="12"/>
    <x v="2"/>
    <s v="TEC-PH-10004667"/>
    <x v="0"/>
    <x v="0"/>
    <s v="Cisco 8x8 Inc. 6753i IP Business Phone System"/>
    <n v="728.94600000000003"/>
    <n v="9"/>
    <n v="-157.9383"/>
    <x v="2"/>
    <x v="1"/>
    <x v="4"/>
    <n v="-0.21666666666666701"/>
  </r>
  <r>
    <s v="CA-2017-138611"/>
    <x v="90"/>
    <d v="2017-11-17T00:00:00"/>
    <x v="1"/>
    <s v="CK-12595"/>
    <s v="Clytie Kelty"/>
    <x v="0"/>
    <s v="United States"/>
    <x v="55"/>
    <x v="9"/>
    <x v="2"/>
    <s v="TEC-PH-10000011"/>
    <x v="0"/>
    <x v="0"/>
    <s v="PureGear Roll-On Screen Protector"/>
    <n v="119.94"/>
    <n v="10"/>
    <n v="15.992000000000001"/>
    <x v="6"/>
    <x v="3"/>
    <x v="6"/>
    <n v="0.133333333333333"/>
  </r>
  <r>
    <s v="CA-2017-117947"/>
    <x v="91"/>
    <d v="2017-08-23T00:00:00"/>
    <x v="1"/>
    <s v="NG-18355"/>
    <s v="Nat Gilpin"/>
    <x v="1"/>
    <s v="United States"/>
    <x v="7"/>
    <x v="5"/>
    <x v="2"/>
    <s v="TEC-PH-10002538"/>
    <x v="0"/>
    <x v="0"/>
    <s v="Grandstream GXP1160 VoIP phone"/>
    <n v="37.909999999999997"/>
    <n v="1"/>
    <n v="10.9939"/>
    <x v="0"/>
    <x v="3"/>
    <x v="1"/>
    <n v="0.28999999999999998"/>
  </r>
  <r>
    <s v="US-2016-135720"/>
    <x v="8"/>
    <d v="2016-12-13T00:00:00"/>
    <x v="1"/>
    <s v="FM-14380"/>
    <s v="Fred McMath"/>
    <x v="0"/>
    <s v="United States"/>
    <x v="12"/>
    <x v="7"/>
    <x v="0"/>
    <s v="TEC-AC-10001267"/>
    <x v="0"/>
    <x v="1"/>
    <s v="Imation 32GB Pocket Pro USB 3.0 Flash Drive - 32 GB - Black - 1 P ..."/>
    <n v="119.8"/>
    <n v="5"/>
    <n v="29.95"/>
    <x v="2"/>
    <x v="1"/>
    <x v="3"/>
    <n v="0.25"/>
  </r>
  <r>
    <s v="US-2016-135720"/>
    <x v="8"/>
    <d v="2016-12-13T00:00:00"/>
    <x v="1"/>
    <s v="FM-14380"/>
    <s v="Fred McMath"/>
    <x v="0"/>
    <s v="United States"/>
    <x v="12"/>
    <x v="7"/>
    <x v="0"/>
    <s v="TEC-PH-10002103"/>
    <x v="0"/>
    <x v="0"/>
    <s v="Jabra SPEAK 410"/>
    <n v="300.76799999999997"/>
    <n v="4"/>
    <n v="30.076799999999999"/>
    <x v="2"/>
    <x v="1"/>
    <x v="3"/>
    <n v="0.1"/>
  </r>
  <r>
    <s v="CA-2017-144694"/>
    <x v="92"/>
    <d v="2017-09-26T00:00:00"/>
    <x v="1"/>
    <s v="BD-11605"/>
    <s v="Brian Dahlen"/>
    <x v="0"/>
    <s v="United States"/>
    <x v="56"/>
    <x v="15"/>
    <x v="3"/>
    <s v="TEC-AC-10002857"/>
    <x v="0"/>
    <x v="1"/>
    <s v="Verbatim 25 GB 6x Blu-ray Single Layer Recordable Disc, 1/Pack"/>
    <n v="17.88"/>
    <n v="3"/>
    <n v="2.4584999999999999"/>
    <x v="2"/>
    <x v="3"/>
    <x v="4"/>
    <n v="0.13750000000000001"/>
  </r>
  <r>
    <s v="CA-2017-106103"/>
    <x v="71"/>
    <d v="2017-06-15T00:00:00"/>
    <x v="0"/>
    <s v="SC-20305"/>
    <s v="Sean Christensen"/>
    <x v="0"/>
    <s v="United States"/>
    <x v="57"/>
    <x v="14"/>
    <x v="1"/>
    <s v="TEC-AC-10003832"/>
    <x v="0"/>
    <x v="1"/>
    <s v="Imation 16GB Mini TravelDrive USB 2.0 Flash Drive"/>
    <n v="132.52000000000001"/>
    <n v="4"/>
    <n v="54.333199999999998"/>
    <x v="0"/>
    <x v="3"/>
    <x v="0"/>
    <n v="0.41"/>
  </r>
  <r>
    <s v="CA-2016-160745"/>
    <x v="8"/>
    <d v="2016-12-16T00:00:00"/>
    <x v="1"/>
    <s v="AR-10825"/>
    <s v="Anthony Rawles"/>
    <x v="1"/>
    <s v="United States"/>
    <x v="58"/>
    <x v="17"/>
    <x v="0"/>
    <s v="TEC-PH-10003273"/>
    <x v="0"/>
    <x v="0"/>
    <s v="AT&amp;T TR1909W"/>
    <n v="302.37599999999998"/>
    <n v="3"/>
    <n v="22.6782"/>
    <x v="0"/>
    <x v="1"/>
    <x v="3"/>
    <n v="7.4999999999999997E-2"/>
  </r>
  <r>
    <s v="CA-2016-160745"/>
    <x v="8"/>
    <d v="2016-12-16T00:00:00"/>
    <x v="1"/>
    <s v="AR-10825"/>
    <s v="Anthony Rawles"/>
    <x v="1"/>
    <s v="United States"/>
    <x v="58"/>
    <x v="17"/>
    <x v="0"/>
    <s v="TEC-AC-10001142"/>
    <x v="0"/>
    <x v="1"/>
    <s v="First Data FD10 PIN Pad"/>
    <n v="316"/>
    <n v="4"/>
    <n v="31.6"/>
    <x v="0"/>
    <x v="1"/>
    <x v="3"/>
    <n v="0.1"/>
  </r>
  <r>
    <s v="CA-2017-140844"/>
    <x v="93"/>
    <d v="2017-06-23T00:00:00"/>
    <x v="0"/>
    <s v="AR-10405"/>
    <s v="Allen Rosenblatt"/>
    <x v="1"/>
    <s v="United States"/>
    <x v="7"/>
    <x v="5"/>
    <x v="2"/>
    <s v="TEC-AC-10001101"/>
    <x v="0"/>
    <x v="1"/>
    <s v="Sony 16GB Class 10 Micro SDHC R40 Memory Card"/>
    <n v="103.12"/>
    <n v="8"/>
    <n v="10.311999999999999"/>
    <x v="1"/>
    <x v="3"/>
    <x v="0"/>
    <n v="0.1"/>
  </r>
  <r>
    <s v="CA-2017-132682"/>
    <x v="94"/>
    <d v="2017-06-10T00:00:00"/>
    <x v="1"/>
    <s v="TH-21235"/>
    <s v="Tiffany House"/>
    <x v="1"/>
    <s v="United States"/>
    <x v="26"/>
    <x v="1"/>
    <x v="1"/>
    <s v="TEC-PH-10004042"/>
    <x v="0"/>
    <x v="0"/>
    <s v="ClearOne Communications CHAT 70 OC Speaker Phone"/>
    <n v="381.57600000000002"/>
    <n v="3"/>
    <n v="28.618200000000002"/>
    <x v="2"/>
    <x v="3"/>
    <x v="0"/>
    <n v="7.4999999999999997E-2"/>
  </r>
  <r>
    <s v="CA-2017-130351"/>
    <x v="95"/>
    <d v="2017-12-08T00:00:00"/>
    <x v="2"/>
    <s v="RB-19570"/>
    <s v="Rob Beeghly"/>
    <x v="0"/>
    <s v="United States"/>
    <x v="16"/>
    <x v="21"/>
    <x v="1"/>
    <s v="TEC-AC-10003832"/>
    <x v="0"/>
    <x v="1"/>
    <s v="Imation 16GB Mini TravelDrive USB 2.0 Flash Drive"/>
    <n v="99.39"/>
    <n v="3"/>
    <n v="40.749899999999997"/>
    <x v="6"/>
    <x v="3"/>
    <x v="3"/>
    <n v="0.41"/>
  </r>
  <r>
    <s v="US-2017-119438"/>
    <x v="96"/>
    <d v="2017-03-23T00:00:00"/>
    <x v="0"/>
    <s v="CD-11980"/>
    <s v="Carol Darley"/>
    <x v="0"/>
    <s v="United States"/>
    <x v="59"/>
    <x v="1"/>
    <x v="1"/>
    <s v="TEC-AC-10003614"/>
    <x v="0"/>
    <x v="1"/>
    <s v="Verbatim 25 GB 6x Blu-ray Single Layer Recordable Disc, 10/Pack"/>
    <n v="27.815999999999999"/>
    <n v="3"/>
    <n v="4.5201000000000002"/>
    <x v="0"/>
    <x v="3"/>
    <x v="5"/>
    <n v="0.16250000000000001"/>
  </r>
  <r>
    <s v="US-2017-168116"/>
    <x v="97"/>
    <d v="2017-11-04T00:00:00"/>
    <x v="3"/>
    <s v="GT-14635"/>
    <s v="Grant Thornton"/>
    <x v="1"/>
    <s v="United States"/>
    <x v="60"/>
    <x v="8"/>
    <x v="3"/>
    <s v="TEC-MA-10004125"/>
    <x v="0"/>
    <x v="2"/>
    <s v="Cubify CubeX 3D Printer Triple Head Print"/>
    <n v="7999.98"/>
    <n v="4"/>
    <n v="-3839.9904000000001"/>
    <x v="7"/>
    <x v="3"/>
    <x v="6"/>
    <n v="-0.48"/>
  </r>
  <r>
    <s v="CA-2014-157784"/>
    <x v="98"/>
    <d v="2014-07-08T00:00:00"/>
    <x v="2"/>
    <s v="MC-17845"/>
    <s v="Michael Chen"/>
    <x v="0"/>
    <s v="United States"/>
    <x v="61"/>
    <x v="22"/>
    <x v="3"/>
    <s v="TEC-AC-10003911"/>
    <x v="0"/>
    <x v="1"/>
    <s v="NETGEAR AC1750 Dual Band Gigabit Smart WiFi Router"/>
    <n v="479.97"/>
    <n v="3"/>
    <n v="163.18979999999999"/>
    <x v="6"/>
    <x v="0"/>
    <x v="10"/>
    <n v="0.34"/>
  </r>
  <r>
    <s v="US-2014-117135"/>
    <x v="99"/>
    <d v="2014-06-23T00:00:00"/>
    <x v="1"/>
    <s v="NP-18325"/>
    <s v="Naresj Patel"/>
    <x v="0"/>
    <s v="United States"/>
    <x v="62"/>
    <x v="23"/>
    <x v="3"/>
    <s v="TEC-PH-10002033"/>
    <x v="0"/>
    <x v="0"/>
    <s v="Konftel 250 Conference phone - Charcoal black"/>
    <n v="284.82"/>
    <n v="1"/>
    <n v="74.053200000000004"/>
    <x v="2"/>
    <x v="0"/>
    <x v="0"/>
    <n v="0.26"/>
  </r>
  <r>
    <s v="CA-2015-131534"/>
    <x v="100"/>
    <d v="2015-04-02T00:00:00"/>
    <x v="0"/>
    <s v="AB-10165"/>
    <s v="Alan Barnes"/>
    <x v="0"/>
    <s v="United States"/>
    <x v="0"/>
    <x v="0"/>
    <x v="0"/>
    <s v="TEC-AC-10002253"/>
    <x v="0"/>
    <x v="1"/>
    <s v="Imation Bio 8GB USB Flash Drive Imation Corp"/>
    <n v="166.24"/>
    <n v="1"/>
    <n v="24.936"/>
    <x v="0"/>
    <x v="2"/>
    <x v="5"/>
    <n v="0.15"/>
  </r>
  <r>
    <s v="CA-2014-138527"/>
    <x v="61"/>
    <d v="2014-09-17T00:00:00"/>
    <x v="0"/>
    <s v="BN-11470"/>
    <s v="Brad Norvell"/>
    <x v="1"/>
    <s v="United States"/>
    <x v="63"/>
    <x v="8"/>
    <x v="3"/>
    <s v="TEC-AC-10002399"/>
    <x v="0"/>
    <x v="1"/>
    <s v="SanDisk Cruzer 32 GB USB Flash Drive"/>
    <n v="15.215999999999999"/>
    <n v="1"/>
    <n v="2.2824"/>
    <x v="0"/>
    <x v="0"/>
    <x v="4"/>
    <n v="0.15"/>
  </r>
  <r>
    <s v="CA-2014-112158"/>
    <x v="101"/>
    <d v="2014-12-04T00:00:00"/>
    <x v="2"/>
    <s v="DP-13165"/>
    <s v="David Philippe"/>
    <x v="0"/>
    <s v="United States"/>
    <x v="7"/>
    <x v="5"/>
    <x v="2"/>
    <s v="TEC-AC-10003628"/>
    <x v="0"/>
    <x v="1"/>
    <s v="Logitech 910-002974 M325 Wireless Mouse for Web Scrolling"/>
    <n v="119.96"/>
    <n v="4"/>
    <n v="52.782400000000003"/>
    <x v="2"/>
    <x v="0"/>
    <x v="3"/>
    <n v="0.44"/>
  </r>
  <r>
    <s v="US-2017-100048"/>
    <x v="102"/>
    <d v="2017-05-24T00:00:00"/>
    <x v="0"/>
    <s v="RS-19765"/>
    <s v="Roland Schwarz"/>
    <x v="1"/>
    <s v="United States"/>
    <x v="64"/>
    <x v="5"/>
    <x v="2"/>
    <s v="TEC-PH-10003012"/>
    <x v="0"/>
    <x v="0"/>
    <s v="Nortel Meridian M3904 Professional Digital phone"/>
    <n v="307.98"/>
    <n v="2"/>
    <n v="89.3142"/>
    <x v="0"/>
    <x v="3"/>
    <x v="11"/>
    <n v="0.28999999999999998"/>
  </r>
  <r>
    <s v="US-2017-100048"/>
    <x v="102"/>
    <d v="2017-05-24T00:00:00"/>
    <x v="0"/>
    <s v="RS-19765"/>
    <s v="Roland Schwarz"/>
    <x v="1"/>
    <s v="United States"/>
    <x v="64"/>
    <x v="5"/>
    <x v="2"/>
    <s v="TEC-AC-10001606"/>
    <x v="0"/>
    <x v="1"/>
    <s v="Logitech Wireless Performance Mouse MX for PC and Mac"/>
    <n v="299.97000000000003"/>
    <n v="3"/>
    <n v="113.98860000000001"/>
    <x v="0"/>
    <x v="3"/>
    <x v="11"/>
    <n v="0.38"/>
  </r>
  <r>
    <s v="CA-2017-144113"/>
    <x v="103"/>
    <d v="2017-09-20T00:00:00"/>
    <x v="0"/>
    <s v="JF-15355"/>
    <s v="Jay Fein"/>
    <x v="0"/>
    <s v="United States"/>
    <x v="65"/>
    <x v="1"/>
    <x v="1"/>
    <s v="TEC-PH-10002170"/>
    <x v="0"/>
    <x v="0"/>
    <s v="ClearSounds CSC500 Amplified Spirit Phone Corded phone"/>
    <n v="55.991999999999997"/>
    <n v="1"/>
    <n v="5.5991999999999997"/>
    <x v="1"/>
    <x v="3"/>
    <x v="4"/>
    <n v="0.1"/>
  </r>
  <r>
    <s v="CA-2017-131954"/>
    <x v="104"/>
    <d v="2017-01-25T00:00:00"/>
    <x v="0"/>
    <s v="DS-13030"/>
    <s v="Darrin Sayre"/>
    <x v="2"/>
    <s v="United States"/>
    <x v="45"/>
    <x v="17"/>
    <x v="0"/>
    <s v="TEC-AC-10003610"/>
    <x v="0"/>
    <x v="1"/>
    <s v="Logitech Illuminated - Keyboard"/>
    <n v="179.97"/>
    <n v="3"/>
    <n v="86.385599999999997"/>
    <x v="1"/>
    <x v="3"/>
    <x v="2"/>
    <n v="0.48"/>
  </r>
  <r>
    <s v="CA-2014-132500"/>
    <x v="24"/>
    <d v="2014-09-12T00:00:00"/>
    <x v="0"/>
    <s v="GZ-14470"/>
    <s v="Gary Zandusky"/>
    <x v="0"/>
    <s v="United States"/>
    <x v="1"/>
    <x v="0"/>
    <x v="0"/>
    <s v="TEC-AC-10001383"/>
    <x v="0"/>
    <x v="1"/>
    <s v="Logitech Wireless Touch Keyboard K400"/>
    <n v="49.98"/>
    <n v="2"/>
    <n v="8.4966000000000008"/>
    <x v="1"/>
    <x v="0"/>
    <x v="4"/>
    <n v="0.17"/>
  </r>
  <r>
    <s v="CA-2016-150889"/>
    <x v="84"/>
    <d v="2016-03-22T00:00:00"/>
    <x v="1"/>
    <s v="PB-19105"/>
    <s v="Peter Bühler"/>
    <x v="0"/>
    <s v="United States"/>
    <x v="66"/>
    <x v="2"/>
    <x v="1"/>
    <s v="TEC-PH-10000004"/>
    <x v="0"/>
    <x v="0"/>
    <s v="Belkin iPhone and iPad Lightning Cable"/>
    <n v="11.992000000000001"/>
    <n v="1"/>
    <n v="0.89939999999999998"/>
    <x v="2"/>
    <x v="1"/>
    <x v="5"/>
    <n v="7.4999999999999997E-2"/>
  </r>
  <r>
    <s v="CA-2016-110499"/>
    <x v="105"/>
    <d v="2016-04-09T00:00:00"/>
    <x v="2"/>
    <s v="YC-21895"/>
    <s v="Yoseph Carroll"/>
    <x v="1"/>
    <s v="United States"/>
    <x v="1"/>
    <x v="0"/>
    <x v="0"/>
    <s v="TEC-CO-10002095"/>
    <x v="0"/>
    <x v="3"/>
    <s v="Hewlett Packard 610 Color Digital Copier / Printer"/>
    <n v="1199.9760000000001"/>
    <n v="3"/>
    <n v="374.99250000000001"/>
    <x v="2"/>
    <x v="1"/>
    <x v="9"/>
    <n v="0.3125"/>
  </r>
  <r>
    <s v="CA-2014-106803"/>
    <x v="106"/>
    <d v="2015-01-02T00:00:00"/>
    <x v="0"/>
    <s v="DC-13285"/>
    <s v="Debra Catini"/>
    <x v="0"/>
    <s v="United States"/>
    <x v="67"/>
    <x v="3"/>
    <x v="1"/>
    <s v="TEC-AC-10001267"/>
    <x v="0"/>
    <x v="1"/>
    <s v="Imation 32GB Pocket Pro USB 3.0 Flash Drive - 32 GB - Black - 1 P ..."/>
    <n v="119.8"/>
    <n v="4"/>
    <n v="47.92"/>
    <x v="1"/>
    <x v="0"/>
    <x v="3"/>
    <n v="0.4"/>
  </r>
  <r>
    <s v="CA-2015-114923"/>
    <x v="107"/>
    <d v="2015-02-13T00:00:00"/>
    <x v="0"/>
    <s v="LH-17020"/>
    <s v="Lisa Hazard"/>
    <x v="0"/>
    <s v="United States"/>
    <x v="16"/>
    <x v="9"/>
    <x v="2"/>
    <s v="TEC-PH-10003931"/>
    <x v="0"/>
    <x v="0"/>
    <s v="JBL Micro Wireless Portable Bluetooth Speaker"/>
    <n v="107.982"/>
    <n v="3"/>
    <n v="-26.9955"/>
    <x v="0"/>
    <x v="2"/>
    <x v="8"/>
    <n v="-0.25"/>
  </r>
  <r>
    <s v="CA-2014-162775"/>
    <x v="108"/>
    <d v="2014-01-15T00:00:00"/>
    <x v="1"/>
    <s v="CS-12250"/>
    <s v="Chris Selesnick"/>
    <x v="1"/>
    <s v="United States"/>
    <x v="68"/>
    <x v="13"/>
    <x v="3"/>
    <s v="TEC-AC-10003174"/>
    <x v="0"/>
    <x v="1"/>
    <s v="Plantronics S12 Corded Telephone Headset System"/>
    <n v="646.74"/>
    <n v="6"/>
    <n v="258.69600000000003"/>
    <x v="2"/>
    <x v="0"/>
    <x v="2"/>
    <n v="0.4"/>
  </r>
  <r>
    <s v="CA-2017-104220"/>
    <x v="109"/>
    <d v="2017-02-05T00:00:00"/>
    <x v="0"/>
    <s v="BV-11245"/>
    <s v="Benjamin Venier"/>
    <x v="1"/>
    <s v="United States"/>
    <x v="38"/>
    <x v="24"/>
    <x v="1"/>
    <s v="TEC-PH-10004614"/>
    <x v="0"/>
    <x v="0"/>
    <s v="AT&amp;T 841000 Phone"/>
    <n v="207"/>
    <n v="3"/>
    <n v="51.75"/>
    <x v="3"/>
    <x v="3"/>
    <x v="2"/>
    <n v="0.25"/>
  </r>
  <r>
    <s v="US-2015-157014"/>
    <x v="110"/>
    <d v="2015-10-06T00:00:00"/>
    <x v="1"/>
    <s v="BM-11785"/>
    <s v="Bryan Mills"/>
    <x v="0"/>
    <s v="United States"/>
    <x v="16"/>
    <x v="9"/>
    <x v="2"/>
    <s v="TEC-AC-10002167"/>
    <x v="0"/>
    <x v="1"/>
    <s v="Imation 8gb Micro Traveldrive Usb 2.0 Flash Drive"/>
    <n v="24"/>
    <n v="2"/>
    <n v="-2.7"/>
    <x v="6"/>
    <x v="2"/>
    <x v="7"/>
    <n v="-0.1125"/>
  </r>
  <r>
    <s v="US-2015-157014"/>
    <x v="110"/>
    <d v="2015-10-06T00:00:00"/>
    <x v="1"/>
    <s v="BM-11785"/>
    <s v="Bryan Mills"/>
    <x v="0"/>
    <s v="United States"/>
    <x v="16"/>
    <x v="9"/>
    <x v="2"/>
    <s v="TEC-AC-10000057"/>
    <x v="0"/>
    <x v="1"/>
    <s v="Microsoft Natural Ergonomic Keyboard 4000"/>
    <n v="47.984000000000002"/>
    <n v="2"/>
    <n v="0.5998"/>
    <x v="6"/>
    <x v="2"/>
    <x v="7"/>
    <n v="1.2500000000000001E-2"/>
  </r>
  <r>
    <s v="CA-2016-105256"/>
    <x v="111"/>
    <d v="2016-05-20T00:00:00"/>
    <x v="3"/>
    <s v="JK-15730"/>
    <s v="Joe Kamberova"/>
    <x v="0"/>
    <s v="United States"/>
    <x v="69"/>
    <x v="8"/>
    <x v="3"/>
    <s v="TEC-PH-10001530"/>
    <x v="0"/>
    <x v="0"/>
    <s v="Cisco Unified IP Phone 7945G VoIP phone"/>
    <n v="1363.96"/>
    <n v="5"/>
    <n v="85.247500000000002"/>
    <x v="7"/>
    <x v="1"/>
    <x v="11"/>
    <n v="6.25E-2"/>
  </r>
  <r>
    <s v="CA-2017-105809"/>
    <x v="112"/>
    <d v="2017-02-23T00:00:00"/>
    <x v="2"/>
    <s v="HW-14935"/>
    <s v="Helen Wasserman"/>
    <x v="1"/>
    <s v="United States"/>
    <x v="30"/>
    <x v="0"/>
    <x v="0"/>
    <s v="TEC-PH-10001580"/>
    <x v="0"/>
    <x v="0"/>
    <s v="Logitech Mobile Speakerphone P710e - speaker phone"/>
    <n v="215.96799999999999"/>
    <n v="2"/>
    <n v="18.897200000000002"/>
    <x v="6"/>
    <x v="3"/>
    <x v="8"/>
    <n v="8.7499999999999994E-2"/>
  </r>
  <r>
    <s v="CA-2014-134313"/>
    <x v="113"/>
    <d v="2014-11-07T00:00:00"/>
    <x v="0"/>
    <s v="RA-19915"/>
    <s v="Russell Applegate"/>
    <x v="0"/>
    <s v="United States"/>
    <x v="52"/>
    <x v="7"/>
    <x v="0"/>
    <s v="TEC-PH-10001795"/>
    <x v="0"/>
    <x v="0"/>
    <s v="ClearOne CHATAttach 160 - speaker phone"/>
    <n v="1983.9680000000001"/>
    <n v="4"/>
    <n v="247.99600000000001"/>
    <x v="3"/>
    <x v="0"/>
    <x v="6"/>
    <n v="0.125"/>
  </r>
  <r>
    <s v="CA-2015-140921"/>
    <x v="114"/>
    <d v="2015-02-05T00:00:00"/>
    <x v="2"/>
    <s v="AA-10375"/>
    <s v="Allen Armold"/>
    <x v="0"/>
    <s v="United States"/>
    <x v="70"/>
    <x v="25"/>
    <x v="1"/>
    <s v="TEC-AC-10004901"/>
    <x v="0"/>
    <x v="1"/>
    <s v="Kensington SlimBlade Notebook Wireless Mouse with Nano Receiver "/>
    <n v="149.97"/>
    <n v="3"/>
    <n v="50.989800000000002"/>
    <x v="2"/>
    <x v="2"/>
    <x v="8"/>
    <n v="0.34"/>
  </r>
  <r>
    <s v="CA-2014-151995"/>
    <x v="115"/>
    <d v="2014-10-15T00:00:00"/>
    <x v="2"/>
    <s v="ZC-21910"/>
    <s v="Zuschuss Carroll"/>
    <x v="0"/>
    <s v="United States"/>
    <x v="71"/>
    <x v="17"/>
    <x v="0"/>
    <s v="TEC-AC-10001101"/>
    <x v="0"/>
    <x v="1"/>
    <s v="Sony 16GB Class 10 Micro SDHC R40 Memory Card"/>
    <n v="25.78"/>
    <n v="2"/>
    <n v="2.5779999999999998"/>
    <x v="2"/>
    <x v="0"/>
    <x v="7"/>
    <n v="0.1"/>
  </r>
  <r>
    <s v="CA-2017-143686"/>
    <x v="116"/>
    <d v="2017-05-14T00:00:00"/>
    <x v="3"/>
    <s v="PJ-19015"/>
    <s v="Pauline Johnson"/>
    <x v="0"/>
    <s v="United States"/>
    <x v="72"/>
    <x v="0"/>
    <x v="0"/>
    <s v="TEC-AC-10001838"/>
    <x v="0"/>
    <x v="1"/>
    <s v="Razer Tiamat Over Ear 7.1 Surround Sound PC Gaming Headset"/>
    <n v="1399.93"/>
    <n v="7"/>
    <n v="601.96990000000005"/>
    <x v="7"/>
    <x v="3"/>
    <x v="11"/>
    <n v="0.43"/>
  </r>
  <r>
    <s v="CA-2017-101434"/>
    <x v="117"/>
    <d v="2017-06-27T00:00:00"/>
    <x v="0"/>
    <s v="TR-21325"/>
    <s v="Toby Ritter"/>
    <x v="0"/>
    <s v="United States"/>
    <x v="73"/>
    <x v="26"/>
    <x v="2"/>
    <s v="TEC-AC-10002402"/>
    <x v="0"/>
    <x v="1"/>
    <s v="Razer Kraken PRO Over Ear PC and Music Headset"/>
    <n v="239.97"/>
    <n v="3"/>
    <n v="71.991"/>
    <x v="5"/>
    <x v="3"/>
    <x v="0"/>
    <n v="0.3"/>
  </r>
  <r>
    <s v="US-2014-102071"/>
    <x v="118"/>
    <d v="2014-05-15T00:00:00"/>
    <x v="0"/>
    <s v="PG-18820"/>
    <s v="Patrick Gardner"/>
    <x v="0"/>
    <s v="United States"/>
    <x v="1"/>
    <x v="0"/>
    <x v="0"/>
    <s v="TEC-AC-10003441"/>
    <x v="0"/>
    <x v="1"/>
    <s v="Kingston Digital DataTraveler 32GB USB 2.0"/>
    <n v="67.8"/>
    <n v="4"/>
    <n v="4.0679999999999996"/>
    <x v="3"/>
    <x v="0"/>
    <x v="11"/>
    <n v="0.06"/>
  </r>
  <r>
    <s v="US-2014-102071"/>
    <x v="118"/>
    <d v="2014-05-15T00:00:00"/>
    <x v="0"/>
    <s v="PG-18820"/>
    <s v="Patrick Gardner"/>
    <x v="0"/>
    <s v="United States"/>
    <x v="1"/>
    <x v="0"/>
    <x v="0"/>
    <s v="TEC-AC-10000109"/>
    <x v="0"/>
    <x v="1"/>
    <s v="Sony Micro Vault Click 16 GB USB 2.0 Flash Drive"/>
    <n v="167.97"/>
    <n v="3"/>
    <n v="40.312800000000003"/>
    <x v="3"/>
    <x v="0"/>
    <x v="11"/>
    <n v="0.24"/>
  </r>
  <r>
    <s v="CA-2017-129462"/>
    <x v="119"/>
    <d v="2017-06-21T00:00:00"/>
    <x v="1"/>
    <s v="JE-15745"/>
    <s v="Joel Eaton"/>
    <x v="0"/>
    <s v="United States"/>
    <x v="74"/>
    <x v="27"/>
    <x v="3"/>
    <s v="TEC-PH-10001557"/>
    <x v="0"/>
    <x v="0"/>
    <s v="Pyle PMP37LED"/>
    <n v="191.98"/>
    <n v="2"/>
    <n v="51.834600000000002"/>
    <x v="0"/>
    <x v="3"/>
    <x v="0"/>
    <n v="0.27"/>
  </r>
  <r>
    <s v="CA-2017-129462"/>
    <x v="119"/>
    <d v="2017-06-21T00:00:00"/>
    <x v="1"/>
    <s v="JE-15745"/>
    <s v="Joel Eaton"/>
    <x v="0"/>
    <s v="United States"/>
    <x v="74"/>
    <x v="27"/>
    <x v="3"/>
    <s v="TEC-PH-10002085"/>
    <x v="0"/>
    <x v="0"/>
    <s v="Clarity 53712"/>
    <n v="65.989999999999995"/>
    <n v="1"/>
    <n v="17.157399999999999"/>
    <x v="0"/>
    <x v="3"/>
    <x v="0"/>
    <n v="0.26"/>
  </r>
  <r>
    <s v="CA-2016-165316"/>
    <x v="120"/>
    <d v="2016-07-27T00:00:00"/>
    <x v="0"/>
    <s v="JB-15400"/>
    <s v="Jennifer Braxton"/>
    <x v="1"/>
    <s v="United States"/>
    <x v="29"/>
    <x v="15"/>
    <x v="3"/>
    <s v="TEC-MA-10004002"/>
    <x v="0"/>
    <x v="2"/>
    <s v="Zebra GX420t Direct Thermal/Thermal Transfer Printer"/>
    <n v="265.47500000000002"/>
    <n v="1"/>
    <n v="-111.4995"/>
    <x v="1"/>
    <x v="1"/>
    <x v="10"/>
    <n v="-0.42"/>
  </r>
  <r>
    <s v="US-2016-137547"/>
    <x v="121"/>
    <d v="2016-03-12T00:00:00"/>
    <x v="0"/>
    <s v="EB-13705"/>
    <s v="Ed Braxton"/>
    <x v="1"/>
    <s v="United States"/>
    <x v="51"/>
    <x v="1"/>
    <x v="1"/>
    <s v="TEC-PH-10002365"/>
    <x v="0"/>
    <x v="0"/>
    <s v="Belkin Grip Candy Sheer Case / Cover for iPhone 5 and 5S"/>
    <n v="21.071999999999999"/>
    <n v="3"/>
    <n v="1.5804"/>
    <x v="0"/>
    <x v="1"/>
    <x v="5"/>
    <n v="7.4999999999999997E-2"/>
  </r>
  <r>
    <s v="CA-2015-114300"/>
    <x v="122"/>
    <d v="2015-10-17T00:00:00"/>
    <x v="0"/>
    <s v="AF-10885"/>
    <s v="Art Foster"/>
    <x v="0"/>
    <s v="United States"/>
    <x v="39"/>
    <x v="27"/>
    <x v="3"/>
    <s v="TEC-PH-10001552"/>
    <x v="0"/>
    <x v="0"/>
    <s v="I Need's 3d Hello Kitty Hybrid Silicone Case Cover for HTC One X 4g with 3d Hello Kitty Stylus Pen Green/pink"/>
    <n v="83.72"/>
    <n v="7"/>
    <n v="23.441600000000001"/>
    <x v="1"/>
    <x v="2"/>
    <x v="7"/>
    <n v="0.28000000000000003"/>
  </r>
  <r>
    <s v="CA-2014-107755"/>
    <x v="123"/>
    <d v="2014-02-12T00:00:00"/>
    <x v="0"/>
    <s v="CK-12760"/>
    <s v="Cyma Kinney"/>
    <x v="1"/>
    <s v="United States"/>
    <x v="75"/>
    <x v="26"/>
    <x v="2"/>
    <s v="TEC-AC-10000710"/>
    <x v="0"/>
    <x v="1"/>
    <s v="Maxell DVD-RAM Discs"/>
    <n v="115.36"/>
    <n v="7"/>
    <n v="49.604799999999997"/>
    <x v="0"/>
    <x v="0"/>
    <x v="8"/>
    <n v="0.43"/>
  </r>
  <r>
    <s v="CA-2016-134474"/>
    <x v="124"/>
    <d v="2016-01-07T00:00:00"/>
    <x v="1"/>
    <s v="AJ-10795"/>
    <s v="Anthony Johnson"/>
    <x v="1"/>
    <s v="United States"/>
    <x v="42"/>
    <x v="15"/>
    <x v="3"/>
    <s v="TEC-AC-10001714"/>
    <x v="0"/>
    <x v="1"/>
    <s v="Logitech MX Performance Wireless Mouse"/>
    <n v="191.47200000000001"/>
    <n v="6"/>
    <n v="40.687800000000003"/>
    <x v="2"/>
    <x v="1"/>
    <x v="2"/>
    <n v="0.21249999999999999"/>
  </r>
  <r>
    <s v="CA-2016-134474"/>
    <x v="124"/>
    <d v="2016-01-07T00:00:00"/>
    <x v="1"/>
    <s v="AJ-10795"/>
    <s v="Anthony Johnson"/>
    <x v="1"/>
    <s v="United States"/>
    <x v="42"/>
    <x v="15"/>
    <x v="3"/>
    <s v="TEC-PH-10002923"/>
    <x v="0"/>
    <x v="0"/>
    <s v="Logitech B530 USB Headset - headset - Full size, Binaural"/>
    <n v="59.183999999999997"/>
    <n v="2"/>
    <n v="5.1786000000000003"/>
    <x v="2"/>
    <x v="1"/>
    <x v="2"/>
    <n v="8.7499999999999994E-2"/>
  </r>
  <r>
    <s v="CA-2016-158099"/>
    <x v="125"/>
    <d v="2016-09-05T00:00:00"/>
    <x v="2"/>
    <s v="PK-18910"/>
    <s v="Paul Knutson"/>
    <x v="2"/>
    <s v="United States"/>
    <x v="20"/>
    <x v="12"/>
    <x v="2"/>
    <s v="TEC-PH-10002496"/>
    <x v="0"/>
    <x v="0"/>
    <s v="Cisco SPA301"/>
    <n v="280.78199999999998"/>
    <n v="3"/>
    <n v="-46.796999999999997"/>
    <x v="2"/>
    <x v="1"/>
    <x v="4"/>
    <n v="-0.16666666666666699"/>
  </r>
  <r>
    <s v="CA-2016-116736"/>
    <x v="126"/>
    <d v="2016-01-21T00:00:00"/>
    <x v="0"/>
    <s v="CC-12430"/>
    <s v="Chuck Clark"/>
    <x v="2"/>
    <s v="United States"/>
    <x v="76"/>
    <x v="28"/>
    <x v="2"/>
    <s v="TEC-AC-10003628"/>
    <x v="0"/>
    <x v="1"/>
    <s v="Logitech 910-002974 M325 Wireless Mouse for Web Scrolling"/>
    <n v="29.99"/>
    <n v="1"/>
    <n v="13.195600000000001"/>
    <x v="1"/>
    <x v="1"/>
    <x v="2"/>
    <n v="0.44"/>
  </r>
  <r>
    <s v="CA-2016-116736"/>
    <x v="126"/>
    <d v="2016-01-21T00:00:00"/>
    <x v="0"/>
    <s v="CC-12430"/>
    <s v="Chuck Clark"/>
    <x v="2"/>
    <s v="United States"/>
    <x v="76"/>
    <x v="28"/>
    <x v="2"/>
    <s v="TEC-AC-10002049"/>
    <x v="0"/>
    <x v="1"/>
    <s v="Logitech G19 Programmable Gaming Keyboard"/>
    <n v="371.97"/>
    <n v="3"/>
    <n v="66.954599999999999"/>
    <x v="1"/>
    <x v="1"/>
    <x v="2"/>
    <n v="0.18"/>
  </r>
  <r>
    <s v="CA-2017-132934"/>
    <x v="117"/>
    <d v="2017-06-26T00:00:00"/>
    <x v="0"/>
    <s v="JE-15475"/>
    <s v="Jeremy Ellison"/>
    <x v="0"/>
    <s v="United States"/>
    <x v="40"/>
    <x v="5"/>
    <x v="2"/>
    <s v="TEC-AC-10000927"/>
    <x v="0"/>
    <x v="1"/>
    <s v="Anker Ultrathin Bluetooth Wireless Keyboard Aluminum Cover with Stand "/>
    <n v="149.94999999999999"/>
    <n v="5"/>
    <n v="14.994999999999999"/>
    <x v="3"/>
    <x v="3"/>
    <x v="0"/>
    <n v="0.1"/>
  </r>
  <r>
    <s v="CA-2017-133256"/>
    <x v="127"/>
    <d v="2017-06-27T00:00:00"/>
    <x v="2"/>
    <s v="TH-21550"/>
    <s v="Tracy Hopkins"/>
    <x v="2"/>
    <s v="United States"/>
    <x v="77"/>
    <x v="14"/>
    <x v="1"/>
    <s v="TEC-PH-10002660"/>
    <x v="0"/>
    <x v="0"/>
    <s v="Nortel Networks T7316 E Nt8 B27"/>
    <n v="543.91999999999996"/>
    <n v="8"/>
    <n v="135.97999999999999"/>
    <x v="4"/>
    <x v="3"/>
    <x v="0"/>
    <n v="0.25"/>
  </r>
  <r>
    <s v="CA-2017-132353"/>
    <x v="128"/>
    <d v="2017-09-17T00:00:00"/>
    <x v="2"/>
    <s v="DB-13060"/>
    <s v="Dave Brooks"/>
    <x v="0"/>
    <s v="United States"/>
    <x v="11"/>
    <x v="2"/>
    <x v="1"/>
    <s v="TEC-PH-10004536"/>
    <x v="0"/>
    <x v="0"/>
    <s v="Avaya 5420 Digital phone"/>
    <n v="323.976"/>
    <n v="3"/>
    <n v="20.2485"/>
    <x v="2"/>
    <x v="3"/>
    <x v="4"/>
    <n v="6.25E-2"/>
  </r>
  <r>
    <s v="CA-2017-143259"/>
    <x v="129"/>
    <d v="2018-01-03T00:00:00"/>
    <x v="0"/>
    <s v="PO-18865"/>
    <s v="Patrick O'Donnell"/>
    <x v="0"/>
    <s v="United States"/>
    <x v="7"/>
    <x v="5"/>
    <x v="2"/>
    <s v="TEC-PH-10004774"/>
    <x v="0"/>
    <x v="0"/>
    <s v="Gear Head AU3700S Headset"/>
    <n v="90.93"/>
    <n v="7"/>
    <n v="2.7279"/>
    <x v="1"/>
    <x v="3"/>
    <x v="3"/>
    <n v="0.03"/>
  </r>
  <r>
    <s v="CA-2017-137596"/>
    <x v="130"/>
    <d v="2017-09-07T00:00:00"/>
    <x v="0"/>
    <s v="BE-11335"/>
    <s v="Bill Eplett"/>
    <x v="2"/>
    <s v="United States"/>
    <x v="61"/>
    <x v="14"/>
    <x v="1"/>
    <s v="TEC-PH-10001494"/>
    <x v="0"/>
    <x v="0"/>
    <s v="Polycom CX600 IP Phone VoIP phone"/>
    <n v="1199.8"/>
    <n v="4"/>
    <n v="323.94600000000003"/>
    <x v="0"/>
    <x v="3"/>
    <x v="4"/>
    <n v="0.27"/>
  </r>
  <r>
    <s v="CA-2017-137596"/>
    <x v="130"/>
    <d v="2017-09-07T00:00:00"/>
    <x v="0"/>
    <s v="BE-11335"/>
    <s v="Bill Eplett"/>
    <x v="2"/>
    <s v="United States"/>
    <x v="61"/>
    <x v="14"/>
    <x v="1"/>
    <s v="TEC-AC-10004666"/>
    <x v="0"/>
    <x v="1"/>
    <s v="Maxell iVDR EX 500GB Cartridge"/>
    <n v="1928.78"/>
    <n v="7"/>
    <n v="829.37540000000001"/>
    <x v="0"/>
    <x v="3"/>
    <x v="4"/>
    <n v="0.43"/>
  </r>
  <r>
    <s v="CA-2017-102519"/>
    <x v="131"/>
    <d v="2017-11-29T00:00:00"/>
    <x v="2"/>
    <s v="BM-11650"/>
    <s v="Brian Moss"/>
    <x v="1"/>
    <s v="United States"/>
    <x v="78"/>
    <x v="10"/>
    <x v="1"/>
    <s v="TEC-AC-10001772"/>
    <x v="0"/>
    <x v="1"/>
    <s v="Memorex Mini Travel Drive 16 GB USB 2.0 Flash Drive"/>
    <n v="143.72999999999999"/>
    <n v="9"/>
    <n v="56.054699999999997"/>
    <x v="2"/>
    <x v="3"/>
    <x v="6"/>
    <n v="0.39"/>
  </r>
  <r>
    <s v="CA-2015-111164"/>
    <x v="132"/>
    <d v="2015-04-15T00:00:00"/>
    <x v="0"/>
    <s v="SE-20110"/>
    <s v="Sanjit Engle"/>
    <x v="0"/>
    <s v="United States"/>
    <x v="7"/>
    <x v="5"/>
    <x v="2"/>
    <s v="TEC-AC-10002473"/>
    <x v="0"/>
    <x v="1"/>
    <s v="Maxell 4.7GB DVD-R"/>
    <n v="85.14"/>
    <n v="3"/>
    <n v="34.907400000000003"/>
    <x v="1"/>
    <x v="2"/>
    <x v="9"/>
    <n v="0.41"/>
  </r>
  <r>
    <s v="CA-2015-111164"/>
    <x v="132"/>
    <d v="2015-04-15T00:00:00"/>
    <x v="0"/>
    <s v="SE-20110"/>
    <s v="Sanjit Engle"/>
    <x v="0"/>
    <s v="United States"/>
    <x v="7"/>
    <x v="5"/>
    <x v="2"/>
    <s v="TEC-PH-10004531"/>
    <x v="0"/>
    <x v="0"/>
    <s v="OtterBox Commuter Series Case - iPhone 5 &amp; 5s"/>
    <n v="21.99"/>
    <n v="1"/>
    <n v="10.555199999999999"/>
    <x v="1"/>
    <x v="2"/>
    <x v="9"/>
    <n v="0.48"/>
  </r>
  <r>
    <s v="CA-2014-132962"/>
    <x v="133"/>
    <d v="2014-09-16T00:00:00"/>
    <x v="2"/>
    <s v="JM-15535"/>
    <s v="Jessica Myrick"/>
    <x v="0"/>
    <s v="United States"/>
    <x v="20"/>
    <x v="12"/>
    <x v="2"/>
    <s v="TEC-AC-10004353"/>
    <x v="0"/>
    <x v="1"/>
    <s v="Hypercom P1300 Pinpad"/>
    <n v="252"/>
    <n v="5"/>
    <n v="53.55"/>
    <x v="6"/>
    <x v="0"/>
    <x v="4"/>
    <n v="0.21249999999999999"/>
  </r>
  <r>
    <s v="US-2017-111745"/>
    <x v="134"/>
    <d v="2017-11-06T00:00:00"/>
    <x v="2"/>
    <s v="RA-19885"/>
    <s v="Ruben Ausman"/>
    <x v="1"/>
    <s v="United States"/>
    <x v="79"/>
    <x v="29"/>
    <x v="0"/>
    <s v="TEC-AC-10003911"/>
    <x v="0"/>
    <x v="1"/>
    <s v="NETGEAR AC1750 Dual Band Gigabit Smart WiFi Router"/>
    <n v="159.99"/>
    <n v="1"/>
    <n v="54.396599999999999"/>
    <x v="4"/>
    <x v="3"/>
    <x v="6"/>
    <n v="0.34"/>
  </r>
  <r>
    <s v="CA-2017-102414"/>
    <x v="135"/>
    <d v="2017-05-18T00:00:00"/>
    <x v="1"/>
    <s v="JA-15970"/>
    <s v="Joseph Airdo"/>
    <x v="0"/>
    <s v="United States"/>
    <x v="80"/>
    <x v="6"/>
    <x v="0"/>
    <s v="TEC-PH-10002923"/>
    <x v="0"/>
    <x v="0"/>
    <s v="Logitech B530 USB Headset - headset - Full size, Binaural"/>
    <n v="29.591999999999999"/>
    <n v="1"/>
    <n v="2.5893000000000002"/>
    <x v="6"/>
    <x v="3"/>
    <x v="11"/>
    <n v="8.7499999999999994E-2"/>
  </r>
  <r>
    <s v="CA-2014-115791"/>
    <x v="136"/>
    <d v="2014-01-18T00:00:00"/>
    <x v="1"/>
    <s v="DL-13315"/>
    <s v="Delfina Latchford"/>
    <x v="0"/>
    <s v="United States"/>
    <x v="20"/>
    <x v="12"/>
    <x v="2"/>
    <s v="TEC-PH-10004614"/>
    <x v="0"/>
    <x v="0"/>
    <s v="AT&amp;T 841000 Phone"/>
    <n v="124.2"/>
    <n v="3"/>
    <n v="-31.05"/>
    <x v="2"/>
    <x v="0"/>
    <x v="2"/>
    <n v="-0.25"/>
  </r>
  <r>
    <s v="US-2017-103247"/>
    <x v="137"/>
    <d v="2017-10-08T00:00:00"/>
    <x v="1"/>
    <s v="PO-19195"/>
    <s v="Phillina Ober"/>
    <x v="2"/>
    <s v="United States"/>
    <x v="7"/>
    <x v="5"/>
    <x v="2"/>
    <s v="TEC-PH-10003555"/>
    <x v="0"/>
    <x v="0"/>
    <s v="Motorola HK250 Universal Bluetooth Headset"/>
    <n v="160.93"/>
    <n v="7"/>
    <n v="3.2185999999999999"/>
    <x v="6"/>
    <x v="3"/>
    <x v="7"/>
    <n v="0.02"/>
  </r>
  <r>
    <s v="CA-2017-159366"/>
    <x v="138"/>
    <d v="2017-01-10T00:00:00"/>
    <x v="2"/>
    <s v="BW-11110"/>
    <s v="Bart Watters"/>
    <x v="1"/>
    <s v="United States"/>
    <x v="77"/>
    <x v="14"/>
    <x v="1"/>
    <s v="TEC-MA-10000822"/>
    <x v="0"/>
    <x v="2"/>
    <s v="Lexmark MX611dhe Monochrome Laser Printer"/>
    <n v="3059.982"/>
    <n v="2"/>
    <n v="679.99599999999998"/>
    <x v="6"/>
    <x v="3"/>
    <x v="2"/>
    <n v="0.22222222222222199"/>
  </r>
  <r>
    <s v="CA-2014-163419"/>
    <x v="139"/>
    <d v="2014-11-14T00:00:00"/>
    <x v="1"/>
    <s v="TZ-21580"/>
    <s v="Tracy Zic"/>
    <x v="0"/>
    <s v="United States"/>
    <x v="39"/>
    <x v="7"/>
    <x v="0"/>
    <s v="TEC-PH-10000560"/>
    <x v="0"/>
    <x v="0"/>
    <s v="Samsung Galaxy S III - 16GB - pebble blue (T-Mobile)"/>
    <n v="559.98400000000004"/>
    <n v="2"/>
    <n v="55.998399999999997"/>
    <x v="6"/>
    <x v="0"/>
    <x v="6"/>
    <n v="0.1"/>
  </r>
  <r>
    <s v="CA-2017-100314"/>
    <x v="140"/>
    <d v="2017-10-05T00:00:00"/>
    <x v="0"/>
    <s v="AS-10630"/>
    <s v="Ann Steele"/>
    <x v="2"/>
    <s v="United States"/>
    <x v="81"/>
    <x v="1"/>
    <x v="1"/>
    <s v="TEC-MA-10003066"/>
    <x v="0"/>
    <x v="2"/>
    <s v="Wasp CCD Handheld Bar Code Reader"/>
    <n v="336.51"/>
    <n v="3"/>
    <n v="44.868000000000002"/>
    <x v="3"/>
    <x v="3"/>
    <x v="4"/>
    <n v="0.133333333333333"/>
  </r>
  <r>
    <s v="CA-2014-117639"/>
    <x v="141"/>
    <d v="2014-05-25T00:00:00"/>
    <x v="0"/>
    <s v="MW-18235"/>
    <s v="Mitch Willingham"/>
    <x v="1"/>
    <s v="United States"/>
    <x v="82"/>
    <x v="23"/>
    <x v="3"/>
    <s v="TEC-PH-10001530"/>
    <x v="0"/>
    <x v="0"/>
    <s v="Plantronics Voyager Pro Legend"/>
    <n v="617.97"/>
    <n v="3"/>
    <n v="173.0316"/>
    <x v="1"/>
    <x v="0"/>
    <x v="11"/>
    <n v="0.28000000000000003"/>
  </r>
  <r>
    <s v="CA-2015-124891"/>
    <x v="142"/>
    <d v="2015-07-31T00:00:00"/>
    <x v="3"/>
    <s v="RH-19495"/>
    <s v="Rick Hansen"/>
    <x v="0"/>
    <s v="United States"/>
    <x v="7"/>
    <x v="5"/>
    <x v="2"/>
    <s v="TEC-AC-10003033"/>
    <x v="0"/>
    <x v="1"/>
    <s v="Plantronics CS510 - Over-the-Head monaural Wireless Headset System"/>
    <n v="2309.65"/>
    <n v="7"/>
    <n v="762.18449999999996"/>
    <x v="7"/>
    <x v="2"/>
    <x v="10"/>
    <n v="0.33"/>
  </r>
  <r>
    <s v="CA-2017-135034"/>
    <x v="143"/>
    <d v="2017-08-03T00:00:00"/>
    <x v="2"/>
    <s v="AT-10735"/>
    <s v="Annie Thurman"/>
    <x v="0"/>
    <s v="United States"/>
    <x v="11"/>
    <x v="2"/>
    <x v="1"/>
    <s v="TEC-PH-10003931"/>
    <x v="0"/>
    <x v="0"/>
    <s v="JBL Micro Wireless Portable Bluetooth Speaker"/>
    <n v="95.983999999999995"/>
    <n v="2"/>
    <n v="5.9989999999999997"/>
    <x v="2"/>
    <x v="3"/>
    <x v="1"/>
    <n v="6.25E-2"/>
  </r>
  <r>
    <s v="US-2015-126214"/>
    <x v="144"/>
    <d v="2015-12-24T00:00:00"/>
    <x v="1"/>
    <s v="JS-15880"/>
    <s v="John Stevenson"/>
    <x v="0"/>
    <s v="United States"/>
    <x v="45"/>
    <x v="17"/>
    <x v="0"/>
    <s v="TEC-AC-10003198"/>
    <x v="0"/>
    <x v="1"/>
    <s v="Enermax Acrylux Wireless Keyboard"/>
    <n v="99.6"/>
    <n v="1"/>
    <n v="36.851999999999997"/>
    <x v="6"/>
    <x v="2"/>
    <x v="3"/>
    <n v="0.37"/>
  </r>
  <r>
    <s v="CA-2015-108665"/>
    <x v="145"/>
    <d v="2015-07-10T00:00:00"/>
    <x v="0"/>
    <s v="KM-16225"/>
    <s v="Kalyca Meade"/>
    <x v="1"/>
    <s v="United States"/>
    <x v="7"/>
    <x v="5"/>
    <x v="2"/>
    <s v="TEC-PH-10004188"/>
    <x v="0"/>
    <x v="0"/>
    <s v="OtterBox Commuter Series Case - Samsung Galaxy S4"/>
    <n v="124.95"/>
    <n v="5"/>
    <n v="2.4990000000000001"/>
    <x v="1"/>
    <x v="2"/>
    <x v="10"/>
    <n v="0.02"/>
  </r>
  <r>
    <s v="CA-2015-124450"/>
    <x v="146"/>
    <d v="2015-05-03T00:00:00"/>
    <x v="0"/>
    <s v="GT-14710"/>
    <s v="Greg Tran"/>
    <x v="0"/>
    <s v="United States"/>
    <x v="83"/>
    <x v="30"/>
    <x v="2"/>
    <s v="TEC-MA-10004212"/>
    <x v="0"/>
    <x v="2"/>
    <s v="Cisco SPA525G2 5-Line IP Phone"/>
    <n v="1379.92"/>
    <n v="8"/>
    <n v="648.56240000000003"/>
    <x v="3"/>
    <x v="2"/>
    <x v="9"/>
    <n v="0.47"/>
  </r>
  <r>
    <s v="CA-2016-126529"/>
    <x v="147"/>
    <d v="2016-01-13T00:00:00"/>
    <x v="1"/>
    <s v="DE-13255"/>
    <s v="Deanra Eno"/>
    <x v="2"/>
    <s v="United States"/>
    <x v="84"/>
    <x v="9"/>
    <x v="2"/>
    <s v="TEC-PH-10000148"/>
    <x v="0"/>
    <x v="0"/>
    <s v="Cyber Acoustics AC-202b Speech Recognition Stereo Headset"/>
    <n v="15.587999999999999"/>
    <n v="2"/>
    <n v="-9.8724000000000007"/>
    <x v="2"/>
    <x v="1"/>
    <x v="2"/>
    <n v="-0.63333333333333397"/>
  </r>
  <r>
    <s v="CA-2014-163552"/>
    <x v="148"/>
    <d v="2014-07-15T00:00:00"/>
    <x v="0"/>
    <s v="LA-16780"/>
    <s v="Laura Armstrong"/>
    <x v="1"/>
    <s v="United States"/>
    <x v="85"/>
    <x v="26"/>
    <x v="2"/>
    <s v="TEC-PH-10003885"/>
    <x v="0"/>
    <x v="0"/>
    <s v="Cisco SPA508G"/>
    <n v="197.97"/>
    <n v="3"/>
    <n v="57.411299999999997"/>
    <x v="1"/>
    <x v="0"/>
    <x v="10"/>
    <n v="0.28999999999999998"/>
  </r>
  <r>
    <s v="CA-2016-102981"/>
    <x v="149"/>
    <d v="2016-09-09T00:00:00"/>
    <x v="1"/>
    <s v="MO-17500"/>
    <s v="Mary O'Rourke"/>
    <x v="0"/>
    <s v="United States"/>
    <x v="7"/>
    <x v="5"/>
    <x v="2"/>
    <s v="TEC-AC-10004761"/>
    <x v="0"/>
    <x v="1"/>
    <s v="Maxell 4.7GB DVD+RW 3/Pack"/>
    <n v="31.86"/>
    <n v="2"/>
    <n v="11.151"/>
    <x v="6"/>
    <x v="1"/>
    <x v="4"/>
    <n v="0.35"/>
  </r>
  <r>
    <s v="CA-2016-169103"/>
    <x v="150"/>
    <d v="2016-03-13T00:00:00"/>
    <x v="0"/>
    <s v="ZC-21910"/>
    <s v="Zuschuss Carroll"/>
    <x v="0"/>
    <s v="United States"/>
    <x v="56"/>
    <x v="15"/>
    <x v="3"/>
    <s v="TEC-PH-10001530"/>
    <x v="0"/>
    <x v="0"/>
    <s v="Cisco Unified IP Phone 7945G VoIP phone"/>
    <n v="1363.96"/>
    <n v="5"/>
    <n v="85.247500000000002"/>
    <x v="0"/>
    <x v="1"/>
    <x v="5"/>
    <n v="6.25E-2"/>
  </r>
  <r>
    <s v="CA-2014-139192"/>
    <x v="151"/>
    <d v="2014-06-01T00:00:00"/>
    <x v="1"/>
    <s v="LC-16885"/>
    <s v="Lena Creighton"/>
    <x v="0"/>
    <s v="United States"/>
    <x v="1"/>
    <x v="0"/>
    <x v="0"/>
    <s v="TEC-PH-10000486"/>
    <x v="0"/>
    <x v="0"/>
    <s v="Plantronics HL10 Handset Lifter"/>
    <n v="1113.5039999999999"/>
    <n v="12"/>
    <n v="125.2692"/>
    <x v="0"/>
    <x v="0"/>
    <x v="11"/>
    <n v="0.1125"/>
  </r>
  <r>
    <s v="CA-2014-139192"/>
    <x v="151"/>
    <d v="2014-06-01T00:00:00"/>
    <x v="1"/>
    <s v="LC-16885"/>
    <s v="Lena Creighton"/>
    <x v="0"/>
    <s v="United States"/>
    <x v="1"/>
    <x v="0"/>
    <x v="0"/>
    <s v="TEC-AC-10001606"/>
    <x v="0"/>
    <x v="1"/>
    <s v="Logitech Wireless Performance Mouse MX for PC and Mac"/>
    <n v="99.99"/>
    <n v="1"/>
    <n v="37.996200000000002"/>
    <x v="0"/>
    <x v="0"/>
    <x v="11"/>
    <n v="0.38"/>
  </r>
  <r>
    <s v="CA-2015-161263"/>
    <x v="152"/>
    <d v="2015-04-21T00:00:00"/>
    <x v="0"/>
    <s v="TS-21160"/>
    <s v="Theresa Swint"/>
    <x v="1"/>
    <s v="United States"/>
    <x v="86"/>
    <x v="9"/>
    <x v="2"/>
    <s v="TEC-PH-10002115"/>
    <x v="0"/>
    <x v="0"/>
    <s v="Plantronics 81402"/>
    <n v="118.782"/>
    <n v="3"/>
    <n v="-27.715800000000002"/>
    <x v="0"/>
    <x v="2"/>
    <x v="9"/>
    <n v="-0.233333333333333"/>
  </r>
  <r>
    <s v="CA-2016-134348"/>
    <x v="153"/>
    <d v="2016-11-19T00:00:00"/>
    <x v="0"/>
    <s v="MS-17710"/>
    <s v="Maurice Satty"/>
    <x v="0"/>
    <s v="United States"/>
    <x v="87"/>
    <x v="6"/>
    <x v="0"/>
    <s v="TEC-AC-10003447"/>
    <x v="0"/>
    <x v="1"/>
    <s v="Micropad Numeric Keypads"/>
    <n v="31.984000000000002"/>
    <n v="2"/>
    <n v="1.9990000000000001"/>
    <x v="5"/>
    <x v="1"/>
    <x v="6"/>
    <n v="6.25E-2"/>
  </r>
  <r>
    <s v="US-2016-143819"/>
    <x v="154"/>
    <d v="2016-03-05T00:00:00"/>
    <x v="0"/>
    <s v="KD-16270"/>
    <s v="Karen Daniels"/>
    <x v="0"/>
    <s v="United States"/>
    <x v="88"/>
    <x v="5"/>
    <x v="2"/>
    <s v="TEC-MA-10003979"/>
    <x v="0"/>
    <x v="2"/>
    <s v="Ativa V4110MDD Micro-Cut Shredder"/>
    <n v="4899.93"/>
    <n v="7"/>
    <n v="2400.9657000000002"/>
    <x v="1"/>
    <x v="1"/>
    <x v="5"/>
    <n v="0.49"/>
  </r>
  <r>
    <s v="CA-2016-166163"/>
    <x v="155"/>
    <d v="2016-08-20T00:00:00"/>
    <x v="1"/>
    <s v="CY-12745"/>
    <s v="Craig Yedwab"/>
    <x v="1"/>
    <s v="United States"/>
    <x v="89"/>
    <x v="0"/>
    <x v="0"/>
    <s v="TEC-PH-10004896"/>
    <x v="0"/>
    <x v="0"/>
    <s v="Nokia Lumia 521 (T-Mobile)"/>
    <n v="71.975999999999999"/>
    <n v="3"/>
    <n v="7.1976000000000004"/>
    <x v="0"/>
    <x v="1"/>
    <x v="1"/>
    <n v="0.1"/>
  </r>
  <r>
    <s v="CA-2017-158407"/>
    <x v="156"/>
    <d v="2017-06-10T00:00:00"/>
    <x v="0"/>
    <s v="LW-16990"/>
    <s v="Lindsay Williams"/>
    <x v="1"/>
    <s v="United States"/>
    <x v="23"/>
    <x v="8"/>
    <x v="3"/>
    <s v="TEC-PH-10001819"/>
    <x v="0"/>
    <x v="0"/>
    <s v="Innergie mMini Combo Duo USB Travel Charging Kit"/>
    <n v="71.983999999999995"/>
    <n v="2"/>
    <n v="25.194400000000002"/>
    <x v="3"/>
    <x v="3"/>
    <x v="0"/>
    <n v="0.35"/>
  </r>
  <r>
    <s v="CA-2015-143490"/>
    <x v="157"/>
    <d v="2015-12-13T00:00:00"/>
    <x v="0"/>
    <s v="NP-18325"/>
    <s v="Naresj Patel"/>
    <x v="0"/>
    <s v="United States"/>
    <x v="30"/>
    <x v="0"/>
    <x v="0"/>
    <s v="TEC-PH-10000576"/>
    <x v="0"/>
    <x v="0"/>
    <s v="AT&amp;T 1080 Corded phone"/>
    <n v="219.184"/>
    <n v="2"/>
    <n v="19.178599999999999"/>
    <x v="5"/>
    <x v="2"/>
    <x v="3"/>
    <n v="8.7499999999999994E-2"/>
  </r>
  <r>
    <s v="CA-2016-107216"/>
    <x v="158"/>
    <d v="2016-06-17T00:00:00"/>
    <x v="2"/>
    <s v="PV-18985"/>
    <s v="Paul Van Hugh"/>
    <x v="2"/>
    <s v="United States"/>
    <x v="1"/>
    <x v="0"/>
    <x v="0"/>
    <s v="TEC-AC-10001013"/>
    <x v="0"/>
    <x v="1"/>
    <s v="Logitech ClearChat Comfort/USB Headset H390"/>
    <n v="29.29"/>
    <n v="1"/>
    <n v="9.6656999999999993"/>
    <x v="6"/>
    <x v="1"/>
    <x v="0"/>
    <n v="0.33"/>
  </r>
  <r>
    <s v="US-2016-110156"/>
    <x v="159"/>
    <d v="2016-11-24T00:00:00"/>
    <x v="0"/>
    <s v="EH-13945"/>
    <s v="Eric Hoffmann"/>
    <x v="0"/>
    <s v="United States"/>
    <x v="3"/>
    <x v="1"/>
    <x v="1"/>
    <s v="TEC-PH-10003589"/>
    <x v="0"/>
    <x v="0"/>
    <s v="invisibleSHIELD by ZAGG Smudge-Free Screen Protector"/>
    <n v="71.959999999999994"/>
    <n v="5"/>
    <n v="25.186"/>
    <x v="0"/>
    <x v="1"/>
    <x v="6"/>
    <n v="0.35"/>
  </r>
  <r>
    <s v="CA-2017-140585"/>
    <x v="160"/>
    <d v="2017-12-23T00:00:00"/>
    <x v="1"/>
    <s v="RA-19915"/>
    <s v="Russell Applegate"/>
    <x v="0"/>
    <s v="United States"/>
    <x v="90"/>
    <x v="0"/>
    <x v="0"/>
    <s v="TEC-AC-10003610"/>
    <x v="0"/>
    <x v="1"/>
    <s v="Logitech Illuminated - Keyboard"/>
    <n v="119.98"/>
    <n v="2"/>
    <n v="57.590400000000002"/>
    <x v="0"/>
    <x v="3"/>
    <x v="3"/>
    <n v="0.48"/>
  </r>
  <r>
    <s v="CA-2015-142755"/>
    <x v="161"/>
    <d v="2015-09-08T00:00:00"/>
    <x v="0"/>
    <s v="CS-12355"/>
    <s v="Christine Sundaresam"/>
    <x v="0"/>
    <s v="United States"/>
    <x v="91"/>
    <x v="31"/>
    <x v="3"/>
    <s v="TEC-AC-10002049"/>
    <x v="0"/>
    <x v="1"/>
    <s v="Logitech G19 Programmable Gaming Keyboard"/>
    <n v="619.95000000000005"/>
    <n v="5"/>
    <n v="111.59099999999999"/>
    <x v="1"/>
    <x v="2"/>
    <x v="4"/>
    <n v="0.18"/>
  </r>
  <r>
    <s v="US-2014-147627"/>
    <x v="162"/>
    <d v="2014-01-26T00:00:00"/>
    <x v="0"/>
    <s v="HL-15040"/>
    <s v="Hunter Lopez"/>
    <x v="0"/>
    <s v="United States"/>
    <x v="92"/>
    <x v="32"/>
    <x v="3"/>
    <s v="TEC-PH-10001061"/>
    <x v="0"/>
    <x v="0"/>
    <s v="Apple iPhone 5C"/>
    <n v="699.93"/>
    <n v="7"/>
    <n v="181.98179999999999"/>
    <x v="3"/>
    <x v="0"/>
    <x v="2"/>
    <n v="0.26"/>
  </r>
  <r>
    <s v="CA-2014-146969"/>
    <x v="163"/>
    <d v="2014-10-03T00:00:00"/>
    <x v="0"/>
    <s v="AP-10915"/>
    <s v="Arthur Prichep"/>
    <x v="0"/>
    <s v="United States"/>
    <x v="0"/>
    <x v="0"/>
    <x v="0"/>
    <s v="TEC-MA-10004241"/>
    <x v="0"/>
    <x v="2"/>
    <s v="Star Micronics TSP800 TSP847IIU Receipt Printer"/>
    <n v="686.32"/>
    <n v="2"/>
    <n v="223.054"/>
    <x v="1"/>
    <x v="0"/>
    <x v="4"/>
    <n v="0.32500000000000001"/>
  </r>
  <r>
    <s v="CA-2015-112452"/>
    <x v="164"/>
    <d v="2015-04-04T00:00:00"/>
    <x v="3"/>
    <s v="NC-18340"/>
    <s v="Nat Carroll"/>
    <x v="0"/>
    <s v="United States"/>
    <x v="93"/>
    <x v="14"/>
    <x v="1"/>
    <s v="TEC-PH-10000307"/>
    <x v="0"/>
    <x v="0"/>
    <s v="Shocksock Galaxy S4 Armband"/>
    <n v="10.95"/>
    <n v="1"/>
    <n v="0.438"/>
    <x v="7"/>
    <x v="2"/>
    <x v="9"/>
    <n v="0.04"/>
  </r>
  <r>
    <s v="CA-2015-112452"/>
    <x v="164"/>
    <d v="2015-04-04T00:00:00"/>
    <x v="3"/>
    <s v="NC-18340"/>
    <s v="Nat Carroll"/>
    <x v="0"/>
    <s v="United States"/>
    <x v="93"/>
    <x v="14"/>
    <x v="1"/>
    <s v="TEC-CO-10004202"/>
    <x v="0"/>
    <x v="3"/>
    <s v="Brother DCP1000 Digital 3 in 1 Multifunction Machine"/>
    <n v="599.98"/>
    <n v="2"/>
    <n v="209.99299999999999"/>
    <x v="7"/>
    <x v="2"/>
    <x v="9"/>
    <n v="0.35"/>
  </r>
  <r>
    <s v="CA-2014-127964"/>
    <x v="165"/>
    <d v="2014-03-08T00:00:00"/>
    <x v="0"/>
    <s v="AP-10720"/>
    <s v="Anne Pryor"/>
    <x v="2"/>
    <s v="United States"/>
    <x v="7"/>
    <x v="5"/>
    <x v="2"/>
    <s v="TEC-PH-10004700"/>
    <x v="0"/>
    <x v="0"/>
    <s v="PowerGen Dual USB Car Charger"/>
    <n v="9.99"/>
    <n v="1"/>
    <n v="4.5953999999999997"/>
    <x v="0"/>
    <x v="0"/>
    <x v="5"/>
    <n v="0.46"/>
  </r>
  <r>
    <s v="CA-2015-125416"/>
    <x v="166"/>
    <d v="2015-11-02T00:00:00"/>
    <x v="3"/>
    <s v="KC-16540"/>
    <s v="Kelly Collister"/>
    <x v="0"/>
    <s v="United States"/>
    <x v="45"/>
    <x v="17"/>
    <x v="0"/>
    <s v="TEC-AC-10001552"/>
    <x v="0"/>
    <x v="1"/>
    <s v="Logitech K350 2.4Ghz Wireless Keyboard"/>
    <n v="447.93"/>
    <n v="9"/>
    <n v="49.272300000000001"/>
    <x v="7"/>
    <x v="2"/>
    <x v="6"/>
    <n v="0.11"/>
  </r>
  <r>
    <s v="CA-2016-113621"/>
    <x v="167"/>
    <d v="2016-12-05T00:00:00"/>
    <x v="0"/>
    <s v="JE-15745"/>
    <s v="Joel Eaton"/>
    <x v="0"/>
    <s v="United States"/>
    <x v="94"/>
    <x v="33"/>
    <x v="2"/>
    <s v="TEC-PH-10003931"/>
    <x v="0"/>
    <x v="0"/>
    <s v="JBL Micro Wireless Portable Bluetooth Speaker"/>
    <n v="179.97"/>
    <n v="3"/>
    <n v="44.9925"/>
    <x v="1"/>
    <x v="1"/>
    <x v="3"/>
    <n v="0.25"/>
  </r>
  <r>
    <s v="CA-2016-168081"/>
    <x v="168"/>
    <d v="2016-04-27T00:00:00"/>
    <x v="1"/>
    <s v="CA-12055"/>
    <s v="Cathy Armstrong"/>
    <x v="2"/>
    <s v="United States"/>
    <x v="3"/>
    <x v="1"/>
    <x v="1"/>
    <s v="TEC-AC-10003174"/>
    <x v="0"/>
    <x v="1"/>
    <s v="Plantronics S12 Corded Telephone Headset System"/>
    <n v="258.69600000000003"/>
    <n v="3"/>
    <n v="64.674000000000007"/>
    <x v="6"/>
    <x v="1"/>
    <x v="9"/>
    <n v="0.25"/>
  </r>
  <r>
    <s v="CA-2014-128146"/>
    <x v="99"/>
    <d v="2014-06-25T00:00:00"/>
    <x v="0"/>
    <s v="DB-13060"/>
    <s v="Dave Brooks"/>
    <x v="0"/>
    <s v="United States"/>
    <x v="95"/>
    <x v="26"/>
    <x v="2"/>
    <s v="TEC-PH-10004539"/>
    <x v="0"/>
    <x v="0"/>
    <s v="Wireless Extenders zBoost YX545 SOHO Signal Booster"/>
    <n v="1322.93"/>
    <n v="7"/>
    <n v="357.19110000000001"/>
    <x v="1"/>
    <x v="0"/>
    <x v="0"/>
    <n v="0.27"/>
  </r>
  <r>
    <s v="CA-2017-138779"/>
    <x v="169"/>
    <d v="2017-01-15T00:00:00"/>
    <x v="2"/>
    <s v="RB-19570"/>
    <s v="Rob Beeghly"/>
    <x v="0"/>
    <s v="United States"/>
    <x v="42"/>
    <x v="8"/>
    <x v="3"/>
    <s v="TEC-PH-10003655"/>
    <x v="0"/>
    <x v="0"/>
    <s v="Sannysis Cute Owl Design Soft Skin Case Cover for Samsung Galaxy S4"/>
    <n v="7.92"/>
    <n v="5"/>
    <n v="0.69299999999999995"/>
    <x v="4"/>
    <x v="3"/>
    <x v="2"/>
    <n v="8.7499999999999994E-2"/>
  </r>
  <r>
    <s v="CA-2017-117212"/>
    <x v="170"/>
    <d v="2017-02-28T00:00:00"/>
    <x v="1"/>
    <s v="BT-11530"/>
    <s v="Bradley Talbott"/>
    <x v="2"/>
    <s v="United States"/>
    <x v="0"/>
    <x v="0"/>
    <x v="0"/>
    <s v="TEC-PH-10004447"/>
    <x v="0"/>
    <x v="0"/>
    <s v="Toshiba IPT2010-SD IP Telephone"/>
    <n v="889.53599999999994"/>
    <n v="8"/>
    <n v="66.715199999999996"/>
    <x v="2"/>
    <x v="3"/>
    <x v="8"/>
    <n v="7.4999999999999997E-2"/>
  </r>
  <r>
    <s v="CA-2016-130946"/>
    <x v="171"/>
    <d v="2016-04-12T00:00:00"/>
    <x v="0"/>
    <s v="ZC-21910"/>
    <s v="Zuschuss Carroll"/>
    <x v="0"/>
    <s v="United States"/>
    <x v="3"/>
    <x v="1"/>
    <x v="1"/>
    <s v="TEC-AC-10001990"/>
    <x v="0"/>
    <x v="1"/>
    <s v="Kensington Orbit Wireless Mobile Trackball for PC and Mac"/>
    <n v="431.928"/>
    <n v="9"/>
    <n v="64.789199999999994"/>
    <x v="1"/>
    <x v="1"/>
    <x v="9"/>
    <n v="0.15"/>
  </r>
  <r>
    <s v="CA-2017-133235"/>
    <x v="143"/>
    <d v="2017-08-04T00:00:00"/>
    <x v="2"/>
    <s v="LH-16750"/>
    <s v="Larry Hughes"/>
    <x v="0"/>
    <s v="United States"/>
    <x v="13"/>
    <x v="8"/>
    <x v="3"/>
    <s v="TEC-PH-10002660"/>
    <x v="0"/>
    <x v="0"/>
    <s v="Nortel Networks T7316 E Nt8 B27"/>
    <n v="271.95999999999998"/>
    <n v="5"/>
    <n v="16.997499999999999"/>
    <x v="6"/>
    <x v="3"/>
    <x v="1"/>
    <n v="6.25E-2"/>
  </r>
  <r>
    <s v="US-2017-118087"/>
    <x v="172"/>
    <d v="2017-09-13T00:00:00"/>
    <x v="0"/>
    <s v="SP-20620"/>
    <s v="Stefania Perrino"/>
    <x v="1"/>
    <s v="United States"/>
    <x v="20"/>
    <x v="12"/>
    <x v="2"/>
    <s v="TEC-AC-10004469"/>
    <x v="0"/>
    <x v="1"/>
    <s v="Microsoft Sculpt Comfort Mouse"/>
    <n v="95.88"/>
    <n v="3"/>
    <n v="28.763999999999999"/>
    <x v="1"/>
    <x v="3"/>
    <x v="4"/>
    <n v="0.3"/>
  </r>
  <r>
    <s v="US-2017-118087"/>
    <x v="172"/>
    <d v="2017-09-13T00:00:00"/>
    <x v="0"/>
    <s v="SP-20620"/>
    <s v="Stefania Perrino"/>
    <x v="1"/>
    <s v="United States"/>
    <x v="20"/>
    <x v="12"/>
    <x v="2"/>
    <s v="TEC-AC-10003174"/>
    <x v="0"/>
    <x v="1"/>
    <s v="Plantronics S12 Corded Telephone Headset System"/>
    <n v="258.69600000000003"/>
    <n v="3"/>
    <n v="64.674000000000007"/>
    <x v="1"/>
    <x v="3"/>
    <x v="4"/>
    <n v="0.25"/>
  </r>
  <r>
    <s v="US-2017-118087"/>
    <x v="172"/>
    <d v="2017-09-13T00:00:00"/>
    <x v="0"/>
    <s v="SP-20620"/>
    <s v="Stefania Perrino"/>
    <x v="1"/>
    <s v="United States"/>
    <x v="20"/>
    <x v="12"/>
    <x v="2"/>
    <s v="TEC-PH-10002200"/>
    <x v="0"/>
    <x v="0"/>
    <s v="Samsung Galaxy Note 2"/>
    <n v="1931.9580000000001"/>
    <n v="7"/>
    <n v="-386.39159999999998"/>
    <x v="1"/>
    <x v="3"/>
    <x v="4"/>
    <n v="-0.2"/>
  </r>
  <r>
    <s v="CA-2014-110184"/>
    <x v="173"/>
    <d v="2014-07-16T00:00:00"/>
    <x v="0"/>
    <s v="BF-11170"/>
    <s v="Ben Ferrer"/>
    <x v="2"/>
    <s v="United States"/>
    <x v="0"/>
    <x v="0"/>
    <x v="0"/>
    <s v="TEC-PH-10000439"/>
    <x v="0"/>
    <x v="0"/>
    <s v="GE DSL Phone Line Filter"/>
    <n v="255.93600000000001"/>
    <n v="8"/>
    <n v="28.7928"/>
    <x v="1"/>
    <x v="0"/>
    <x v="10"/>
    <n v="0.1125"/>
  </r>
  <r>
    <s v="CA-2016-126004"/>
    <x v="174"/>
    <d v="2016-12-05T00:00:00"/>
    <x v="2"/>
    <s v="BM-11140"/>
    <s v="Becky Martin"/>
    <x v="0"/>
    <s v="United States"/>
    <x v="7"/>
    <x v="5"/>
    <x v="2"/>
    <s v="TEC-AC-10001432"/>
    <x v="0"/>
    <x v="1"/>
    <s v="Enermax Aurora Lite Keyboard"/>
    <n v="78.150000000000006"/>
    <n v="1"/>
    <n v="34.386000000000003"/>
    <x v="4"/>
    <x v="1"/>
    <x v="3"/>
    <n v="0.44"/>
  </r>
  <r>
    <s v="CA-2016-153682"/>
    <x v="175"/>
    <d v="2016-06-01T00:00:00"/>
    <x v="2"/>
    <s v="BG-11695"/>
    <s v="Brooke Gillingham"/>
    <x v="1"/>
    <s v="United States"/>
    <x v="96"/>
    <x v="9"/>
    <x v="2"/>
    <s v="TEC-CO-10001046"/>
    <x v="0"/>
    <x v="3"/>
    <s v="Canon Imageclass D680 Copier / Fax"/>
    <n v="839.98800000000006"/>
    <n v="2"/>
    <n v="69.998999999999995"/>
    <x v="2"/>
    <x v="1"/>
    <x v="11"/>
    <n v="8.3333333333333301E-2"/>
  </r>
  <r>
    <s v="CA-2016-128727"/>
    <x v="14"/>
    <d v="2016-09-04T00:00:00"/>
    <x v="0"/>
    <s v="MO-17800"/>
    <s v="Meg O'Connel"/>
    <x v="2"/>
    <s v="United States"/>
    <x v="7"/>
    <x v="5"/>
    <x v="2"/>
    <s v="TEC-PH-10003442"/>
    <x v="0"/>
    <x v="0"/>
    <s v="Samsung Replacement EH64AVFWE Premium Headset"/>
    <n v="22"/>
    <n v="4"/>
    <n v="5.5"/>
    <x v="3"/>
    <x v="1"/>
    <x v="1"/>
    <n v="0.25"/>
  </r>
  <r>
    <s v="CA-2015-154956"/>
    <x v="176"/>
    <d v="2015-07-09T00:00:00"/>
    <x v="0"/>
    <s v="IM-15070"/>
    <s v="Irene Maddox"/>
    <x v="0"/>
    <s v="United States"/>
    <x v="78"/>
    <x v="10"/>
    <x v="1"/>
    <s v="TEC-PH-10004165"/>
    <x v="0"/>
    <x v="0"/>
    <s v="Mitel MiVoice 5330e IP Phone"/>
    <n v="1099.96"/>
    <n v="4"/>
    <n v="285.9896"/>
    <x v="0"/>
    <x v="2"/>
    <x v="10"/>
    <n v="0.26"/>
  </r>
  <r>
    <s v="CA-2017-144638"/>
    <x v="177"/>
    <d v="2017-03-14T00:00:00"/>
    <x v="0"/>
    <s v="MH-18115"/>
    <s v="Mick Hernandez"/>
    <x v="2"/>
    <s v="United States"/>
    <x v="97"/>
    <x v="12"/>
    <x v="2"/>
    <s v="TEC-PH-10000149"/>
    <x v="0"/>
    <x v="0"/>
    <s v="Cisco SPA525G2 IP Phone - Wireless"/>
    <n v="35.909999999999997"/>
    <n v="3"/>
    <n v="-8.3789999999999996"/>
    <x v="1"/>
    <x v="3"/>
    <x v="5"/>
    <n v="-0.233333333333333"/>
  </r>
  <r>
    <s v="US-2016-168620"/>
    <x v="178"/>
    <d v="2016-12-28T00:00:00"/>
    <x v="1"/>
    <s v="RB-19795"/>
    <s v="Ross Baird"/>
    <x v="2"/>
    <s v="United States"/>
    <x v="13"/>
    <x v="8"/>
    <x v="3"/>
    <s v="TEC-AC-10004469"/>
    <x v="0"/>
    <x v="1"/>
    <s v="Microsoft Sculpt Comfort Mouse"/>
    <n v="255.68"/>
    <n v="8"/>
    <n v="76.703999999999994"/>
    <x v="1"/>
    <x v="1"/>
    <x v="3"/>
    <n v="0.3"/>
  </r>
  <r>
    <s v="CA-2017-117079"/>
    <x v="179"/>
    <d v="2017-10-27T00:00:00"/>
    <x v="0"/>
    <s v="JR-15700"/>
    <s v="Jocasta Rupert"/>
    <x v="0"/>
    <s v="United States"/>
    <x v="42"/>
    <x v="15"/>
    <x v="3"/>
    <s v="TEC-PH-10004586"/>
    <x v="0"/>
    <x v="0"/>
    <s v="Wilson SignalBoost 841262 DB PRO Amplifier Kit"/>
    <n v="863.88"/>
    <n v="3"/>
    <n v="107.985"/>
    <x v="1"/>
    <x v="3"/>
    <x v="7"/>
    <n v="0.125"/>
  </r>
  <r>
    <s v="CA-2016-155992"/>
    <x v="180"/>
    <d v="2016-10-02T00:00:00"/>
    <x v="2"/>
    <s v="CC-12220"/>
    <s v="Chris Cortes"/>
    <x v="0"/>
    <s v="United States"/>
    <x v="98"/>
    <x v="21"/>
    <x v="1"/>
    <s v="TEC-PH-10000215"/>
    <x v="0"/>
    <x v="0"/>
    <s v="Plantronics Cordless Phone Headset with In-line Volume - M214C"/>
    <n v="69.900000000000006"/>
    <n v="2"/>
    <n v="18.873000000000001"/>
    <x v="4"/>
    <x v="1"/>
    <x v="7"/>
    <n v="0.27"/>
  </r>
  <r>
    <s v="CA-2016-119186"/>
    <x v="181"/>
    <d v="2016-05-26T00:00:00"/>
    <x v="3"/>
    <s v="MS-17710"/>
    <s v="Maurice Satty"/>
    <x v="0"/>
    <s v="United States"/>
    <x v="51"/>
    <x v="1"/>
    <x v="1"/>
    <s v="TEC-AC-10000580"/>
    <x v="0"/>
    <x v="1"/>
    <s v="Logitech G13 Programmable Gameboard with LCD Display"/>
    <n v="63.991999999999997"/>
    <n v="1"/>
    <n v="-7.1990999999999996"/>
    <x v="7"/>
    <x v="1"/>
    <x v="11"/>
    <n v="-0.1125"/>
  </r>
  <r>
    <s v="CA-2014-163293"/>
    <x v="24"/>
    <d v="2014-09-11T00:00:00"/>
    <x v="2"/>
    <s v="KC-16255"/>
    <s v="Karen Carlisle"/>
    <x v="1"/>
    <s v="United States"/>
    <x v="99"/>
    <x v="31"/>
    <x v="3"/>
    <s v="TEC-AC-10004209"/>
    <x v="0"/>
    <x v="1"/>
    <s v="Memorex Froggy Flash Drive 4 GB"/>
    <n v="32.97"/>
    <n v="3"/>
    <n v="12.8583"/>
    <x v="6"/>
    <x v="0"/>
    <x v="4"/>
    <n v="0.39"/>
  </r>
  <r>
    <s v="CA-2014-163293"/>
    <x v="24"/>
    <d v="2014-09-11T00:00:00"/>
    <x v="2"/>
    <s v="KC-16255"/>
    <s v="Karen Carlisle"/>
    <x v="1"/>
    <s v="United States"/>
    <x v="99"/>
    <x v="31"/>
    <x v="3"/>
    <s v="TEC-AC-10000023"/>
    <x v="0"/>
    <x v="1"/>
    <s v="Maxell 74 Minute CD-R Spindle, 50/Pack"/>
    <n v="83.88"/>
    <n v="4"/>
    <n v="30.1968"/>
    <x v="6"/>
    <x v="0"/>
    <x v="4"/>
    <n v="0.36"/>
  </r>
  <r>
    <s v="CA-2016-160815"/>
    <x v="182"/>
    <d v="2016-09-06T00:00:00"/>
    <x v="2"/>
    <s v="TR-21325"/>
    <s v="Toby Ritter"/>
    <x v="0"/>
    <s v="United States"/>
    <x v="100"/>
    <x v="24"/>
    <x v="1"/>
    <s v="TEC-PH-10003505"/>
    <x v="0"/>
    <x v="0"/>
    <s v="Geemarc AmpliPOWER60"/>
    <n v="278.39999999999998"/>
    <n v="3"/>
    <n v="80.736000000000004"/>
    <x v="4"/>
    <x v="1"/>
    <x v="4"/>
    <n v="0.28999999999999998"/>
  </r>
  <r>
    <s v="CA-2016-134425"/>
    <x v="3"/>
    <d v="2016-12-12T00:00:00"/>
    <x v="1"/>
    <s v="QJ-19255"/>
    <s v="Quincy Jones"/>
    <x v="1"/>
    <s v="United States"/>
    <x v="101"/>
    <x v="3"/>
    <x v="1"/>
    <s v="TEC-PH-10003555"/>
    <x v="0"/>
    <x v="0"/>
    <s v="Motorola HK250 Universal Bluetooth Headset"/>
    <n v="114.95"/>
    <n v="5"/>
    <n v="2.2989999999999999"/>
    <x v="1"/>
    <x v="1"/>
    <x v="3"/>
    <n v="0.02"/>
  </r>
  <r>
    <s v="US-2017-126179"/>
    <x v="183"/>
    <d v="2017-07-07T00:00:00"/>
    <x v="0"/>
    <s v="CS-12460"/>
    <s v="Chuck Sachs"/>
    <x v="0"/>
    <s v="United States"/>
    <x v="16"/>
    <x v="31"/>
    <x v="3"/>
    <s v="TEC-PH-10001557"/>
    <x v="0"/>
    <x v="0"/>
    <s v="Pyle PMP37LED"/>
    <n v="287.97000000000003"/>
    <n v="3"/>
    <n v="77.751900000000006"/>
    <x v="1"/>
    <x v="3"/>
    <x v="10"/>
    <n v="0.27"/>
  </r>
  <r>
    <s v="CA-2016-101966"/>
    <x v="80"/>
    <d v="2016-07-16T00:00:00"/>
    <x v="1"/>
    <s v="BM-11785"/>
    <s v="Bryan Mills"/>
    <x v="0"/>
    <s v="United States"/>
    <x v="3"/>
    <x v="1"/>
    <x v="1"/>
    <s v="TEC-PH-10003437"/>
    <x v="0"/>
    <x v="0"/>
    <s v="Blue Parrot B250XT Professional Grade Wireless Bluetooth Headset with"/>
    <n v="419.94400000000002"/>
    <n v="7"/>
    <n v="52.493000000000002"/>
    <x v="2"/>
    <x v="1"/>
    <x v="10"/>
    <n v="0.125"/>
  </r>
  <r>
    <s v="CA-2017-157651"/>
    <x v="184"/>
    <d v="2017-12-14T00:00:00"/>
    <x v="0"/>
    <s v="HA-14920"/>
    <s v="Helen Andreada"/>
    <x v="0"/>
    <s v="United States"/>
    <x v="20"/>
    <x v="12"/>
    <x v="2"/>
    <s v="TEC-AC-10003116"/>
    <x v="0"/>
    <x v="1"/>
    <s v="Memorex Froggy Flash Drive 8 GB"/>
    <n v="14.2"/>
    <n v="1"/>
    <n v="3.3725000000000001"/>
    <x v="1"/>
    <x v="3"/>
    <x v="3"/>
    <n v="0.23749999999999999"/>
  </r>
  <r>
    <s v="CA-2014-160773"/>
    <x v="185"/>
    <d v="2014-07-05T00:00:00"/>
    <x v="0"/>
    <s v="LW-16825"/>
    <s v="Laurel Workman"/>
    <x v="1"/>
    <s v="United States"/>
    <x v="102"/>
    <x v="15"/>
    <x v="3"/>
    <s v="TEC-PH-10004586"/>
    <x v="0"/>
    <x v="0"/>
    <s v="Wilson SignalBoost 841262 DB PRO Amplifier Kit"/>
    <n v="575.91999999999996"/>
    <n v="2"/>
    <n v="71.989999999999995"/>
    <x v="1"/>
    <x v="0"/>
    <x v="10"/>
    <n v="0.125"/>
  </r>
  <r>
    <s v="CA-2017-127705"/>
    <x v="186"/>
    <d v="2017-06-06T00:00:00"/>
    <x v="0"/>
    <s v="AB-10255"/>
    <s v="Alejandro Ballentine"/>
    <x v="2"/>
    <s v="United States"/>
    <x v="103"/>
    <x v="9"/>
    <x v="2"/>
    <s v="TEC-PH-10000347"/>
    <x v="0"/>
    <x v="0"/>
    <s v="Cush Cases Heavy Duty Rugged Cover Case for Samsung Galaxy S5 - Purple"/>
    <n v="2.97"/>
    <n v="1"/>
    <n v="-0.64349999999999996"/>
    <x v="1"/>
    <x v="3"/>
    <x v="0"/>
    <n v="-0.21666666666666701"/>
  </r>
  <r>
    <s v="CA-2017-100524"/>
    <x v="187"/>
    <d v="2017-04-02T00:00:00"/>
    <x v="1"/>
    <s v="CM-12115"/>
    <s v="Chad McGuire"/>
    <x v="0"/>
    <s v="United States"/>
    <x v="7"/>
    <x v="5"/>
    <x v="2"/>
    <s v="TEC-PH-10002549"/>
    <x v="0"/>
    <x v="0"/>
    <s v="Polycom SoundPoint IP 450 VoIP phone"/>
    <n v="677.58"/>
    <n v="3"/>
    <n v="176.17080000000001"/>
    <x v="2"/>
    <x v="3"/>
    <x v="5"/>
    <n v="0.26"/>
  </r>
  <r>
    <s v="CA-2017-113481"/>
    <x v="188"/>
    <d v="2017-01-04T00:00:00"/>
    <x v="2"/>
    <s v="AS-10045"/>
    <s v="Aaron Smayling"/>
    <x v="1"/>
    <s v="United States"/>
    <x v="42"/>
    <x v="8"/>
    <x v="3"/>
    <s v="TEC-MA-10002178"/>
    <x v="0"/>
    <x v="2"/>
    <s v="Cisco CP-7937G Unified IP Conference Station Phone"/>
    <n v="695.7"/>
    <n v="2"/>
    <n v="-27.827999999999999"/>
    <x v="2"/>
    <x v="3"/>
    <x v="2"/>
    <n v="-0.04"/>
  </r>
  <r>
    <s v="CA-2017-162978"/>
    <x v="189"/>
    <d v="2017-05-09T00:00:00"/>
    <x v="0"/>
    <s v="LW-16990"/>
    <s v="Lindsay Williams"/>
    <x v="1"/>
    <s v="United States"/>
    <x v="1"/>
    <x v="0"/>
    <x v="0"/>
    <s v="TEC-PH-10003092"/>
    <x v="0"/>
    <x v="0"/>
    <s v="Motorola L804"/>
    <n v="183.96"/>
    <n v="5"/>
    <n v="20.695499999999999"/>
    <x v="0"/>
    <x v="3"/>
    <x v="11"/>
    <n v="0.1125"/>
  </r>
  <r>
    <s v="CA-2017-125199"/>
    <x v="190"/>
    <d v="2017-10-25T00:00:00"/>
    <x v="0"/>
    <s v="HM-14860"/>
    <s v="Harry Marie"/>
    <x v="1"/>
    <s v="United States"/>
    <x v="20"/>
    <x v="12"/>
    <x v="2"/>
    <s v="TEC-PH-10001336"/>
    <x v="0"/>
    <x v="0"/>
    <s v="Digium D40 VoIP phone"/>
    <n v="309.57600000000002"/>
    <n v="4"/>
    <n v="-56.755600000000001"/>
    <x v="3"/>
    <x v="3"/>
    <x v="7"/>
    <n v="-0.18333333333333299"/>
  </r>
  <r>
    <s v="US-2017-155425"/>
    <x v="191"/>
    <d v="2017-11-11T00:00:00"/>
    <x v="2"/>
    <s v="AB-10600"/>
    <s v="Ann Blume"/>
    <x v="1"/>
    <s v="United States"/>
    <x v="35"/>
    <x v="6"/>
    <x v="0"/>
    <s v="TEC-MA-10003183"/>
    <x v="0"/>
    <x v="2"/>
    <s v="DYMO CardScan Personal V9 Business Card Scanner"/>
    <n v="95.994"/>
    <n v="2"/>
    <n v="-63.996000000000002"/>
    <x v="4"/>
    <x v="3"/>
    <x v="6"/>
    <n v="-0.66666666666666696"/>
  </r>
  <r>
    <s v="US-2017-155425"/>
    <x v="191"/>
    <d v="2017-11-11T00:00:00"/>
    <x v="2"/>
    <s v="AB-10600"/>
    <s v="Ann Blume"/>
    <x v="1"/>
    <s v="United States"/>
    <x v="35"/>
    <x v="6"/>
    <x v="0"/>
    <s v="TEC-AC-10001314"/>
    <x v="0"/>
    <x v="1"/>
    <s v="Case Logic 2.4GHz Wireless Keyboard"/>
    <n v="239.952"/>
    <n v="6"/>
    <n v="-35.992800000000003"/>
    <x v="4"/>
    <x v="3"/>
    <x v="6"/>
    <n v="-0.15"/>
  </r>
  <r>
    <s v="US-2017-155425"/>
    <x v="191"/>
    <d v="2017-11-11T00:00:00"/>
    <x v="2"/>
    <s v="AB-10600"/>
    <s v="Ann Blume"/>
    <x v="1"/>
    <s v="United States"/>
    <x v="35"/>
    <x v="6"/>
    <x v="0"/>
    <s v="TEC-PH-10002563"/>
    <x v="0"/>
    <x v="0"/>
    <s v="Adtran 1202752G1"/>
    <n v="201.584"/>
    <n v="2"/>
    <n v="15.1188"/>
    <x v="4"/>
    <x v="3"/>
    <x v="6"/>
    <n v="7.4999999999999997E-2"/>
  </r>
  <r>
    <s v="CA-2017-136672"/>
    <x v="192"/>
    <d v="2017-03-12T00:00:00"/>
    <x v="0"/>
    <s v="MG-17890"/>
    <s v="Michael Granlund"/>
    <x v="2"/>
    <s v="United States"/>
    <x v="104"/>
    <x v="33"/>
    <x v="2"/>
    <s v="TEC-AC-10004510"/>
    <x v="0"/>
    <x v="1"/>
    <s v="Logitech Desktop MK120 Mouse and keyboard Combo"/>
    <n v="49.08"/>
    <n v="3"/>
    <n v="4.9080000000000004"/>
    <x v="0"/>
    <x v="3"/>
    <x v="5"/>
    <n v="0.1"/>
  </r>
  <r>
    <s v="CA-2014-126361"/>
    <x v="193"/>
    <d v="2014-08-09T00:00:00"/>
    <x v="1"/>
    <s v="VD-21670"/>
    <s v="Valerie Dominguez"/>
    <x v="0"/>
    <s v="United States"/>
    <x v="105"/>
    <x v="34"/>
    <x v="0"/>
    <s v="TEC-PH-10002310"/>
    <x v="0"/>
    <x v="0"/>
    <s v="Panasonic KX T7731-B Digital phone"/>
    <n v="399.96"/>
    <n v="5"/>
    <n v="34.996499999999997"/>
    <x v="0"/>
    <x v="0"/>
    <x v="1"/>
    <n v="8.7499999999999994E-2"/>
  </r>
  <r>
    <s v="US-2016-108504"/>
    <x v="194"/>
    <d v="2016-02-05T00:00:00"/>
    <x v="3"/>
    <s v="PP-18955"/>
    <s v="Paul Prost"/>
    <x v="2"/>
    <s v="United States"/>
    <x v="106"/>
    <x v="31"/>
    <x v="3"/>
    <s v="TEC-PH-10000215"/>
    <x v="0"/>
    <x v="0"/>
    <s v="Plantronics Cordless Phone Headset with In-line Volume - M214C"/>
    <n v="104.85"/>
    <n v="3"/>
    <n v="28.3095"/>
    <x v="7"/>
    <x v="1"/>
    <x v="8"/>
    <n v="0.27"/>
  </r>
  <r>
    <s v="US-2016-108504"/>
    <x v="194"/>
    <d v="2016-02-05T00:00:00"/>
    <x v="3"/>
    <s v="PP-18955"/>
    <s v="Paul Prost"/>
    <x v="2"/>
    <s v="United States"/>
    <x v="106"/>
    <x v="31"/>
    <x v="3"/>
    <s v="TEC-PH-10003645"/>
    <x v="0"/>
    <x v="0"/>
    <s v="Aastra 57i VoIP phone"/>
    <n v="484.83"/>
    <n v="3"/>
    <n v="126.0558"/>
    <x v="7"/>
    <x v="1"/>
    <x v="8"/>
    <n v="0.26"/>
  </r>
  <r>
    <s v="CA-2016-124485"/>
    <x v="195"/>
    <d v="2016-11-26T00:00:00"/>
    <x v="2"/>
    <s v="NC-18340"/>
    <s v="Nat Carroll"/>
    <x v="0"/>
    <s v="United States"/>
    <x v="7"/>
    <x v="5"/>
    <x v="2"/>
    <s v="TEC-AC-10002323"/>
    <x v="0"/>
    <x v="1"/>
    <s v="SanDisk Ultra 32 GB MicroSDHC Class 10 Memory Card"/>
    <n v="88.4"/>
    <n v="4"/>
    <n v="11.492000000000001"/>
    <x v="2"/>
    <x v="1"/>
    <x v="6"/>
    <n v="0.13"/>
  </r>
  <r>
    <s v="CA-2016-159212"/>
    <x v="196"/>
    <d v="2016-11-05T00:00:00"/>
    <x v="0"/>
    <s v="KM-16375"/>
    <s v="Katherine Murray"/>
    <x v="2"/>
    <s v="United States"/>
    <x v="53"/>
    <x v="23"/>
    <x v="3"/>
    <s v="TEC-PH-10003988"/>
    <x v="0"/>
    <x v="0"/>
    <s v="LF Elite 3D Dazzle Designer Hard Case Cover, Lf Stylus Pen and Wiper For Apple Iphone 5c Mini Lite"/>
    <n v="21.8"/>
    <n v="2"/>
    <n v="6.1040000000000001"/>
    <x v="1"/>
    <x v="1"/>
    <x v="6"/>
    <n v="0.28000000000000003"/>
  </r>
  <r>
    <s v="US-2014-118486"/>
    <x v="197"/>
    <d v="2014-04-08T00:00:00"/>
    <x v="2"/>
    <s v="SD-20485"/>
    <s v="Shirley Daniels"/>
    <x v="2"/>
    <s v="United States"/>
    <x v="20"/>
    <x v="12"/>
    <x v="2"/>
    <s v="TEC-AC-10004659"/>
    <x v="0"/>
    <x v="1"/>
    <s v="Imation Secure+ Hardware Encrypted USB 2.0 Flash Drive; 16GB"/>
    <n v="116.78400000000001"/>
    <n v="2"/>
    <n v="21.896999999999998"/>
    <x v="2"/>
    <x v="0"/>
    <x v="9"/>
    <n v="0.1875"/>
  </r>
  <r>
    <s v="CA-2017-115994"/>
    <x v="198"/>
    <d v="2017-01-31T00:00:00"/>
    <x v="1"/>
    <s v="BT-11305"/>
    <s v="Beth Thompson"/>
    <x v="2"/>
    <s v="United States"/>
    <x v="107"/>
    <x v="0"/>
    <x v="0"/>
    <s v="TEC-AC-10000580"/>
    <x v="0"/>
    <x v="1"/>
    <s v="Logitech G13 Programmable Gameboard with LCD Display"/>
    <n v="239.97"/>
    <n v="3"/>
    <n v="26.396699999999999"/>
    <x v="6"/>
    <x v="3"/>
    <x v="2"/>
    <n v="0.11"/>
  </r>
  <r>
    <s v="CA-2015-126697"/>
    <x v="199"/>
    <d v="2015-09-24T00:00:00"/>
    <x v="2"/>
    <s v="SV-20815"/>
    <s v="Stuart Van"/>
    <x v="1"/>
    <s v="United States"/>
    <x v="3"/>
    <x v="1"/>
    <x v="1"/>
    <s v="TEC-PH-10002922"/>
    <x v="0"/>
    <x v="0"/>
    <s v="ShoreTel ShorePhone IP 230 VoIP phone"/>
    <n v="946.34400000000005"/>
    <n v="7"/>
    <n v="118.29300000000001"/>
    <x v="6"/>
    <x v="2"/>
    <x v="4"/>
    <n v="0.125"/>
  </r>
  <r>
    <s v="CA-2015-126697"/>
    <x v="199"/>
    <d v="2015-09-24T00:00:00"/>
    <x v="2"/>
    <s v="SV-20815"/>
    <s v="Stuart Van"/>
    <x v="1"/>
    <s v="United States"/>
    <x v="3"/>
    <x v="1"/>
    <x v="1"/>
    <s v="TEC-AC-10004353"/>
    <x v="0"/>
    <x v="1"/>
    <s v="Hypercom P1300 Pinpad"/>
    <n v="151.19999999999999"/>
    <n v="3"/>
    <n v="32.130000000000003"/>
    <x v="6"/>
    <x v="2"/>
    <x v="4"/>
    <n v="0.21249999999999999"/>
  </r>
  <r>
    <s v="CA-2015-124800"/>
    <x v="42"/>
    <d v="2015-09-30T00:00:00"/>
    <x v="0"/>
    <s v="RW-19540"/>
    <s v="Rick Wilson"/>
    <x v="1"/>
    <s v="United States"/>
    <x v="87"/>
    <x v="6"/>
    <x v="0"/>
    <s v="TEC-PH-10001750"/>
    <x v="0"/>
    <x v="0"/>
    <s v="Samsung Rugby III"/>
    <n v="263.95999999999998"/>
    <n v="5"/>
    <n v="23.096499999999999"/>
    <x v="1"/>
    <x v="2"/>
    <x v="4"/>
    <n v="8.7499999999999994E-2"/>
  </r>
  <r>
    <s v="CA-2017-122700"/>
    <x v="74"/>
    <d v="2017-11-30T00:00:00"/>
    <x v="0"/>
    <s v="LT-17110"/>
    <s v="Liz Thompson"/>
    <x v="0"/>
    <s v="United States"/>
    <x v="16"/>
    <x v="9"/>
    <x v="2"/>
    <s v="TEC-PH-10003092"/>
    <x v="0"/>
    <x v="0"/>
    <s v="Motorola L804"/>
    <n v="220.75200000000001"/>
    <n v="8"/>
    <n v="-40.471200000000003"/>
    <x v="1"/>
    <x v="3"/>
    <x v="6"/>
    <n v="-0.18333333333333299"/>
  </r>
  <r>
    <s v="CA-2015-139731"/>
    <x v="17"/>
    <d v="2015-10-15T00:00:00"/>
    <x v="3"/>
    <s v="JE-15745"/>
    <s v="Joel Eaton"/>
    <x v="0"/>
    <s v="United States"/>
    <x v="108"/>
    <x v="1"/>
    <x v="1"/>
    <s v="TEC-AC-10004975"/>
    <x v="0"/>
    <x v="1"/>
    <s v="Plantronics Audio 995 Wireless Stereo Headset"/>
    <n v="263.88"/>
    <n v="3"/>
    <n v="42.880499999999998"/>
    <x v="7"/>
    <x v="2"/>
    <x v="7"/>
    <n v="0.16250000000000001"/>
  </r>
  <r>
    <s v="CA-2016-133725"/>
    <x v="200"/>
    <d v="2016-05-28T00:00:00"/>
    <x v="0"/>
    <s v="KL-16645"/>
    <s v="Ken Lonsdale"/>
    <x v="0"/>
    <s v="United States"/>
    <x v="11"/>
    <x v="2"/>
    <x v="1"/>
    <s v="TEC-PH-10004165"/>
    <x v="0"/>
    <x v="0"/>
    <s v="Mitel MiVoice 5330e IP Phone"/>
    <n v="1979.9280000000001"/>
    <n v="9"/>
    <n v="148.49459999999999"/>
    <x v="0"/>
    <x v="1"/>
    <x v="11"/>
    <n v="7.4999999999999997E-2"/>
  </r>
  <r>
    <s v="CA-2017-102337"/>
    <x v="201"/>
    <d v="2017-06-16T00:00:00"/>
    <x v="2"/>
    <s v="SD-20485"/>
    <s v="Shirley Daniels"/>
    <x v="2"/>
    <s v="United States"/>
    <x v="11"/>
    <x v="2"/>
    <x v="1"/>
    <s v="TEC-PH-10002564"/>
    <x v="0"/>
    <x v="0"/>
    <s v="OtterBox Defender Series Case - Samsung Galaxy S4"/>
    <n v="47.984000000000002"/>
    <n v="2"/>
    <n v="5.9980000000000002"/>
    <x v="6"/>
    <x v="3"/>
    <x v="0"/>
    <n v="0.125"/>
  </r>
  <r>
    <s v="CA-2015-145821"/>
    <x v="202"/>
    <d v="2015-05-07T00:00:00"/>
    <x v="0"/>
    <s v="JB-15400"/>
    <s v="Jennifer Braxton"/>
    <x v="1"/>
    <s v="United States"/>
    <x v="0"/>
    <x v="0"/>
    <x v="0"/>
    <s v="TEC-PH-10004348"/>
    <x v="0"/>
    <x v="0"/>
    <s v="OtterBox Defender Series Case - iPhone 5c"/>
    <n v="88.751999999999995"/>
    <n v="3"/>
    <n v="11.093999999999999"/>
    <x v="3"/>
    <x v="2"/>
    <x v="11"/>
    <n v="0.125"/>
  </r>
  <r>
    <s v="CA-2016-133711"/>
    <x v="203"/>
    <d v="2016-11-29T00:00:00"/>
    <x v="2"/>
    <s v="MC-17425"/>
    <s v="Mark Cousins"/>
    <x v="1"/>
    <s v="United States"/>
    <x v="109"/>
    <x v="20"/>
    <x v="3"/>
    <s v="TEC-MA-10000010"/>
    <x v="0"/>
    <x v="2"/>
    <s v="Hewlett-Packard Deskjet 3050a All-in-One Color Inkjet Printer"/>
    <n v="3040"/>
    <n v="8"/>
    <n v="1459.2"/>
    <x v="6"/>
    <x v="1"/>
    <x v="6"/>
    <n v="0.48"/>
  </r>
  <r>
    <s v="CA-2016-152289"/>
    <x v="204"/>
    <d v="2016-08-28T00:00:00"/>
    <x v="2"/>
    <s v="LC-16930"/>
    <s v="Linda Cazamias"/>
    <x v="1"/>
    <s v="United States"/>
    <x v="81"/>
    <x v="1"/>
    <x v="1"/>
    <s v="TEC-AC-10004571"/>
    <x v="0"/>
    <x v="1"/>
    <s v="Logitech G700s Rechargeable Gaming Mouse"/>
    <n v="159.98400000000001"/>
    <n v="2"/>
    <n v="43.995600000000003"/>
    <x v="2"/>
    <x v="1"/>
    <x v="1"/>
    <n v="0.27500000000000002"/>
  </r>
  <r>
    <s v="CA-2014-151708"/>
    <x v="86"/>
    <d v="2014-08-14T00:00:00"/>
    <x v="0"/>
    <s v="MB-17305"/>
    <s v="Maria Bertelson"/>
    <x v="0"/>
    <s v="United States"/>
    <x v="110"/>
    <x v="6"/>
    <x v="0"/>
    <s v="TEC-AC-10001767"/>
    <x v="0"/>
    <x v="1"/>
    <s v="SanDisk Ultra 64 GB MicroSDHC Class 10 Memory Card"/>
    <n v="95.975999999999999"/>
    <n v="3"/>
    <n v="-10.7973"/>
    <x v="3"/>
    <x v="0"/>
    <x v="1"/>
    <n v="-0.1125"/>
  </r>
  <r>
    <s v="CA-2015-100769"/>
    <x v="205"/>
    <d v="2015-05-16T00:00:00"/>
    <x v="3"/>
    <s v="TH-21550"/>
    <s v="Tracy Hopkins"/>
    <x v="2"/>
    <s v="United States"/>
    <x v="42"/>
    <x v="15"/>
    <x v="3"/>
    <s v="TEC-AC-10002402"/>
    <x v="0"/>
    <x v="1"/>
    <s v="Razer Kraken PRO Over Ear PC and Music Headset"/>
    <n v="255.96799999999999"/>
    <n v="4"/>
    <n v="31.995999999999999"/>
    <x v="7"/>
    <x v="2"/>
    <x v="11"/>
    <n v="0.125"/>
  </r>
  <r>
    <s v="CA-2017-121468"/>
    <x v="206"/>
    <d v="2017-11-20T00:00:00"/>
    <x v="2"/>
    <s v="KD-16345"/>
    <s v="Katherine Ducich"/>
    <x v="0"/>
    <s v="United States"/>
    <x v="111"/>
    <x v="0"/>
    <x v="0"/>
    <s v="TEC-PH-10000376"/>
    <x v="0"/>
    <x v="0"/>
    <s v="Square Credit Card Reader"/>
    <n v="31.968"/>
    <n v="4"/>
    <n v="2.3976000000000002"/>
    <x v="4"/>
    <x v="3"/>
    <x v="6"/>
    <n v="7.4999999999999997E-2"/>
  </r>
  <r>
    <s v="US-2016-108098"/>
    <x v="207"/>
    <d v="2016-10-18T00:00:00"/>
    <x v="0"/>
    <s v="CP-12340"/>
    <s v="Christine Phan"/>
    <x v="1"/>
    <s v="United States"/>
    <x v="45"/>
    <x v="17"/>
    <x v="0"/>
    <s v="TEC-AC-10000865"/>
    <x v="0"/>
    <x v="1"/>
    <s v="WD My Passport Ultra 500GB Portable External Hard Drive"/>
    <n v="177"/>
    <n v="3"/>
    <n v="30.09"/>
    <x v="1"/>
    <x v="1"/>
    <x v="7"/>
    <n v="0.17"/>
  </r>
  <r>
    <s v="CA-2015-140410"/>
    <x v="208"/>
    <d v="2015-11-07T00:00:00"/>
    <x v="0"/>
    <s v="CM-12655"/>
    <s v="Corinna Mitchell"/>
    <x v="2"/>
    <s v="United States"/>
    <x v="0"/>
    <x v="0"/>
    <x v="0"/>
    <s v="TEC-PH-10003580"/>
    <x v="0"/>
    <x v="0"/>
    <s v="Cisco IP Phone 7961G-GE VoIP phone"/>
    <n v="1212.848"/>
    <n v="7"/>
    <n v="106.1242"/>
    <x v="1"/>
    <x v="2"/>
    <x v="6"/>
    <n v="8.7499999999999994E-2"/>
  </r>
  <r>
    <s v="CA-2015-140410"/>
    <x v="208"/>
    <d v="2015-11-07T00:00:00"/>
    <x v="0"/>
    <s v="CM-12655"/>
    <s v="Corinna Mitchell"/>
    <x v="2"/>
    <s v="United States"/>
    <x v="0"/>
    <x v="0"/>
    <x v="0"/>
    <s v="TEC-AC-10001109"/>
    <x v="0"/>
    <x v="1"/>
    <s v="Logitech Trackman Marble Mouse"/>
    <n v="89.97"/>
    <n v="3"/>
    <n v="37.787399999999998"/>
    <x v="1"/>
    <x v="2"/>
    <x v="6"/>
    <n v="0.42"/>
  </r>
  <r>
    <s v="CA-2016-100468"/>
    <x v="195"/>
    <d v="2016-12-01T00:00:00"/>
    <x v="0"/>
    <s v="AT-10435"/>
    <s v="Alyssa Tate"/>
    <x v="2"/>
    <s v="United States"/>
    <x v="0"/>
    <x v="0"/>
    <x v="0"/>
    <s v="TEC-PH-10001300"/>
    <x v="0"/>
    <x v="0"/>
    <s v="iKross Bluetooth Portable Keyboard + Cell Phone Stand Holder + Brush for Apple iPhone 5S 5C 5, 4S 4"/>
    <n v="33.520000000000003"/>
    <n v="2"/>
    <n v="3.3519999999999999"/>
    <x v="5"/>
    <x v="1"/>
    <x v="6"/>
    <n v="0.1"/>
  </r>
  <r>
    <s v="CA-2016-134208"/>
    <x v="13"/>
    <d v="2016-09-23T00:00:00"/>
    <x v="0"/>
    <s v="CS-12505"/>
    <s v="Cindy Stewart"/>
    <x v="0"/>
    <s v="United States"/>
    <x v="16"/>
    <x v="31"/>
    <x v="3"/>
    <s v="TEC-MA-10004458"/>
    <x v="0"/>
    <x v="2"/>
    <s v="Lexmark X 9575 Professional All-in-One Color Printer"/>
    <n v="396"/>
    <n v="4"/>
    <n v="190.08"/>
    <x v="3"/>
    <x v="1"/>
    <x v="4"/>
    <n v="0.48"/>
  </r>
  <r>
    <s v="CA-2017-121888"/>
    <x v="128"/>
    <d v="2017-09-17T00:00:00"/>
    <x v="1"/>
    <s v="CL-11890"/>
    <s v="Carl Ludwig"/>
    <x v="0"/>
    <s v="United States"/>
    <x v="112"/>
    <x v="35"/>
    <x v="2"/>
    <s v="TEC-PH-10000439"/>
    <x v="0"/>
    <x v="0"/>
    <s v="GE DSL Phone Line Filter"/>
    <n v="39.99"/>
    <n v="1"/>
    <n v="11.597099999999999"/>
    <x v="2"/>
    <x v="3"/>
    <x v="4"/>
    <n v="0.28999999999999998"/>
  </r>
  <r>
    <s v="CA-2014-134278"/>
    <x v="209"/>
    <d v="2014-07-08T00:00:00"/>
    <x v="2"/>
    <s v="EP-13915"/>
    <s v="Emily Phan"/>
    <x v="0"/>
    <s v="United States"/>
    <x v="7"/>
    <x v="5"/>
    <x v="2"/>
    <s v="TEC-CO-10001046"/>
    <x v="0"/>
    <x v="3"/>
    <s v="Canon Imageclass D680 Copier / Fax"/>
    <n v="559.99199999999996"/>
    <n v="1"/>
    <n v="174.9975"/>
    <x v="2"/>
    <x v="0"/>
    <x v="10"/>
    <n v="0.3125"/>
  </r>
  <r>
    <s v="CA-2017-120761"/>
    <x v="210"/>
    <d v="2017-09-08T00:00:00"/>
    <x v="0"/>
    <s v="AB-10150"/>
    <s v="Aimee Bixby"/>
    <x v="0"/>
    <s v="United States"/>
    <x v="113"/>
    <x v="5"/>
    <x v="2"/>
    <s v="TEC-AC-10000171"/>
    <x v="0"/>
    <x v="1"/>
    <s v="Verbatim 25 GB 6x Blu-ray Single Layer Recordable Disc, 25/Pack"/>
    <n v="91.96"/>
    <n v="4"/>
    <n v="39.5428"/>
    <x v="1"/>
    <x v="3"/>
    <x v="4"/>
    <n v="0.43"/>
  </r>
  <r>
    <s v="CA-2015-132101"/>
    <x v="211"/>
    <d v="2015-03-25T00:00:00"/>
    <x v="0"/>
    <s v="JO-15550"/>
    <s v="Jesus Ocampo"/>
    <x v="2"/>
    <s v="United States"/>
    <x v="45"/>
    <x v="17"/>
    <x v="0"/>
    <s v="TEC-PH-10004539"/>
    <x v="0"/>
    <x v="0"/>
    <s v="Wireless Extenders zBoost YX545 SOHO Signal Booster"/>
    <n v="453.57600000000002"/>
    <n v="3"/>
    <n v="39.687899999999999"/>
    <x v="3"/>
    <x v="2"/>
    <x v="5"/>
    <n v="8.7499999999999994E-2"/>
  </r>
  <r>
    <s v="CA-2015-129112"/>
    <x v="212"/>
    <d v="2015-11-30T00:00:00"/>
    <x v="2"/>
    <s v="AW-10840"/>
    <s v="Anthony Witt"/>
    <x v="0"/>
    <s v="United States"/>
    <x v="114"/>
    <x v="1"/>
    <x v="1"/>
    <s v="TEC-AC-10003038"/>
    <x v="0"/>
    <x v="1"/>
    <s v="Kingston Digital DataTraveler 16GB USB 2.0"/>
    <n v="21.48"/>
    <n v="3"/>
    <n v="-0.26850000000000002"/>
    <x v="4"/>
    <x v="2"/>
    <x v="6"/>
    <n v="-1.2500000000000001E-2"/>
  </r>
  <r>
    <s v="US-2014-157385"/>
    <x v="213"/>
    <d v="2014-11-25T00:00:00"/>
    <x v="2"/>
    <s v="SC-20095"/>
    <s v="Sanjit Chand"/>
    <x v="0"/>
    <s v="United States"/>
    <x v="0"/>
    <x v="0"/>
    <x v="0"/>
    <s v="TEC-AC-10003280"/>
    <x v="0"/>
    <x v="1"/>
    <s v="Belkin F8E887 USB Wired Ergonomic Keyboard"/>
    <n v="29.99"/>
    <n v="1"/>
    <n v="6.2979000000000003"/>
    <x v="2"/>
    <x v="0"/>
    <x v="6"/>
    <n v="0.21"/>
  </r>
  <r>
    <s v="CA-2014-101602"/>
    <x v="214"/>
    <d v="2014-12-18T00:00:00"/>
    <x v="2"/>
    <s v="MC-18100"/>
    <s v="Mick Crebagga"/>
    <x v="0"/>
    <s v="United States"/>
    <x v="115"/>
    <x v="1"/>
    <x v="1"/>
    <s v="TEC-PH-10000169"/>
    <x v="0"/>
    <x v="0"/>
    <s v="ARKON Windshield Dashboard Air Vent Car Mount Holder"/>
    <n v="40.68"/>
    <n v="3"/>
    <n v="-9.1530000000000005"/>
    <x v="6"/>
    <x v="0"/>
    <x v="3"/>
    <n v="-0.22500000000000001"/>
  </r>
  <r>
    <s v="CA-2015-131338"/>
    <x v="215"/>
    <d v="2015-08-12T00:00:00"/>
    <x v="2"/>
    <s v="NP-18325"/>
    <s v="Naresj Patel"/>
    <x v="0"/>
    <s v="United States"/>
    <x v="7"/>
    <x v="5"/>
    <x v="2"/>
    <s v="TEC-PH-10003012"/>
    <x v="0"/>
    <x v="0"/>
    <s v="Nortel Meridian M3904 Professional Digital phone"/>
    <n v="307.98"/>
    <n v="2"/>
    <n v="89.3142"/>
    <x v="6"/>
    <x v="2"/>
    <x v="1"/>
    <n v="0.28999999999999998"/>
  </r>
  <r>
    <s v="CA-2015-131338"/>
    <x v="215"/>
    <d v="2015-08-12T00:00:00"/>
    <x v="2"/>
    <s v="NP-18325"/>
    <s v="Naresj Patel"/>
    <x v="0"/>
    <s v="United States"/>
    <x v="7"/>
    <x v="5"/>
    <x v="2"/>
    <s v="TEC-PH-10000984"/>
    <x v="0"/>
    <x v="0"/>
    <s v="Panasonic KX-TG9471B"/>
    <n v="979.95"/>
    <n v="5"/>
    <n v="274.38600000000002"/>
    <x v="6"/>
    <x v="2"/>
    <x v="1"/>
    <n v="0.28000000000000003"/>
  </r>
  <r>
    <s v="CA-2015-131338"/>
    <x v="215"/>
    <d v="2015-08-12T00:00:00"/>
    <x v="2"/>
    <s v="NP-18325"/>
    <s v="Naresj Patel"/>
    <x v="0"/>
    <s v="United States"/>
    <x v="7"/>
    <x v="5"/>
    <x v="2"/>
    <s v="TEC-AC-10002600"/>
    <x v="0"/>
    <x v="1"/>
    <s v="Belkin QODE FastFit Bluetooth Keyboard"/>
    <n v="247.8"/>
    <n v="4"/>
    <n v="34.692"/>
    <x v="6"/>
    <x v="2"/>
    <x v="1"/>
    <n v="0.14000000000000001"/>
  </r>
  <r>
    <s v="CA-2015-122826"/>
    <x v="216"/>
    <d v="2015-06-25T00:00:00"/>
    <x v="1"/>
    <s v="RD-19480"/>
    <s v="Rick Duston"/>
    <x v="0"/>
    <s v="United States"/>
    <x v="116"/>
    <x v="17"/>
    <x v="0"/>
    <s v="TEC-PH-10004830"/>
    <x v="0"/>
    <x v="0"/>
    <s v="Pyle PRT45 Retro Home Telephone"/>
    <n v="201.56800000000001"/>
    <n v="4"/>
    <n v="22.676400000000001"/>
    <x v="2"/>
    <x v="2"/>
    <x v="0"/>
    <n v="0.1125"/>
  </r>
  <r>
    <s v="US-2016-115819"/>
    <x v="217"/>
    <d v="2016-04-24T00:00:00"/>
    <x v="1"/>
    <s v="JO-15280"/>
    <s v="Jas O'Carroll"/>
    <x v="0"/>
    <s v="United States"/>
    <x v="0"/>
    <x v="0"/>
    <x v="0"/>
    <s v="TEC-PH-10004700"/>
    <x v="0"/>
    <x v="0"/>
    <s v="PowerGen Dual USB Car Charger"/>
    <n v="39.96"/>
    <n v="5"/>
    <n v="12.987"/>
    <x v="0"/>
    <x v="1"/>
    <x v="9"/>
    <n v="0.32500000000000001"/>
  </r>
  <r>
    <s v="CA-2014-156349"/>
    <x v="218"/>
    <d v="2014-05-30T00:00:00"/>
    <x v="0"/>
    <s v="ML-17395"/>
    <s v="Marina Lichtenstein"/>
    <x v="1"/>
    <s v="United States"/>
    <x v="0"/>
    <x v="0"/>
    <x v="0"/>
    <s v="TEC-PH-10000441"/>
    <x v="0"/>
    <x v="0"/>
    <s v="VTech DS6151"/>
    <n v="201.584"/>
    <n v="2"/>
    <n v="20.1584"/>
    <x v="1"/>
    <x v="0"/>
    <x v="11"/>
    <n v="0.1"/>
  </r>
  <r>
    <s v="CA-2014-156349"/>
    <x v="218"/>
    <d v="2014-05-30T00:00:00"/>
    <x v="0"/>
    <s v="ML-17395"/>
    <s v="Marina Lichtenstein"/>
    <x v="1"/>
    <s v="United States"/>
    <x v="0"/>
    <x v="0"/>
    <x v="0"/>
    <s v="TEC-PH-10002726"/>
    <x v="0"/>
    <x v="0"/>
    <s v="netTALK DUO VoIP Telephone Service"/>
    <n v="83.983999999999995"/>
    <n v="2"/>
    <n v="31.494"/>
    <x v="1"/>
    <x v="0"/>
    <x v="11"/>
    <n v="0.375"/>
  </r>
  <r>
    <s v="US-2016-113509"/>
    <x v="219"/>
    <d v="2016-03-19T00:00:00"/>
    <x v="0"/>
    <s v="PL-18925"/>
    <s v="Paul Lucas"/>
    <x v="2"/>
    <s v="United States"/>
    <x v="20"/>
    <x v="12"/>
    <x v="2"/>
    <s v="TEC-AC-10004855"/>
    <x v="0"/>
    <x v="1"/>
    <s v="V7 USB Numeric Keypad"/>
    <n v="83.975999999999999"/>
    <n v="3"/>
    <n v="-13.646100000000001"/>
    <x v="1"/>
    <x v="1"/>
    <x v="5"/>
    <n v="-0.16250000000000001"/>
  </r>
  <r>
    <s v="CA-2017-108560"/>
    <x v="220"/>
    <d v="2017-07-15T00:00:00"/>
    <x v="0"/>
    <s v="JC-15385"/>
    <s v="Jenna Caffey"/>
    <x v="0"/>
    <s v="United States"/>
    <x v="117"/>
    <x v="17"/>
    <x v="0"/>
    <s v="TEC-AC-10003063"/>
    <x v="0"/>
    <x v="1"/>
    <s v="Micro Innovations USB RF Wireless Keyboard with Mouse"/>
    <n v="50"/>
    <n v="2"/>
    <n v="10.5"/>
    <x v="5"/>
    <x v="3"/>
    <x v="10"/>
    <n v="0.21"/>
  </r>
  <r>
    <s v="CA-2015-157084"/>
    <x v="221"/>
    <d v="2015-12-24T00:00:00"/>
    <x v="0"/>
    <s v="JG-15160"/>
    <s v="James Galang"/>
    <x v="0"/>
    <s v="United States"/>
    <x v="0"/>
    <x v="0"/>
    <x v="0"/>
    <s v="TEC-PH-10002922"/>
    <x v="0"/>
    <x v="0"/>
    <s v="ShoreTel ShorePhone IP 230 VoIP phone"/>
    <n v="675.96"/>
    <n v="5"/>
    <n v="84.495000000000005"/>
    <x v="0"/>
    <x v="2"/>
    <x v="3"/>
    <n v="0.125"/>
  </r>
  <r>
    <s v="CA-2015-157084"/>
    <x v="221"/>
    <d v="2015-12-24T00:00:00"/>
    <x v="0"/>
    <s v="JG-15160"/>
    <s v="James Galang"/>
    <x v="0"/>
    <s v="United States"/>
    <x v="0"/>
    <x v="0"/>
    <x v="0"/>
    <s v="TEC-AC-10002049"/>
    <x v="0"/>
    <x v="1"/>
    <s v="Plantronics Savi W720 Multi-Device Wireless Headset System"/>
    <n v="1265.8499999999999"/>
    <n v="3"/>
    <n v="556.97400000000005"/>
    <x v="0"/>
    <x v="2"/>
    <x v="3"/>
    <n v="0.44"/>
  </r>
  <r>
    <s v="CA-2016-106530"/>
    <x v="222"/>
    <d v="2016-05-08T00:00:00"/>
    <x v="3"/>
    <s v="CL-12565"/>
    <s v="Clay Ludtke"/>
    <x v="0"/>
    <s v="United States"/>
    <x v="118"/>
    <x v="9"/>
    <x v="2"/>
    <s v="TEC-AC-10001465"/>
    <x v="0"/>
    <x v="1"/>
    <s v="SanDisk Cruzer 64 GB USB Flash Drive"/>
    <n v="58.112000000000002"/>
    <n v="2"/>
    <n v="7.2640000000000002"/>
    <x v="7"/>
    <x v="1"/>
    <x v="11"/>
    <n v="0.125"/>
  </r>
  <r>
    <s v="CA-2014-168984"/>
    <x v="223"/>
    <d v="2014-12-02T00:00:00"/>
    <x v="0"/>
    <s v="NW-18400"/>
    <s v="Natalie Webber"/>
    <x v="0"/>
    <s v="United States"/>
    <x v="119"/>
    <x v="16"/>
    <x v="0"/>
    <s v="TEC-PH-10000038"/>
    <x v="0"/>
    <x v="0"/>
    <s v="Jawbone MINI JAMBOX Wireless Bluetooth Speaker"/>
    <n v="438.33600000000001"/>
    <n v="4"/>
    <n v="-87.667199999999994"/>
    <x v="3"/>
    <x v="0"/>
    <x v="6"/>
    <n v="-0.2"/>
  </r>
  <r>
    <s v="CA-2015-111829"/>
    <x v="211"/>
    <d v="2015-03-20T00:00:00"/>
    <x v="2"/>
    <s v="FH-14365"/>
    <s v="Fred Hopkins"/>
    <x v="1"/>
    <s v="United States"/>
    <x v="45"/>
    <x v="17"/>
    <x v="0"/>
    <s v="TEC-CO-10001766"/>
    <x v="0"/>
    <x v="3"/>
    <s v="Canon PC940 Copier"/>
    <n v="3149.93"/>
    <n v="7"/>
    <n v="1480.4671000000001"/>
    <x v="4"/>
    <x v="2"/>
    <x v="5"/>
    <n v="0.47"/>
  </r>
  <r>
    <s v="CA-2015-105221"/>
    <x v="224"/>
    <d v="2015-11-03T00:00:00"/>
    <x v="2"/>
    <s v="VM-21685"/>
    <s v="Valerie Mitchum"/>
    <x v="2"/>
    <s v="United States"/>
    <x v="20"/>
    <x v="12"/>
    <x v="2"/>
    <s v="TEC-AC-10002323"/>
    <x v="0"/>
    <x v="1"/>
    <s v="SanDisk Ultra 32 GB MicroSDHC Class 10 Memory Card"/>
    <n v="35.36"/>
    <n v="2"/>
    <n v="-3.0939999999999999"/>
    <x v="2"/>
    <x v="2"/>
    <x v="6"/>
    <n v="-8.7499999999999994E-2"/>
  </r>
  <r>
    <s v="CA-2015-120341"/>
    <x v="42"/>
    <d v="2015-09-29T00:00:00"/>
    <x v="1"/>
    <s v="SF-20200"/>
    <s v="Sarah Foster"/>
    <x v="0"/>
    <s v="United States"/>
    <x v="20"/>
    <x v="12"/>
    <x v="2"/>
    <s v="TEC-PH-10003357"/>
    <x v="0"/>
    <x v="0"/>
    <s v="Grandstream GXP2100 Mainstream Business Phone"/>
    <n v="45.893999999999998"/>
    <n v="1"/>
    <n v="-9.1788000000000007"/>
    <x v="6"/>
    <x v="2"/>
    <x v="4"/>
    <n v="-0.2"/>
  </r>
  <r>
    <s v="US-2017-132444"/>
    <x v="225"/>
    <d v="2017-11-21T00:00:00"/>
    <x v="2"/>
    <s v="CD-12280"/>
    <s v="Christina DeMoss"/>
    <x v="0"/>
    <s v="United States"/>
    <x v="45"/>
    <x v="17"/>
    <x v="0"/>
    <s v="TEC-AC-10003832"/>
    <x v="0"/>
    <x v="1"/>
    <s v="Imation 16GB Mini TravelDrive USB 2.0 Flash Drive"/>
    <n v="132.52000000000001"/>
    <n v="4"/>
    <n v="54.333199999999998"/>
    <x v="6"/>
    <x v="3"/>
    <x v="6"/>
    <n v="0.41"/>
  </r>
  <r>
    <s v="CA-2017-161809"/>
    <x v="226"/>
    <d v="2017-01-26T00:00:00"/>
    <x v="0"/>
    <s v="TH-21100"/>
    <s v="Thea Hendricks"/>
    <x v="0"/>
    <s v="United States"/>
    <x v="0"/>
    <x v="0"/>
    <x v="0"/>
    <s v="TEC-PH-10004922"/>
    <x v="0"/>
    <x v="0"/>
    <s v="RCA Visys Integrated PBX 8-Line Router"/>
    <n v="160.77600000000001"/>
    <n v="3"/>
    <n v="10.048500000000001"/>
    <x v="3"/>
    <x v="3"/>
    <x v="2"/>
    <n v="6.25E-2"/>
  </r>
  <r>
    <s v="CA-2017-144526"/>
    <x v="227"/>
    <d v="2017-05-06T00:00:00"/>
    <x v="0"/>
    <s v="QJ-19255"/>
    <s v="Quincy Jones"/>
    <x v="1"/>
    <s v="United States"/>
    <x v="20"/>
    <x v="12"/>
    <x v="2"/>
    <s v="TEC-PH-10002549"/>
    <x v="0"/>
    <x v="0"/>
    <s v="Polycom SoundPoint IP 450 VoIP phone"/>
    <n v="677.58"/>
    <n v="5"/>
    <n v="-158.102"/>
    <x v="3"/>
    <x v="3"/>
    <x v="9"/>
    <n v="-0.233333333333333"/>
  </r>
  <r>
    <s v="CA-2016-128531"/>
    <x v="195"/>
    <d v="2016-11-26T00:00:00"/>
    <x v="1"/>
    <s v="NS-18505"/>
    <s v="Neola Schneider"/>
    <x v="0"/>
    <s v="United States"/>
    <x v="26"/>
    <x v="1"/>
    <x v="1"/>
    <s v="TEC-AC-10002049"/>
    <x v="0"/>
    <x v="1"/>
    <s v="Logitech G19 Programmable Gaming Keyboard"/>
    <n v="297.57600000000002"/>
    <n v="3"/>
    <n v="-7.4394"/>
    <x v="2"/>
    <x v="1"/>
    <x v="6"/>
    <n v="-2.5000000000000001E-2"/>
  </r>
  <r>
    <s v="CA-2016-128531"/>
    <x v="195"/>
    <d v="2016-11-26T00:00:00"/>
    <x v="1"/>
    <s v="NS-18505"/>
    <s v="Neola Schneider"/>
    <x v="0"/>
    <s v="United States"/>
    <x v="26"/>
    <x v="1"/>
    <x v="1"/>
    <s v="TEC-AC-10003023"/>
    <x v="0"/>
    <x v="1"/>
    <s v="Logitech G105 Gaming Keyboard"/>
    <n v="94.992000000000004"/>
    <n v="2"/>
    <n v="-2.3748"/>
    <x v="2"/>
    <x v="1"/>
    <x v="6"/>
    <n v="-2.5000000000000001E-2"/>
  </r>
  <r>
    <s v="CA-2017-159457"/>
    <x v="190"/>
    <d v="2017-10-26T00:00:00"/>
    <x v="0"/>
    <s v="RD-19480"/>
    <s v="Rick Duston"/>
    <x v="0"/>
    <s v="United States"/>
    <x v="3"/>
    <x v="1"/>
    <x v="1"/>
    <s v="TEC-PH-10002185"/>
    <x v="0"/>
    <x v="0"/>
    <s v="QVS USB Car Charger 2-Port 2.1Amp for iPod/iPhone/iPad/iPad 2/iPad 3"/>
    <n v="16.68"/>
    <n v="3"/>
    <n v="5.2125000000000004"/>
    <x v="5"/>
    <x v="3"/>
    <x v="7"/>
    <n v="0.3125"/>
  </r>
  <r>
    <s v="CA-2016-107615"/>
    <x v="228"/>
    <d v="2016-03-25T00:00:00"/>
    <x v="2"/>
    <s v="RB-19645"/>
    <s v="Robert Barroso"/>
    <x v="1"/>
    <s v="United States"/>
    <x v="120"/>
    <x v="36"/>
    <x v="0"/>
    <s v="TEC-AC-10001013"/>
    <x v="0"/>
    <x v="1"/>
    <s v="Logitech ClearChat Comfort/USB Headset H390"/>
    <n v="58.58"/>
    <n v="2"/>
    <n v="19.331399999999999"/>
    <x v="6"/>
    <x v="1"/>
    <x v="5"/>
    <n v="0.33"/>
  </r>
  <r>
    <s v="CA-2017-111647"/>
    <x v="183"/>
    <d v="2017-07-07T00:00:00"/>
    <x v="0"/>
    <s v="RD-19585"/>
    <s v="Rob Dowd"/>
    <x v="0"/>
    <s v="United States"/>
    <x v="121"/>
    <x v="1"/>
    <x v="1"/>
    <s v="TEC-PH-10002726"/>
    <x v="0"/>
    <x v="0"/>
    <s v="netTALK DUO VoIP Telephone Service"/>
    <n v="167.96799999999999"/>
    <n v="4"/>
    <n v="62.988"/>
    <x v="1"/>
    <x v="3"/>
    <x v="10"/>
    <n v="0.375"/>
  </r>
  <r>
    <s v="CA-2014-122882"/>
    <x v="229"/>
    <d v="2014-09-13T00:00:00"/>
    <x v="0"/>
    <s v="SB-20290"/>
    <s v="Sean Braxton"/>
    <x v="1"/>
    <s v="United States"/>
    <x v="20"/>
    <x v="12"/>
    <x v="2"/>
    <s v="TEC-PH-10003589"/>
    <x v="0"/>
    <x v="0"/>
    <s v="invisibleSHIELD by ZAGG Smudge-Free Screen Protector"/>
    <n v="32.381999999999998"/>
    <n v="3"/>
    <n v="4.3175999999999997"/>
    <x v="3"/>
    <x v="0"/>
    <x v="4"/>
    <n v="0.133333333333333"/>
  </r>
  <r>
    <s v="CA-2014-122882"/>
    <x v="229"/>
    <d v="2014-09-13T00:00:00"/>
    <x v="0"/>
    <s v="SB-20290"/>
    <s v="Sean Braxton"/>
    <x v="1"/>
    <s v="United States"/>
    <x v="20"/>
    <x v="12"/>
    <x v="2"/>
    <s v="TEC-MA-10004679"/>
    <x v="0"/>
    <x v="2"/>
    <s v="StarTech.com 10/100 VDSL2 Ethernet Extender Kit"/>
    <n v="399.54"/>
    <n v="4"/>
    <n v="-559.35599999999999"/>
    <x v="3"/>
    <x v="0"/>
    <x v="4"/>
    <n v="-1.4"/>
  </r>
  <r>
    <s v="US-2016-158708"/>
    <x v="230"/>
    <d v="2016-06-29T00:00:00"/>
    <x v="1"/>
    <s v="AB-10255"/>
    <s v="Alejandro Ballentine"/>
    <x v="2"/>
    <s v="United States"/>
    <x v="121"/>
    <x v="1"/>
    <x v="1"/>
    <s v="TEC-AC-10003133"/>
    <x v="0"/>
    <x v="1"/>
    <s v="Memorex Mini Travel Drive 4 GB USB 2.0 Flash Drive"/>
    <n v="13.616"/>
    <n v="2"/>
    <n v="3.5741999999999998"/>
    <x v="6"/>
    <x v="1"/>
    <x v="0"/>
    <n v="0.26250000000000001"/>
  </r>
  <r>
    <s v="CA-2015-156335"/>
    <x v="231"/>
    <d v="2015-09-28T00:00:00"/>
    <x v="1"/>
    <s v="PO-19195"/>
    <s v="Phillina Ober"/>
    <x v="2"/>
    <s v="United States"/>
    <x v="122"/>
    <x v="26"/>
    <x v="2"/>
    <s v="TEC-AC-10002006"/>
    <x v="0"/>
    <x v="1"/>
    <s v="Memorex Micro Travel Drive 16 GB"/>
    <n v="63.96"/>
    <n v="4"/>
    <n v="19.8276"/>
    <x v="6"/>
    <x v="2"/>
    <x v="4"/>
    <n v="0.31"/>
  </r>
  <r>
    <s v="CA-2015-156335"/>
    <x v="231"/>
    <d v="2015-09-28T00:00:00"/>
    <x v="1"/>
    <s v="PO-19195"/>
    <s v="Phillina Ober"/>
    <x v="2"/>
    <s v="United States"/>
    <x v="122"/>
    <x v="26"/>
    <x v="2"/>
    <s v="TEC-PH-10002726"/>
    <x v="0"/>
    <x v="0"/>
    <s v="netTALK DUO VoIP Telephone Service"/>
    <n v="104.98"/>
    <n v="2"/>
    <n v="52.49"/>
    <x v="6"/>
    <x v="2"/>
    <x v="4"/>
    <n v="0.5"/>
  </r>
  <r>
    <s v="CA-2017-123491"/>
    <x v="232"/>
    <d v="2017-11-05T00:00:00"/>
    <x v="0"/>
    <s v="JK-15205"/>
    <s v="Jamie Kunitz"/>
    <x v="0"/>
    <s v="United States"/>
    <x v="1"/>
    <x v="0"/>
    <x v="0"/>
    <s v="TEC-PH-10003505"/>
    <x v="0"/>
    <x v="0"/>
    <s v="Geemarc AmpliPOWER60"/>
    <n v="148.47999999999999"/>
    <n v="2"/>
    <n v="16.704000000000001"/>
    <x v="3"/>
    <x v="3"/>
    <x v="7"/>
    <n v="0.1125"/>
  </r>
  <r>
    <s v="US-2015-123218"/>
    <x v="233"/>
    <d v="2015-12-25T00:00:00"/>
    <x v="0"/>
    <s v="KD-16345"/>
    <s v="Katherine Ducich"/>
    <x v="0"/>
    <s v="United States"/>
    <x v="11"/>
    <x v="2"/>
    <x v="1"/>
    <s v="TEC-PH-10001061"/>
    <x v="0"/>
    <x v="0"/>
    <s v="Apple iPhone 5C"/>
    <n v="159.98400000000001"/>
    <n v="2"/>
    <n v="11.998799999999999"/>
    <x v="0"/>
    <x v="2"/>
    <x v="3"/>
    <n v="7.4999999999999997E-2"/>
  </r>
  <r>
    <s v="US-2015-123218"/>
    <x v="233"/>
    <d v="2015-12-25T00:00:00"/>
    <x v="0"/>
    <s v="KD-16345"/>
    <s v="Katherine Ducich"/>
    <x v="0"/>
    <s v="United States"/>
    <x v="11"/>
    <x v="2"/>
    <x v="1"/>
    <s v="TEC-AC-10000736"/>
    <x v="0"/>
    <x v="1"/>
    <s v="Logitech G600 MMO Gaming Mouse"/>
    <n v="255.96799999999999"/>
    <n v="4"/>
    <n v="51.193600000000004"/>
    <x v="0"/>
    <x v="2"/>
    <x v="3"/>
    <n v="0.2"/>
  </r>
  <r>
    <s v="CA-2016-106894"/>
    <x v="234"/>
    <d v="2016-02-07T00:00:00"/>
    <x v="3"/>
    <s v="CA-12265"/>
    <s v="Christina Anderson"/>
    <x v="0"/>
    <s v="United States"/>
    <x v="84"/>
    <x v="23"/>
    <x v="3"/>
    <s v="TEC-AC-10003063"/>
    <x v="0"/>
    <x v="1"/>
    <s v="Micro Innovations USB RF Wireless Keyboard with Mouse"/>
    <n v="100"/>
    <n v="4"/>
    <n v="21"/>
    <x v="7"/>
    <x v="1"/>
    <x v="8"/>
    <n v="0.21"/>
  </r>
  <r>
    <s v="CA-2017-101483"/>
    <x v="235"/>
    <d v="2017-08-01T00:00:00"/>
    <x v="1"/>
    <s v="AG-10675"/>
    <s v="Anna Gayman"/>
    <x v="0"/>
    <s v="United States"/>
    <x v="42"/>
    <x v="8"/>
    <x v="3"/>
    <s v="TEC-PH-10003442"/>
    <x v="0"/>
    <x v="0"/>
    <s v="Samsung Replacement EH64AVFWE Premium Headset"/>
    <n v="22"/>
    <n v="5"/>
    <n v="1.375"/>
    <x v="6"/>
    <x v="3"/>
    <x v="10"/>
    <n v="6.25E-2"/>
  </r>
  <r>
    <s v="CA-2015-130204"/>
    <x v="236"/>
    <d v="2015-09-09T00:00:00"/>
    <x v="0"/>
    <s v="DB-13120"/>
    <s v="David Bremer"/>
    <x v="1"/>
    <s v="United States"/>
    <x v="1"/>
    <x v="0"/>
    <x v="0"/>
    <s v="TEC-AC-10003038"/>
    <x v="0"/>
    <x v="1"/>
    <s v="Kingston Digital DataTraveler 16GB USB 2.0"/>
    <n v="17.899999999999999"/>
    <n v="2"/>
    <n v="3.4009999999999998"/>
    <x v="3"/>
    <x v="2"/>
    <x v="4"/>
    <n v="0.19"/>
  </r>
  <r>
    <s v="CA-2015-130204"/>
    <x v="236"/>
    <d v="2015-09-09T00:00:00"/>
    <x v="0"/>
    <s v="DB-13120"/>
    <s v="David Bremer"/>
    <x v="1"/>
    <s v="United States"/>
    <x v="1"/>
    <x v="0"/>
    <x v="0"/>
    <s v="TEC-AC-10003590"/>
    <x v="0"/>
    <x v="1"/>
    <s v="TRENDnet 56K USB 2.0 Phone, Internet and Fax Modem"/>
    <n v="129.44999999999999"/>
    <n v="5"/>
    <n v="46.601999999999997"/>
    <x v="3"/>
    <x v="2"/>
    <x v="4"/>
    <n v="0.36"/>
  </r>
  <r>
    <s v="CA-2017-152807"/>
    <x v="232"/>
    <d v="2017-11-03T00:00:00"/>
    <x v="0"/>
    <s v="MC-18100"/>
    <s v="Mick Crebagga"/>
    <x v="0"/>
    <s v="United States"/>
    <x v="20"/>
    <x v="12"/>
    <x v="2"/>
    <s v="TEC-AC-10001142"/>
    <x v="0"/>
    <x v="1"/>
    <s v="First Data FD10 PIN Pad"/>
    <n v="442.4"/>
    <n v="7"/>
    <n v="-55.3"/>
    <x v="1"/>
    <x v="3"/>
    <x v="7"/>
    <n v="-0.125"/>
  </r>
  <r>
    <s v="CA-2015-135622"/>
    <x v="237"/>
    <d v="2015-12-11T00:00:00"/>
    <x v="1"/>
    <s v="TT-21460"/>
    <s v="Tonja Turnell"/>
    <x v="2"/>
    <s v="United States"/>
    <x v="51"/>
    <x v="1"/>
    <x v="1"/>
    <s v="TEC-PH-10001817"/>
    <x v="0"/>
    <x v="0"/>
    <s v="Wilson Electronics DB Pro Signal Booster"/>
    <n v="1718.4"/>
    <n v="6"/>
    <n v="150.36000000000001"/>
    <x v="6"/>
    <x v="2"/>
    <x v="3"/>
    <n v="8.7499999999999994E-2"/>
  </r>
  <r>
    <s v="CA-2014-139017"/>
    <x v="81"/>
    <d v="2014-05-17T00:00:00"/>
    <x v="0"/>
    <s v="RM-19375"/>
    <s v="Raymond Messe"/>
    <x v="0"/>
    <s v="United States"/>
    <x v="3"/>
    <x v="1"/>
    <x v="1"/>
    <s v="TEC-AC-10001013"/>
    <x v="0"/>
    <x v="1"/>
    <s v="Logitech ClearChat Comfort/USB Headset H390"/>
    <n v="46.863999999999997"/>
    <n v="2"/>
    <n v="7.6154000000000002"/>
    <x v="3"/>
    <x v="0"/>
    <x v="11"/>
    <n v="0.16250000000000001"/>
  </r>
  <r>
    <s v="CA-2016-129686"/>
    <x v="238"/>
    <d v="2016-11-29T00:00:00"/>
    <x v="1"/>
    <s v="GG-14650"/>
    <s v="Greg Guthrie"/>
    <x v="1"/>
    <s v="United States"/>
    <x v="11"/>
    <x v="2"/>
    <x v="1"/>
    <s v="TEC-AC-10001266"/>
    <x v="0"/>
    <x v="1"/>
    <s v="Memorex Micro Travel Drive 8 GB"/>
    <n v="62.4"/>
    <n v="6"/>
    <n v="19.5"/>
    <x v="2"/>
    <x v="1"/>
    <x v="6"/>
    <n v="0.3125"/>
  </r>
  <r>
    <s v="CA-2016-124667"/>
    <x v="239"/>
    <d v="2016-11-16T00:00:00"/>
    <x v="0"/>
    <s v="BD-11770"/>
    <s v="Bryan Davis"/>
    <x v="0"/>
    <s v="United States"/>
    <x v="7"/>
    <x v="5"/>
    <x v="2"/>
    <s v="TEC-AC-10003447"/>
    <x v="0"/>
    <x v="1"/>
    <s v="Micropad Numeric Keypads"/>
    <n v="59.97"/>
    <n v="3"/>
    <n v="14.9925"/>
    <x v="0"/>
    <x v="1"/>
    <x v="6"/>
    <n v="0.25"/>
  </r>
  <r>
    <s v="CA-2017-166317"/>
    <x v="240"/>
    <d v="2017-09-26T00:00:00"/>
    <x v="0"/>
    <s v="JE-15610"/>
    <s v="Jim Epp"/>
    <x v="1"/>
    <s v="United States"/>
    <x v="78"/>
    <x v="10"/>
    <x v="1"/>
    <s v="TEC-AC-10004510"/>
    <x v="0"/>
    <x v="1"/>
    <s v="Logitech Desktop MK120 Mouse and keyboard Combo"/>
    <n v="98.16"/>
    <n v="6"/>
    <n v="9.8160000000000007"/>
    <x v="1"/>
    <x v="3"/>
    <x v="4"/>
    <n v="0.1"/>
  </r>
  <r>
    <s v="CA-2017-166317"/>
    <x v="240"/>
    <d v="2017-09-26T00:00:00"/>
    <x v="0"/>
    <s v="JE-15610"/>
    <s v="Jim Epp"/>
    <x v="1"/>
    <s v="United States"/>
    <x v="78"/>
    <x v="10"/>
    <x v="1"/>
    <s v="TEC-PH-10001615"/>
    <x v="0"/>
    <x v="0"/>
    <s v="AT&amp;T CL82213"/>
    <n v="86.97"/>
    <n v="3"/>
    <n v="25.221299999999999"/>
    <x v="1"/>
    <x v="3"/>
    <x v="4"/>
    <n v="0.28999999999999998"/>
  </r>
  <r>
    <s v="CA-2015-154326"/>
    <x v="241"/>
    <d v="2015-02-19T00:00:00"/>
    <x v="0"/>
    <s v="RP-19855"/>
    <s v="Roy Phan"/>
    <x v="1"/>
    <s v="United States"/>
    <x v="123"/>
    <x v="10"/>
    <x v="1"/>
    <s v="TEC-PH-10001819"/>
    <x v="0"/>
    <x v="0"/>
    <s v="Innergie mMini Combo Duo USB Travel Charging Kit"/>
    <n v="134.97"/>
    <n v="3"/>
    <n v="64.785600000000002"/>
    <x v="1"/>
    <x v="2"/>
    <x v="8"/>
    <n v="0.48"/>
  </r>
  <r>
    <s v="CA-2015-154326"/>
    <x v="241"/>
    <d v="2015-02-19T00:00:00"/>
    <x v="0"/>
    <s v="RP-19855"/>
    <s v="Roy Phan"/>
    <x v="1"/>
    <s v="United States"/>
    <x v="123"/>
    <x v="10"/>
    <x v="1"/>
    <s v="TEC-PH-10000560"/>
    <x v="0"/>
    <x v="0"/>
    <s v="Samsung Galaxy S III - 16GB - pebble blue (T-Mobile)"/>
    <n v="699.98"/>
    <n v="2"/>
    <n v="195.99440000000001"/>
    <x v="1"/>
    <x v="2"/>
    <x v="8"/>
    <n v="0.28000000000000003"/>
  </r>
  <r>
    <s v="CA-2015-154326"/>
    <x v="241"/>
    <d v="2015-02-19T00:00:00"/>
    <x v="0"/>
    <s v="RP-19855"/>
    <s v="Roy Phan"/>
    <x v="1"/>
    <s v="United States"/>
    <x v="123"/>
    <x v="10"/>
    <x v="1"/>
    <s v="TEC-AC-10004568"/>
    <x v="0"/>
    <x v="1"/>
    <s v="Maxell LTO Ultrium - 800 GB"/>
    <n v="139.94999999999999"/>
    <n v="5"/>
    <n v="26.590499999999999"/>
    <x v="1"/>
    <x v="2"/>
    <x v="8"/>
    <n v="0.19"/>
  </r>
  <r>
    <s v="US-2017-139465"/>
    <x v="242"/>
    <d v="2017-08-30T00:00:00"/>
    <x v="2"/>
    <s v="MR-17545"/>
    <s v="Mathew Reese"/>
    <x v="2"/>
    <s v="United States"/>
    <x v="7"/>
    <x v="5"/>
    <x v="2"/>
    <s v="TEC-PH-10000455"/>
    <x v="0"/>
    <x v="0"/>
    <s v="GE 30522EE2"/>
    <n v="347.97"/>
    <n v="3"/>
    <n v="100.9113"/>
    <x v="6"/>
    <x v="3"/>
    <x v="1"/>
    <n v="0.28999999999999998"/>
  </r>
  <r>
    <s v="CA-2017-158379"/>
    <x v="240"/>
    <d v="2017-09-26T00:00:00"/>
    <x v="1"/>
    <s v="JA-15970"/>
    <s v="Joseph Airdo"/>
    <x v="0"/>
    <s v="United States"/>
    <x v="20"/>
    <x v="12"/>
    <x v="2"/>
    <s v="TEC-AC-10002926"/>
    <x v="0"/>
    <x v="1"/>
    <s v="Logitech Wireless Marathon Mouse M705"/>
    <n v="79.983999999999995"/>
    <n v="2"/>
    <n v="22.9954"/>
    <x v="1"/>
    <x v="3"/>
    <x v="4"/>
    <n v="0.28749999999999998"/>
  </r>
  <r>
    <s v="US-2016-116729"/>
    <x v="243"/>
    <d v="2016-12-28T00:00:00"/>
    <x v="2"/>
    <s v="GK-14620"/>
    <s v="Grace Kelly"/>
    <x v="1"/>
    <s v="United States"/>
    <x v="0"/>
    <x v="0"/>
    <x v="0"/>
    <s v="TEC-PH-10002200"/>
    <x v="0"/>
    <x v="0"/>
    <s v="Samsung Galaxy Note 2"/>
    <n v="2575.944"/>
    <n v="7"/>
    <n v="257.59440000000001"/>
    <x v="6"/>
    <x v="1"/>
    <x v="3"/>
    <n v="0.1"/>
  </r>
  <r>
    <s v="US-2016-116729"/>
    <x v="243"/>
    <d v="2016-12-28T00:00:00"/>
    <x v="2"/>
    <s v="GK-14620"/>
    <s v="Grace Kelly"/>
    <x v="1"/>
    <s v="United States"/>
    <x v="0"/>
    <x v="0"/>
    <x v="0"/>
    <s v="TEC-AC-10001465"/>
    <x v="0"/>
    <x v="1"/>
    <s v="SanDisk Cruzer 64 GB USB Flash Drive"/>
    <n v="254.24"/>
    <n v="7"/>
    <n v="76.272000000000006"/>
    <x v="6"/>
    <x v="1"/>
    <x v="3"/>
    <n v="0.3"/>
  </r>
  <r>
    <s v="CA-2016-164938"/>
    <x v="244"/>
    <d v="2016-02-13T00:00:00"/>
    <x v="2"/>
    <s v="PB-19210"/>
    <s v="Phillip Breyer"/>
    <x v="1"/>
    <s v="United States"/>
    <x v="124"/>
    <x v="11"/>
    <x v="1"/>
    <s v="TEC-PH-10004897"/>
    <x v="0"/>
    <x v="0"/>
    <s v="Mediabridge Sport Armband iPhone 5s"/>
    <n v="69.930000000000007"/>
    <n v="7"/>
    <n v="0.69930000000000003"/>
    <x v="2"/>
    <x v="1"/>
    <x v="8"/>
    <n v="0.01"/>
  </r>
  <r>
    <s v="CA-2016-109344"/>
    <x v="245"/>
    <d v="2016-02-11T00:00:00"/>
    <x v="1"/>
    <s v="CH-12070"/>
    <s v="Cathy Hwang"/>
    <x v="2"/>
    <s v="United States"/>
    <x v="125"/>
    <x v="8"/>
    <x v="3"/>
    <s v="TEC-PH-10002624"/>
    <x v="0"/>
    <x v="0"/>
    <s v="Samsung Galaxy S4 Mini"/>
    <n v="1127.9760000000001"/>
    <n v="3"/>
    <n v="126.8973"/>
    <x v="6"/>
    <x v="1"/>
    <x v="8"/>
    <n v="0.1125"/>
  </r>
  <r>
    <s v="CA-2014-103373"/>
    <x v="246"/>
    <d v="2014-05-24T00:00:00"/>
    <x v="0"/>
    <s v="BS-11755"/>
    <s v="Bruce Stewart"/>
    <x v="0"/>
    <s v="United States"/>
    <x v="118"/>
    <x v="9"/>
    <x v="2"/>
    <s v="TEC-PH-10002885"/>
    <x v="0"/>
    <x v="0"/>
    <s v="Apple iPhone 5"/>
    <n v="779.79600000000005"/>
    <n v="2"/>
    <n v="-168.95580000000001"/>
    <x v="3"/>
    <x v="0"/>
    <x v="11"/>
    <n v="-0.21666666666666701"/>
  </r>
  <r>
    <s v="CA-2017-145884"/>
    <x v="247"/>
    <d v="2017-10-21T00:00:00"/>
    <x v="3"/>
    <s v="SL-20155"/>
    <s v="Sara Luxemburg"/>
    <x v="2"/>
    <s v="United States"/>
    <x v="126"/>
    <x v="11"/>
    <x v="1"/>
    <s v="TEC-PH-10000895"/>
    <x v="0"/>
    <x v="0"/>
    <s v="Polycom VVX 310 VoIP phone"/>
    <n v="1439.92"/>
    <n v="8"/>
    <n v="374.37920000000003"/>
    <x v="7"/>
    <x v="3"/>
    <x v="7"/>
    <n v="0.26"/>
  </r>
  <r>
    <s v="CA-2017-162691"/>
    <x v="143"/>
    <d v="2017-08-07T00:00:00"/>
    <x v="0"/>
    <s v="AS-10045"/>
    <s v="Aaron Smayling"/>
    <x v="1"/>
    <s v="United States"/>
    <x v="65"/>
    <x v="1"/>
    <x v="1"/>
    <s v="TEC-MA-10000488"/>
    <x v="0"/>
    <x v="2"/>
    <s v="Bady BDG101FRU Card Printer"/>
    <n v="1439.982"/>
    <n v="3"/>
    <n v="-263.99669999999998"/>
    <x v="3"/>
    <x v="3"/>
    <x v="1"/>
    <n v="-0.18333333333333299"/>
  </r>
  <r>
    <s v="US-2017-113852"/>
    <x v="235"/>
    <d v="2017-08-02T00:00:00"/>
    <x v="0"/>
    <s v="GW-14605"/>
    <s v="Giulietta Weimer"/>
    <x v="0"/>
    <s v="United States"/>
    <x v="45"/>
    <x v="17"/>
    <x v="0"/>
    <s v="TEC-AC-10003027"/>
    <x v="0"/>
    <x v="1"/>
    <s v="Imation 8GB Mini TravelDrive USB 2.0 Flash Drive"/>
    <n v="90.57"/>
    <n v="3"/>
    <n v="11.774100000000001"/>
    <x v="1"/>
    <x v="3"/>
    <x v="10"/>
    <n v="0.13"/>
  </r>
  <r>
    <s v="CA-2015-160472"/>
    <x v="248"/>
    <d v="2015-07-25T00:00:00"/>
    <x v="1"/>
    <s v="RK-19300"/>
    <s v="Ralph Kennedy"/>
    <x v="0"/>
    <s v="United States"/>
    <x v="127"/>
    <x v="21"/>
    <x v="1"/>
    <s v="TEC-AC-10002253"/>
    <x v="0"/>
    <x v="1"/>
    <s v="Imation Bio 8GB USB Flash Drive Imation Corp"/>
    <n v="831.2"/>
    <n v="5"/>
    <n v="124.68"/>
    <x v="0"/>
    <x v="2"/>
    <x v="10"/>
    <n v="0.15"/>
  </r>
  <r>
    <s v="CA-2015-121608"/>
    <x v="236"/>
    <d v="2015-09-05T00:00:00"/>
    <x v="2"/>
    <s v="JB-15400"/>
    <s v="Jennifer Braxton"/>
    <x v="1"/>
    <s v="United States"/>
    <x v="128"/>
    <x v="37"/>
    <x v="2"/>
    <s v="TEC-PH-10004959"/>
    <x v="0"/>
    <x v="0"/>
    <s v="Classic Ivory Antique Telephone ZL1810"/>
    <n v="100.49"/>
    <n v="1"/>
    <n v="25.122499999999999"/>
    <x v="2"/>
    <x v="2"/>
    <x v="4"/>
    <n v="0.25"/>
  </r>
  <r>
    <s v="US-2017-121251"/>
    <x v="249"/>
    <d v="2017-03-27T00:00:00"/>
    <x v="2"/>
    <s v="GM-14440"/>
    <s v="Gary McGarr"/>
    <x v="0"/>
    <s v="United States"/>
    <x v="7"/>
    <x v="5"/>
    <x v="2"/>
    <s v="TEC-PH-10004896"/>
    <x v="0"/>
    <x v="0"/>
    <s v="Nokia Lumia 521 (T-Mobile)"/>
    <n v="119.96"/>
    <n v="4"/>
    <n v="33.588799999999999"/>
    <x v="4"/>
    <x v="3"/>
    <x v="5"/>
    <n v="0.28000000000000003"/>
  </r>
  <r>
    <s v="US-2017-116659"/>
    <x v="250"/>
    <d v="2017-11-12T00:00:00"/>
    <x v="3"/>
    <s v="NG-18355"/>
    <s v="Nat Gilpin"/>
    <x v="1"/>
    <s v="United States"/>
    <x v="129"/>
    <x v="9"/>
    <x v="2"/>
    <s v="TEC-PH-10002824"/>
    <x v="0"/>
    <x v="0"/>
    <s v="Jabra SPEAK 410 Multidevice Speakerphone"/>
    <n v="370.78199999999998"/>
    <n v="3"/>
    <n v="-92.695499999999996"/>
    <x v="7"/>
    <x v="3"/>
    <x v="6"/>
    <n v="-0.25"/>
  </r>
  <r>
    <s v="CA-2017-112039"/>
    <x v="251"/>
    <d v="2017-03-29T00:00:00"/>
    <x v="0"/>
    <s v="JC-15775"/>
    <s v="John Castell"/>
    <x v="0"/>
    <s v="United States"/>
    <x v="21"/>
    <x v="1"/>
    <x v="1"/>
    <s v="TEC-PH-10000984"/>
    <x v="0"/>
    <x v="0"/>
    <s v="Panasonic KX-TG9471B"/>
    <n v="470.37599999999998"/>
    <n v="3"/>
    <n v="47.037599999999998"/>
    <x v="1"/>
    <x v="3"/>
    <x v="5"/>
    <n v="0.1"/>
  </r>
  <r>
    <s v="CA-2017-118885"/>
    <x v="252"/>
    <d v="2018-01-02T00:00:00"/>
    <x v="0"/>
    <s v="JG-15160"/>
    <s v="James Galang"/>
    <x v="0"/>
    <s v="United States"/>
    <x v="0"/>
    <x v="0"/>
    <x v="0"/>
    <s v="TEC-PH-10002563"/>
    <x v="0"/>
    <x v="0"/>
    <s v="Adtran 1202752G1"/>
    <n v="302.37599999999998"/>
    <n v="3"/>
    <n v="22.6782"/>
    <x v="1"/>
    <x v="3"/>
    <x v="3"/>
    <n v="7.4999999999999997E-2"/>
  </r>
  <r>
    <s v="CA-2016-151141"/>
    <x v="253"/>
    <d v="2016-08-23T00:00:00"/>
    <x v="2"/>
    <s v="DW-13480"/>
    <s v="Dianna Wilson"/>
    <x v="2"/>
    <s v="United States"/>
    <x v="77"/>
    <x v="14"/>
    <x v="1"/>
    <s v="TEC-PH-10004924"/>
    <x v="0"/>
    <x v="0"/>
    <s v="SKILCRAFT Telephone Shoulder Rest, 2&quot; x 6.5&quot; x 2.5&quot;, Black"/>
    <n v="14.78"/>
    <n v="2"/>
    <n v="3.9906000000000001"/>
    <x v="6"/>
    <x v="1"/>
    <x v="1"/>
    <n v="0.27"/>
  </r>
  <r>
    <s v="CA-2017-167094"/>
    <x v="247"/>
    <d v="2017-10-22T00:00:00"/>
    <x v="2"/>
    <s v="DK-12835"/>
    <s v="Damala Kotsonis"/>
    <x v="1"/>
    <s v="United States"/>
    <x v="84"/>
    <x v="16"/>
    <x v="0"/>
    <s v="TEC-AC-10003116"/>
    <x v="0"/>
    <x v="1"/>
    <s v="Memorex Froggy Flash Drive 8 GB"/>
    <n v="28.4"/>
    <n v="2"/>
    <n v="6.7450000000000001"/>
    <x v="4"/>
    <x v="3"/>
    <x v="7"/>
    <n v="0.23749999999999999"/>
  </r>
  <r>
    <s v="CA-2016-105963"/>
    <x v="254"/>
    <d v="2016-11-22T00:00:00"/>
    <x v="0"/>
    <s v="SC-20770"/>
    <s v="Stewart Carmichael"/>
    <x v="1"/>
    <s v="United States"/>
    <x v="0"/>
    <x v="0"/>
    <x v="0"/>
    <s v="TEC-AC-10003832"/>
    <x v="0"/>
    <x v="1"/>
    <s v="Imation 16GB Mini TravelDrive USB 2.0 Flash Drive"/>
    <n v="99.39"/>
    <n v="3"/>
    <n v="40.749899999999997"/>
    <x v="5"/>
    <x v="1"/>
    <x v="6"/>
    <n v="0.41"/>
  </r>
  <r>
    <s v="CA-2017-121503"/>
    <x v="183"/>
    <d v="2017-07-06T00:00:00"/>
    <x v="1"/>
    <s v="FH-14275"/>
    <s v="Frank Hawley"/>
    <x v="1"/>
    <s v="United States"/>
    <x v="3"/>
    <x v="1"/>
    <x v="1"/>
    <s v="TEC-MA-10003674"/>
    <x v="0"/>
    <x v="2"/>
    <s v="Hewlett-Packard Deskjet 5550 Printer"/>
    <n v="597.13199999999995"/>
    <n v="3"/>
    <n v="49.761000000000003"/>
    <x v="6"/>
    <x v="3"/>
    <x v="10"/>
    <n v="8.3333333333333398E-2"/>
  </r>
  <r>
    <s v="CA-2014-103366"/>
    <x v="255"/>
    <d v="2014-01-17T00:00:00"/>
    <x v="2"/>
    <s v="EH-13990"/>
    <s v="Erica Hackney"/>
    <x v="0"/>
    <s v="United States"/>
    <x v="91"/>
    <x v="31"/>
    <x v="3"/>
    <s v="TEC-AC-10003628"/>
    <x v="0"/>
    <x v="1"/>
    <s v="Logitech 910-002974 M325 Wireless Mouse for Web Scrolling"/>
    <n v="149.94999999999999"/>
    <n v="5"/>
    <n v="65.977999999999994"/>
    <x v="2"/>
    <x v="0"/>
    <x v="2"/>
    <n v="0.44"/>
  </r>
  <r>
    <s v="CA-2015-123673"/>
    <x v="256"/>
    <d v="2015-11-01T00:00:00"/>
    <x v="1"/>
    <s v="CH-12070"/>
    <s v="Cathy Hwang"/>
    <x v="2"/>
    <s v="United States"/>
    <x v="77"/>
    <x v="14"/>
    <x v="1"/>
    <s v="TEC-PH-10001809"/>
    <x v="0"/>
    <x v="0"/>
    <s v="Panasonic KX T7736-B Digital phone"/>
    <n v="299.89999999999998"/>
    <n v="2"/>
    <n v="74.974999999999994"/>
    <x v="2"/>
    <x v="2"/>
    <x v="7"/>
    <n v="0.25"/>
  </r>
  <r>
    <s v="CA-2016-156685"/>
    <x v="257"/>
    <d v="2016-07-10T00:00:00"/>
    <x v="1"/>
    <s v="SC-20230"/>
    <s v="Scot Coram"/>
    <x v="1"/>
    <s v="United States"/>
    <x v="130"/>
    <x v="1"/>
    <x v="1"/>
    <s v="TEC-PH-10004345"/>
    <x v="0"/>
    <x v="0"/>
    <s v="Cisco SPA 502G IP Phone"/>
    <n v="863.64"/>
    <n v="9"/>
    <n v="107.955"/>
    <x v="2"/>
    <x v="1"/>
    <x v="10"/>
    <n v="0.125"/>
  </r>
  <r>
    <s v="CA-2017-102834"/>
    <x v="258"/>
    <d v="2017-03-13T00:00:00"/>
    <x v="0"/>
    <s v="LW-16990"/>
    <s v="Lindsay Williams"/>
    <x v="1"/>
    <s v="United States"/>
    <x v="1"/>
    <x v="0"/>
    <x v="0"/>
    <s v="TEC-AC-10001908"/>
    <x v="0"/>
    <x v="1"/>
    <s v="Logitech Wireless Headset h800"/>
    <n v="199.98"/>
    <n v="2"/>
    <n v="69.992999999999995"/>
    <x v="1"/>
    <x v="3"/>
    <x v="5"/>
    <n v="0.35"/>
  </r>
  <r>
    <s v="US-2016-139710"/>
    <x v="259"/>
    <d v="2016-06-15T00:00:00"/>
    <x v="0"/>
    <s v="GM-14680"/>
    <s v="Greg Matthias"/>
    <x v="0"/>
    <s v="United States"/>
    <x v="0"/>
    <x v="0"/>
    <x v="0"/>
    <s v="TEC-PH-10001198"/>
    <x v="0"/>
    <x v="0"/>
    <s v="Avaya 4621SW VoIP phone"/>
    <n v="177.48"/>
    <n v="3"/>
    <n v="19.9665"/>
    <x v="3"/>
    <x v="1"/>
    <x v="0"/>
    <n v="0.1125"/>
  </r>
  <r>
    <s v="US-2017-101539"/>
    <x v="260"/>
    <d v="2017-03-18T00:00:00"/>
    <x v="1"/>
    <s v="VM-21685"/>
    <s v="Valerie Mitchum"/>
    <x v="2"/>
    <s v="United States"/>
    <x v="45"/>
    <x v="17"/>
    <x v="0"/>
    <s v="TEC-PH-10004165"/>
    <x v="0"/>
    <x v="0"/>
    <s v="Mitel MiVoice 5330e IP Phone"/>
    <n v="659.976"/>
    <n v="3"/>
    <n v="49.498199999999997"/>
    <x v="2"/>
    <x v="3"/>
    <x v="5"/>
    <n v="7.4999999999999997E-2"/>
  </r>
  <r>
    <s v="CA-2016-152121"/>
    <x v="238"/>
    <d v="2016-11-29T00:00:00"/>
    <x v="1"/>
    <s v="CC-12670"/>
    <s v="Craig Carreira"/>
    <x v="0"/>
    <s v="United States"/>
    <x v="18"/>
    <x v="6"/>
    <x v="0"/>
    <s v="TEC-PH-10002483"/>
    <x v="0"/>
    <x v="0"/>
    <s v="Motorola Moto X"/>
    <n v="271.99200000000002"/>
    <n v="1"/>
    <n v="23.799299999999999"/>
    <x v="2"/>
    <x v="1"/>
    <x v="6"/>
    <n v="8.7499999999999994E-2"/>
  </r>
  <r>
    <s v="CA-2017-101245"/>
    <x v="131"/>
    <d v="2017-12-03T00:00:00"/>
    <x v="0"/>
    <s v="LW-16990"/>
    <s v="Lindsay Williams"/>
    <x v="1"/>
    <s v="United States"/>
    <x v="1"/>
    <x v="0"/>
    <x v="0"/>
    <s v="TEC-AC-10001284"/>
    <x v="0"/>
    <x v="1"/>
    <s v="Enermax Briskie RF Wireless Keyboard and Mouse Combo"/>
    <n v="166.16"/>
    <n v="8"/>
    <n v="59.817599999999999"/>
    <x v="3"/>
    <x v="3"/>
    <x v="6"/>
    <n v="0.36"/>
  </r>
  <r>
    <s v="CA-2016-108581"/>
    <x v="7"/>
    <d v="2016-06-26T00:00:00"/>
    <x v="0"/>
    <s v="EA-14035"/>
    <s v="Erin Ashbrook"/>
    <x v="1"/>
    <s v="United States"/>
    <x v="131"/>
    <x v="1"/>
    <x v="1"/>
    <s v="TEC-AC-10001109"/>
    <x v="0"/>
    <x v="1"/>
    <s v="Logitech Trackman Marble Mouse"/>
    <n v="95.968000000000004"/>
    <n v="4"/>
    <n v="26.391200000000001"/>
    <x v="3"/>
    <x v="1"/>
    <x v="0"/>
    <n v="0.27500000000000002"/>
  </r>
  <r>
    <s v="CA-2017-157987"/>
    <x v="130"/>
    <d v="2017-09-06T00:00:00"/>
    <x v="0"/>
    <s v="AC-10615"/>
    <s v="Ann Chong"/>
    <x v="1"/>
    <s v="United States"/>
    <x v="7"/>
    <x v="5"/>
    <x v="2"/>
    <s v="TEC-PH-10003885"/>
    <x v="0"/>
    <x v="0"/>
    <s v="Cisco SPA508G"/>
    <n v="197.97"/>
    <n v="3"/>
    <n v="57.411299999999997"/>
    <x v="1"/>
    <x v="3"/>
    <x v="4"/>
    <n v="0.28999999999999998"/>
  </r>
  <r>
    <s v="CA-2017-157987"/>
    <x v="130"/>
    <d v="2017-09-06T00:00:00"/>
    <x v="0"/>
    <s v="AC-10615"/>
    <s v="Ann Chong"/>
    <x v="1"/>
    <s v="United States"/>
    <x v="7"/>
    <x v="5"/>
    <x v="2"/>
    <s v="TEC-AC-10002842"/>
    <x v="0"/>
    <x v="1"/>
    <s v="WD My Passport Ultra 2TB Portable External Hard Drive"/>
    <n v="238"/>
    <n v="2"/>
    <n v="38.08"/>
    <x v="1"/>
    <x v="3"/>
    <x v="4"/>
    <n v="0.16"/>
  </r>
  <r>
    <s v="CA-2017-157987"/>
    <x v="130"/>
    <d v="2017-09-06T00:00:00"/>
    <x v="0"/>
    <s v="AC-10615"/>
    <s v="Ann Chong"/>
    <x v="1"/>
    <s v="United States"/>
    <x v="7"/>
    <x v="5"/>
    <x v="2"/>
    <s v="TEC-AC-10000109"/>
    <x v="0"/>
    <x v="1"/>
    <s v="Sony Micro Vault Click 16 GB USB 2.0 Flash Drive"/>
    <n v="167.97"/>
    <n v="3"/>
    <n v="40.312800000000003"/>
    <x v="1"/>
    <x v="3"/>
    <x v="4"/>
    <n v="0.24"/>
  </r>
  <r>
    <s v="CA-2017-110905"/>
    <x v="5"/>
    <d v="2017-09-15T00:00:00"/>
    <x v="1"/>
    <s v="RW-19690"/>
    <s v="Robert Waldorf"/>
    <x v="0"/>
    <s v="United States"/>
    <x v="84"/>
    <x v="18"/>
    <x v="1"/>
    <s v="TEC-AC-10003023"/>
    <x v="0"/>
    <x v="1"/>
    <s v="Logitech G105 Gaming Keyboard"/>
    <n v="296.85000000000002"/>
    <n v="5"/>
    <n v="53.433"/>
    <x v="0"/>
    <x v="3"/>
    <x v="4"/>
    <n v="0.18"/>
  </r>
  <r>
    <s v="CA-2017-110905"/>
    <x v="5"/>
    <d v="2017-09-15T00:00:00"/>
    <x v="1"/>
    <s v="RW-19690"/>
    <s v="Robert Waldorf"/>
    <x v="0"/>
    <s v="United States"/>
    <x v="84"/>
    <x v="18"/>
    <x v="1"/>
    <s v="TEC-AC-10002217"/>
    <x v="0"/>
    <x v="1"/>
    <s v="Imation Clip USB flash drive - 8 GB"/>
    <n v="112.8"/>
    <n v="6"/>
    <n v="6.7679999999999998"/>
    <x v="0"/>
    <x v="3"/>
    <x v="4"/>
    <n v="0.06"/>
  </r>
  <r>
    <s v="CA-2017-165841"/>
    <x v="261"/>
    <d v="2017-12-28T00:00:00"/>
    <x v="0"/>
    <s v="DB-13210"/>
    <s v="Dean Braden"/>
    <x v="0"/>
    <s v="United States"/>
    <x v="132"/>
    <x v="26"/>
    <x v="2"/>
    <s v="TEC-PH-10002103"/>
    <x v="0"/>
    <x v="0"/>
    <s v="Jabra SPEAK 410"/>
    <n v="281.97000000000003"/>
    <n v="3"/>
    <n v="78.951599999999999"/>
    <x v="5"/>
    <x v="3"/>
    <x v="3"/>
    <n v="0.28000000000000003"/>
  </r>
  <r>
    <s v="CA-2017-117485"/>
    <x v="262"/>
    <d v="2017-09-29T00:00:00"/>
    <x v="0"/>
    <s v="BD-11320"/>
    <s v="Bill Donatelli"/>
    <x v="0"/>
    <s v="United States"/>
    <x v="124"/>
    <x v="11"/>
    <x v="1"/>
    <s v="TEC-AC-10004659"/>
    <x v="0"/>
    <x v="1"/>
    <s v="Imation Secure+ Hardware Encrypted USB 2.0 Flash Drive; 16GB"/>
    <n v="291.95999999999998"/>
    <n v="4"/>
    <n v="102.18600000000001"/>
    <x v="3"/>
    <x v="3"/>
    <x v="4"/>
    <n v="0.35"/>
  </r>
  <r>
    <s v="CA-2017-140242"/>
    <x v="263"/>
    <d v="2017-05-11T00:00:00"/>
    <x v="0"/>
    <s v="ML-17755"/>
    <s v="Max Ludwig"/>
    <x v="2"/>
    <s v="United States"/>
    <x v="11"/>
    <x v="2"/>
    <x v="1"/>
    <s v="TEC-AC-10004659"/>
    <x v="0"/>
    <x v="1"/>
    <s v="Imation Secure+ Hardware Encrypted USB 2.0 Flash Drive; 16GB"/>
    <n v="408.74400000000003"/>
    <n v="7"/>
    <n v="76.639499999999998"/>
    <x v="0"/>
    <x v="3"/>
    <x v="11"/>
    <n v="0.1875"/>
  </r>
  <r>
    <s v="CA-2014-148950"/>
    <x v="264"/>
    <d v="2014-12-19T00:00:00"/>
    <x v="0"/>
    <s v="JD-16015"/>
    <s v="Joy Daniels"/>
    <x v="0"/>
    <s v="United States"/>
    <x v="11"/>
    <x v="2"/>
    <x v="1"/>
    <s v="TEC-AC-10002718"/>
    <x v="0"/>
    <x v="1"/>
    <s v="Belkin Standard 104 key USB Keyboard"/>
    <n v="35.015999999999998"/>
    <n v="3"/>
    <n v="-2.1884999999999999"/>
    <x v="0"/>
    <x v="0"/>
    <x v="3"/>
    <n v="-6.25E-2"/>
  </r>
  <r>
    <s v="CA-2014-110408"/>
    <x v="265"/>
    <d v="2014-10-20T00:00:00"/>
    <x v="1"/>
    <s v="AS-10225"/>
    <s v="Alan Schoenberger"/>
    <x v="1"/>
    <s v="United States"/>
    <x v="49"/>
    <x v="20"/>
    <x v="3"/>
    <s v="TEC-PH-10002352"/>
    <x v="0"/>
    <x v="0"/>
    <s v="Avaya IP Phone 1140E VoIP phone"/>
    <n v="1394.95"/>
    <n v="5"/>
    <n v="362.68700000000001"/>
    <x v="2"/>
    <x v="0"/>
    <x v="7"/>
    <n v="0.26"/>
  </r>
  <r>
    <s v="CA-2014-122749"/>
    <x v="266"/>
    <d v="2014-12-09T00:00:00"/>
    <x v="0"/>
    <s v="NG-18430"/>
    <s v="Nathan Gelder"/>
    <x v="0"/>
    <s v="United States"/>
    <x v="133"/>
    <x v="11"/>
    <x v="1"/>
    <s v="TEC-PH-10003811"/>
    <x v="0"/>
    <x v="0"/>
    <s v="Jabra Supreme Plus Driver Edition Headset"/>
    <n v="479.96"/>
    <n v="4"/>
    <n v="134.3888"/>
    <x v="3"/>
    <x v="0"/>
    <x v="3"/>
    <n v="0.28000000000000003"/>
  </r>
  <r>
    <s v="CA-2016-147417"/>
    <x v="267"/>
    <d v="2016-07-27T00:00:00"/>
    <x v="2"/>
    <s v="CB-12415"/>
    <s v="Christy Brittain"/>
    <x v="0"/>
    <s v="United States"/>
    <x v="16"/>
    <x v="9"/>
    <x v="2"/>
    <s v="TEC-CO-10001449"/>
    <x v="0"/>
    <x v="3"/>
    <s v="Hewlett Packard LaserJet 3310 Copier"/>
    <n v="1439.9760000000001"/>
    <n v="4"/>
    <n v="191.99680000000001"/>
    <x v="2"/>
    <x v="1"/>
    <x v="10"/>
    <n v="0.133333333333333"/>
  </r>
  <r>
    <s v="CA-2014-131905"/>
    <x v="268"/>
    <d v="2014-02-09T00:00:00"/>
    <x v="2"/>
    <s v="ND-18460"/>
    <s v="Neil Ducich"/>
    <x v="1"/>
    <s v="United States"/>
    <x v="134"/>
    <x v="23"/>
    <x v="3"/>
    <s v="TEC-PH-10003645"/>
    <x v="0"/>
    <x v="0"/>
    <s v="Aastra 57i VoIP phone"/>
    <n v="161.61000000000001"/>
    <n v="1"/>
    <n v="42.018599999999999"/>
    <x v="6"/>
    <x v="0"/>
    <x v="8"/>
    <n v="0.26"/>
  </r>
  <r>
    <s v="CA-2014-131905"/>
    <x v="268"/>
    <d v="2014-02-09T00:00:00"/>
    <x v="2"/>
    <s v="ND-18460"/>
    <s v="Neil Ducich"/>
    <x v="1"/>
    <s v="United States"/>
    <x v="134"/>
    <x v="23"/>
    <x v="3"/>
    <s v="TEC-PH-10001615"/>
    <x v="0"/>
    <x v="0"/>
    <s v="AT&amp;T CL82213"/>
    <n v="144.94999999999999"/>
    <n v="5"/>
    <n v="42.035499999999999"/>
    <x v="6"/>
    <x v="0"/>
    <x v="8"/>
    <n v="0.28999999999999998"/>
  </r>
  <r>
    <s v="CA-2017-166128"/>
    <x v="269"/>
    <d v="2017-04-18T00:00:00"/>
    <x v="0"/>
    <s v="LW-17215"/>
    <s v="Luke Weiss"/>
    <x v="0"/>
    <s v="United States"/>
    <x v="81"/>
    <x v="0"/>
    <x v="0"/>
    <s v="TEC-AC-10001767"/>
    <x v="0"/>
    <x v="1"/>
    <s v="SanDisk Ultra 64 GB MicroSDHC Class 10 Memory Card"/>
    <n v="199.95"/>
    <n v="5"/>
    <n v="21.994499999999999"/>
    <x v="5"/>
    <x v="3"/>
    <x v="9"/>
    <n v="0.11"/>
  </r>
  <r>
    <s v="CA-2014-111150"/>
    <x v="270"/>
    <d v="2015-01-04T00:00:00"/>
    <x v="0"/>
    <s v="RW-19630"/>
    <s v="Rob Williams"/>
    <x v="1"/>
    <s v="United States"/>
    <x v="135"/>
    <x v="18"/>
    <x v="1"/>
    <s v="TEC-AC-10000290"/>
    <x v="0"/>
    <x v="1"/>
    <s v="Sabrent 4-Port USB 2.0 Hub"/>
    <n v="47.53"/>
    <n v="7"/>
    <n v="16.1602"/>
    <x v="1"/>
    <x v="0"/>
    <x v="3"/>
    <n v="0.34"/>
  </r>
  <r>
    <s v="CA-2015-155761"/>
    <x v="271"/>
    <d v="2015-12-11T00:00:00"/>
    <x v="3"/>
    <s v="SC-20800"/>
    <s v="Stuart Calhoun"/>
    <x v="0"/>
    <s v="United States"/>
    <x v="3"/>
    <x v="1"/>
    <x v="1"/>
    <s v="TEC-AC-10001606"/>
    <x v="0"/>
    <x v="1"/>
    <s v="Logitech Wireless Performance Mouse MX for PC and Mac"/>
    <n v="159.98400000000001"/>
    <n v="2"/>
    <n v="35.996400000000001"/>
    <x v="7"/>
    <x v="2"/>
    <x v="3"/>
    <n v="0.22500000000000001"/>
  </r>
  <r>
    <s v="CA-2016-131835"/>
    <x v="272"/>
    <d v="2016-07-21T00:00:00"/>
    <x v="0"/>
    <s v="MC-17590"/>
    <s v="Matt Collister"/>
    <x v="1"/>
    <s v="United States"/>
    <x v="136"/>
    <x v="26"/>
    <x v="2"/>
    <s v="TEC-PH-10001760"/>
    <x v="0"/>
    <x v="0"/>
    <s v="Bose SoundLink Bluetooth Speaker"/>
    <n v="597"/>
    <n v="3"/>
    <n v="280.58999999999997"/>
    <x v="1"/>
    <x v="1"/>
    <x v="10"/>
    <n v="0.47"/>
  </r>
  <r>
    <s v="CA-2017-120376"/>
    <x v="273"/>
    <d v="2017-12-25T00:00:00"/>
    <x v="2"/>
    <s v="TP-21130"/>
    <s v="Theone Pippenger"/>
    <x v="0"/>
    <s v="United States"/>
    <x v="77"/>
    <x v="14"/>
    <x v="1"/>
    <s v="TEC-AC-10001114"/>
    <x v="0"/>
    <x v="1"/>
    <s v="Microsoft Wireless Mobile Mouse 4000"/>
    <n v="199.95"/>
    <n v="5"/>
    <n v="63.984000000000002"/>
    <x v="6"/>
    <x v="3"/>
    <x v="3"/>
    <n v="0.32"/>
  </r>
  <r>
    <s v="CA-2017-120376"/>
    <x v="273"/>
    <d v="2017-12-25T00:00:00"/>
    <x v="2"/>
    <s v="TP-21130"/>
    <s v="Theone Pippenger"/>
    <x v="0"/>
    <s v="United States"/>
    <x v="77"/>
    <x v="14"/>
    <x v="1"/>
    <s v="TEC-AC-10000844"/>
    <x v="0"/>
    <x v="1"/>
    <s v="Logitech Gaming G510s - Keyboard"/>
    <n v="84.99"/>
    <n v="1"/>
    <n v="30.596399999999999"/>
    <x v="6"/>
    <x v="3"/>
    <x v="3"/>
    <n v="0.36"/>
  </r>
  <r>
    <s v="CA-2014-106439"/>
    <x v="274"/>
    <d v="2014-11-04T00:00:00"/>
    <x v="0"/>
    <s v="GG-14650"/>
    <s v="Greg Guthrie"/>
    <x v="1"/>
    <s v="United States"/>
    <x v="0"/>
    <x v="0"/>
    <x v="0"/>
    <s v="TEC-AC-10004568"/>
    <x v="0"/>
    <x v="1"/>
    <s v="Maxell LTO Ultrium - 800 GB"/>
    <n v="251.91"/>
    <n v="9"/>
    <n v="47.862900000000003"/>
    <x v="1"/>
    <x v="0"/>
    <x v="7"/>
    <n v="0.19"/>
  </r>
  <r>
    <s v="CA-2015-133452"/>
    <x v="275"/>
    <d v="2015-04-19T00:00:00"/>
    <x v="0"/>
    <s v="ZC-21910"/>
    <s v="Zuschuss Carroll"/>
    <x v="0"/>
    <s v="United States"/>
    <x v="137"/>
    <x v="0"/>
    <x v="0"/>
    <s v="TEC-AC-10002800"/>
    <x v="0"/>
    <x v="1"/>
    <s v="Plantronics Audio 478 Stereo USB Headset"/>
    <n v="199.96"/>
    <n v="4"/>
    <n v="69.986000000000004"/>
    <x v="3"/>
    <x v="2"/>
    <x v="9"/>
    <n v="0.35"/>
  </r>
  <r>
    <s v="CA-2017-122504"/>
    <x v="276"/>
    <d v="2017-11-12T00:00:00"/>
    <x v="1"/>
    <s v="DB-13270"/>
    <s v="Deborah Brumfield"/>
    <x v="2"/>
    <s v="United States"/>
    <x v="31"/>
    <x v="0"/>
    <x v="0"/>
    <s v="TEC-AC-10003289"/>
    <x v="0"/>
    <x v="1"/>
    <s v="Anker Ultra-Slim Mini Bluetooth 3.0 Wireless Keyboard"/>
    <n v="59.97"/>
    <n v="3"/>
    <n v="13.793100000000001"/>
    <x v="0"/>
    <x v="3"/>
    <x v="6"/>
    <n v="0.23"/>
  </r>
  <r>
    <s v="CA-2017-122504"/>
    <x v="276"/>
    <d v="2017-11-12T00:00:00"/>
    <x v="1"/>
    <s v="DB-13270"/>
    <s v="Deborah Brumfield"/>
    <x v="2"/>
    <s v="United States"/>
    <x v="31"/>
    <x v="0"/>
    <x v="0"/>
    <s v="TEC-PH-10002468"/>
    <x v="0"/>
    <x v="0"/>
    <s v="Plantronics CS 50-USB - headset - Convertible, Monaural"/>
    <n v="761.54399999999998"/>
    <n v="7"/>
    <n v="66.635099999999994"/>
    <x v="0"/>
    <x v="3"/>
    <x v="6"/>
    <n v="8.7499999999999994E-2"/>
  </r>
  <r>
    <s v="CA-2015-120103"/>
    <x v="33"/>
    <d v="2015-12-29T00:00:00"/>
    <x v="0"/>
    <s v="MS-17365"/>
    <s v="Maribeth Schnelling"/>
    <x v="0"/>
    <s v="United States"/>
    <x v="80"/>
    <x v="6"/>
    <x v="0"/>
    <s v="TEC-PH-10002170"/>
    <x v="0"/>
    <x v="0"/>
    <s v="ClearSounds CSC500 Amplified Spirit Phone Corded phone"/>
    <n v="111.98399999999999"/>
    <n v="2"/>
    <n v="11.198399999999999"/>
    <x v="0"/>
    <x v="2"/>
    <x v="3"/>
    <n v="0.1"/>
  </r>
  <r>
    <s v="CA-2017-124401"/>
    <x v="277"/>
    <d v="2017-09-12T00:00:00"/>
    <x v="0"/>
    <s v="RD-19900"/>
    <s v="Ruben Dartt"/>
    <x v="0"/>
    <s v="United States"/>
    <x v="32"/>
    <x v="16"/>
    <x v="0"/>
    <s v="TEC-AC-10002926"/>
    <x v="0"/>
    <x v="1"/>
    <s v="Logitech Wireless Marathon Mouse M705"/>
    <n v="279.94400000000002"/>
    <n v="7"/>
    <n v="80.483900000000006"/>
    <x v="0"/>
    <x v="3"/>
    <x v="4"/>
    <n v="0.28749999999999998"/>
  </r>
  <r>
    <s v="CA-2017-167101"/>
    <x v="278"/>
    <d v="2017-03-28T00:00:00"/>
    <x v="1"/>
    <s v="BM-11650"/>
    <s v="Brian Moss"/>
    <x v="1"/>
    <s v="United States"/>
    <x v="7"/>
    <x v="5"/>
    <x v="2"/>
    <s v="TEC-AC-10001266"/>
    <x v="0"/>
    <x v="1"/>
    <s v="Memorex Micro Travel Drive 8 GB"/>
    <n v="26"/>
    <n v="2"/>
    <n v="11.7"/>
    <x v="1"/>
    <x v="3"/>
    <x v="5"/>
    <n v="0.45"/>
  </r>
  <r>
    <s v="CA-2015-164882"/>
    <x v="279"/>
    <d v="2015-10-31T00:00:00"/>
    <x v="3"/>
    <s v="SG-20080"/>
    <s v="Sandra Glassco"/>
    <x v="0"/>
    <s v="United States"/>
    <x v="138"/>
    <x v="0"/>
    <x v="0"/>
    <s v="TEC-PH-10001578"/>
    <x v="0"/>
    <x v="0"/>
    <s v="Polycom SoundStation2 EX Conference phone"/>
    <n v="1295.8399999999999"/>
    <n v="4"/>
    <n v="145.78200000000001"/>
    <x v="7"/>
    <x v="2"/>
    <x v="7"/>
    <n v="0.1125"/>
  </r>
  <r>
    <s v="CA-2017-144862"/>
    <x v="29"/>
    <d v="2017-12-05T00:00:00"/>
    <x v="0"/>
    <s v="EH-14005"/>
    <s v="Erica Hernandez"/>
    <x v="2"/>
    <s v="United States"/>
    <x v="20"/>
    <x v="12"/>
    <x v="2"/>
    <s v="TEC-PH-10000923"/>
    <x v="0"/>
    <x v="0"/>
    <s v="Belkin SportFit Armband For iPhone 5s/5c, Fuchsia"/>
    <n v="62.957999999999998"/>
    <n v="7"/>
    <n v="9.4436999999999998"/>
    <x v="1"/>
    <x v="3"/>
    <x v="3"/>
    <n v="0.15"/>
  </r>
  <r>
    <s v="CA-2014-126032"/>
    <x v="280"/>
    <d v="2014-06-28T00:00:00"/>
    <x v="0"/>
    <s v="BS-11665"/>
    <s v="Brian Stugart"/>
    <x v="0"/>
    <s v="United States"/>
    <x v="20"/>
    <x v="12"/>
    <x v="2"/>
    <s v="TEC-AC-10000158"/>
    <x v="0"/>
    <x v="1"/>
    <s v="Sony 64GB Class 10 Micro SDHC R40 Memory Card"/>
    <n v="86.376000000000005"/>
    <n v="3"/>
    <n v="1.0797000000000001"/>
    <x v="0"/>
    <x v="0"/>
    <x v="0"/>
    <n v="1.2500000000000001E-2"/>
  </r>
  <r>
    <s v="CA-2015-122210"/>
    <x v="281"/>
    <d v="2015-12-04T00:00:00"/>
    <x v="0"/>
    <s v="WB-21850"/>
    <s v="William Brown"/>
    <x v="0"/>
    <s v="United States"/>
    <x v="20"/>
    <x v="12"/>
    <x v="2"/>
    <s v="TEC-PH-10002807"/>
    <x v="0"/>
    <x v="0"/>
    <s v="Motorla HX550 Universal Bluetooth Headset"/>
    <n v="94.92"/>
    <n v="4"/>
    <n v="15.82"/>
    <x v="1"/>
    <x v="2"/>
    <x v="6"/>
    <n v="0.16666666666666699"/>
  </r>
  <r>
    <s v="CA-2016-155481"/>
    <x v="51"/>
    <d v="2016-09-05T00:00:00"/>
    <x v="0"/>
    <s v="DK-13225"/>
    <s v="Dean Katz"/>
    <x v="1"/>
    <s v="United States"/>
    <x v="20"/>
    <x v="12"/>
    <x v="2"/>
    <s v="TEC-PH-10002293"/>
    <x v="0"/>
    <x v="0"/>
    <s v="Anker 36W 4-Port USB Wall Charger Travel Power Adapter for iPhone 5s 5c 5"/>
    <n v="23.988"/>
    <n v="2"/>
    <n v="-4.7976000000000001"/>
    <x v="1"/>
    <x v="1"/>
    <x v="4"/>
    <n v="-0.2"/>
  </r>
  <r>
    <s v="CA-2017-102771"/>
    <x v="187"/>
    <d v="2017-04-05T00:00:00"/>
    <x v="0"/>
    <s v="DO-13435"/>
    <s v="Denny Ordway"/>
    <x v="0"/>
    <s v="United States"/>
    <x v="7"/>
    <x v="5"/>
    <x v="2"/>
    <s v="TEC-PH-10001536"/>
    <x v="0"/>
    <x v="0"/>
    <s v="Spigen Samsung Galaxy S5 Case Wallet"/>
    <n v="84.95"/>
    <n v="5"/>
    <n v="22.087"/>
    <x v="0"/>
    <x v="3"/>
    <x v="5"/>
    <n v="0.26"/>
  </r>
  <r>
    <s v="CA-2014-167360"/>
    <x v="282"/>
    <d v="2014-11-29T00:00:00"/>
    <x v="1"/>
    <s v="RB-19435"/>
    <s v="Richard Bierner"/>
    <x v="0"/>
    <s v="United States"/>
    <x v="139"/>
    <x v="18"/>
    <x v="1"/>
    <s v="TEC-AC-10001772"/>
    <x v="0"/>
    <x v="1"/>
    <s v="Memorex Mini Travel Drive 16 GB USB 2.0 Flash Drive"/>
    <n v="111.79"/>
    <n v="7"/>
    <n v="43.598100000000002"/>
    <x v="0"/>
    <x v="0"/>
    <x v="6"/>
    <n v="0.39"/>
  </r>
  <r>
    <s v="CA-2016-154018"/>
    <x v="283"/>
    <d v="2016-10-19T00:00:00"/>
    <x v="0"/>
    <s v="HA-14920"/>
    <s v="Helen Andreada"/>
    <x v="0"/>
    <s v="United States"/>
    <x v="54"/>
    <x v="1"/>
    <x v="1"/>
    <s v="TEC-AC-10002402"/>
    <x v="0"/>
    <x v="1"/>
    <s v="Razer Kraken PRO Over Ear PC and Music Headset"/>
    <n v="191.976"/>
    <n v="3"/>
    <n v="23.997"/>
    <x v="3"/>
    <x v="1"/>
    <x v="7"/>
    <n v="0.125"/>
  </r>
  <r>
    <s v="CA-2017-117870"/>
    <x v="284"/>
    <d v="2017-01-30T00:00:00"/>
    <x v="1"/>
    <s v="JH-15820"/>
    <s v="John Huston"/>
    <x v="0"/>
    <s v="United States"/>
    <x v="117"/>
    <x v="9"/>
    <x v="2"/>
    <s v="TEC-AC-10000927"/>
    <x v="0"/>
    <x v="1"/>
    <s v="Anker Ultrathin Bluetooth Wireless Keyboard Aluminum Cover with Stand "/>
    <n v="71.975999999999999"/>
    <n v="3"/>
    <n v="-8.9969999999999999"/>
    <x v="6"/>
    <x v="3"/>
    <x v="2"/>
    <n v="-0.125"/>
  </r>
  <r>
    <s v="CA-2017-117870"/>
    <x v="284"/>
    <d v="2017-01-30T00:00:00"/>
    <x v="1"/>
    <s v="JH-15820"/>
    <s v="John Huston"/>
    <x v="0"/>
    <s v="United States"/>
    <x v="117"/>
    <x v="9"/>
    <x v="2"/>
    <s v="TEC-PH-10003931"/>
    <x v="0"/>
    <x v="0"/>
    <s v="JBL Micro Wireless Portable Bluetooth Speaker"/>
    <n v="107.982"/>
    <n v="3"/>
    <n v="-26.9955"/>
    <x v="6"/>
    <x v="3"/>
    <x v="2"/>
    <n v="-0.25"/>
  </r>
  <r>
    <s v="CA-2016-128818"/>
    <x v="285"/>
    <d v="2016-05-11T00:00:00"/>
    <x v="0"/>
    <s v="CJ-12010"/>
    <s v="Caroline Jumper"/>
    <x v="0"/>
    <s v="United States"/>
    <x v="7"/>
    <x v="5"/>
    <x v="2"/>
    <s v="TEC-MA-10000488"/>
    <x v="0"/>
    <x v="2"/>
    <s v="Bady BDG101FRU Card Printer"/>
    <n v="3999.95"/>
    <n v="5"/>
    <n v="1159.9855"/>
    <x v="1"/>
    <x v="1"/>
    <x v="11"/>
    <n v="0.28999999999999998"/>
  </r>
  <r>
    <s v="CA-2016-128818"/>
    <x v="285"/>
    <d v="2016-05-11T00:00:00"/>
    <x v="0"/>
    <s v="CJ-12010"/>
    <s v="Caroline Jumper"/>
    <x v="0"/>
    <s v="United States"/>
    <x v="7"/>
    <x v="5"/>
    <x v="2"/>
    <s v="TEC-AC-10001767"/>
    <x v="0"/>
    <x v="1"/>
    <s v="SanDisk Ultra 64 GB MicroSDHC Class 10 Memory Card"/>
    <n v="199.95"/>
    <n v="5"/>
    <n v="21.994499999999999"/>
    <x v="1"/>
    <x v="1"/>
    <x v="11"/>
    <n v="0.11"/>
  </r>
  <r>
    <s v="CA-2016-101378"/>
    <x v="80"/>
    <d v="2016-07-14T00:00:00"/>
    <x v="3"/>
    <s v="RH-19600"/>
    <s v="Rob Haberlin"/>
    <x v="0"/>
    <s v="United States"/>
    <x v="46"/>
    <x v="20"/>
    <x v="3"/>
    <s v="TEC-AC-10002345"/>
    <x v="0"/>
    <x v="1"/>
    <s v="HP Standard 104 key PS/2 Keyboard"/>
    <n v="29"/>
    <n v="2"/>
    <n v="7.25"/>
    <x v="7"/>
    <x v="1"/>
    <x v="10"/>
    <n v="0.25"/>
  </r>
  <r>
    <s v="CA-2017-143063"/>
    <x v="286"/>
    <d v="2017-08-15T00:00:00"/>
    <x v="0"/>
    <s v="IL-15100"/>
    <s v="Ivan Liston"/>
    <x v="0"/>
    <s v="United States"/>
    <x v="16"/>
    <x v="21"/>
    <x v="1"/>
    <s v="TEC-PH-10003645"/>
    <x v="0"/>
    <x v="0"/>
    <s v="Aastra 57i VoIP phone"/>
    <n v="1454.49"/>
    <n v="9"/>
    <n v="378.16739999999999"/>
    <x v="0"/>
    <x v="3"/>
    <x v="1"/>
    <n v="0.26"/>
  </r>
  <r>
    <s v="CA-2016-128412"/>
    <x v="287"/>
    <d v="2016-12-17T00:00:00"/>
    <x v="0"/>
    <s v="AP-10915"/>
    <s v="Arthur Prichep"/>
    <x v="0"/>
    <s v="United States"/>
    <x v="45"/>
    <x v="17"/>
    <x v="0"/>
    <s v="TEC-AC-10003038"/>
    <x v="0"/>
    <x v="1"/>
    <s v="Kingston Digital DataTraveler 16GB USB 2.0"/>
    <n v="44.75"/>
    <n v="5"/>
    <n v="8.5024999999999995"/>
    <x v="5"/>
    <x v="1"/>
    <x v="3"/>
    <n v="0.19"/>
  </r>
  <r>
    <s v="US-2014-165659"/>
    <x v="288"/>
    <d v="2014-06-06T00:00:00"/>
    <x v="0"/>
    <s v="LT-17110"/>
    <s v="Liz Thompson"/>
    <x v="0"/>
    <s v="United States"/>
    <x v="140"/>
    <x v="32"/>
    <x v="3"/>
    <s v="TEC-PH-10002563"/>
    <x v="0"/>
    <x v="0"/>
    <s v="Adtran 1202752G1"/>
    <n v="881.93"/>
    <n v="7"/>
    <n v="229.30179999999999"/>
    <x v="0"/>
    <x v="0"/>
    <x v="0"/>
    <n v="0.26"/>
  </r>
  <r>
    <s v="US-2014-103905"/>
    <x v="289"/>
    <d v="2014-07-20T00:00:00"/>
    <x v="0"/>
    <s v="AW-10930"/>
    <s v="Arthur Wiediger"/>
    <x v="2"/>
    <s v="United States"/>
    <x v="12"/>
    <x v="2"/>
    <x v="1"/>
    <s v="TEC-PH-10001552"/>
    <x v="0"/>
    <x v="0"/>
    <s v="I Need's 3d Hello Kitty Hybrid Silicone Case Cover for HTC One X 4g with 3d Hello Kitty Stylus Pen Green/pink"/>
    <n v="38.271999999999998"/>
    <n v="4"/>
    <n v="3.8271999999999999"/>
    <x v="3"/>
    <x v="0"/>
    <x v="10"/>
    <n v="0.1"/>
  </r>
  <r>
    <s v="CA-2014-125556"/>
    <x v="290"/>
    <d v="2014-11-16T00:00:00"/>
    <x v="1"/>
    <s v="ML-17410"/>
    <s v="Maris LaWare"/>
    <x v="0"/>
    <s v="United States"/>
    <x v="141"/>
    <x v="37"/>
    <x v="2"/>
    <s v="TEC-PH-10001079"/>
    <x v="0"/>
    <x v="0"/>
    <s v="Polycom SoundPoint Pro SE-225 Corded phone"/>
    <n v="832.93"/>
    <n v="7"/>
    <n v="233.22040000000001"/>
    <x v="2"/>
    <x v="0"/>
    <x v="6"/>
    <n v="0.28000000000000003"/>
  </r>
  <r>
    <s v="CA-2017-130841"/>
    <x v="291"/>
    <d v="2017-08-01T00:00:00"/>
    <x v="0"/>
    <s v="MH-17620"/>
    <s v="Matt Hagelstein"/>
    <x v="1"/>
    <s v="United States"/>
    <x v="1"/>
    <x v="0"/>
    <x v="0"/>
    <s v="TEC-PH-10001817"/>
    <x v="0"/>
    <x v="0"/>
    <s v="Wilson Electronics DB Pro Signal Booster"/>
    <n v="1145.5999999999999"/>
    <n v="4"/>
    <n v="100.24"/>
    <x v="1"/>
    <x v="3"/>
    <x v="10"/>
    <n v="8.7499999999999994E-2"/>
  </r>
  <r>
    <s v="CA-2015-131884"/>
    <x v="157"/>
    <d v="2015-12-06T00:00:00"/>
    <x v="3"/>
    <s v="DK-13375"/>
    <s v="Dennis Kane"/>
    <x v="0"/>
    <s v="United States"/>
    <x v="142"/>
    <x v="9"/>
    <x v="2"/>
    <s v="TEC-PH-10001578"/>
    <x v="0"/>
    <x v="0"/>
    <s v="Polycom SoundStation2 EX Conference phone"/>
    <n v="485.94"/>
    <n v="2"/>
    <n v="-89.088999999999999"/>
    <x v="7"/>
    <x v="2"/>
    <x v="3"/>
    <n v="-0.18333333333333299"/>
  </r>
  <r>
    <s v="CA-2017-130771"/>
    <x v="235"/>
    <d v="2017-08-03T00:00:00"/>
    <x v="0"/>
    <s v="LA-16780"/>
    <s v="Laura Armstrong"/>
    <x v="1"/>
    <s v="United States"/>
    <x v="65"/>
    <x v="1"/>
    <x v="1"/>
    <s v="TEC-PH-10002496"/>
    <x v="0"/>
    <x v="0"/>
    <s v="Cisco SPA301"/>
    <n v="124.792"/>
    <n v="1"/>
    <n v="15.599"/>
    <x v="0"/>
    <x v="3"/>
    <x v="10"/>
    <n v="0.125"/>
  </r>
  <r>
    <s v="CA-2015-123232"/>
    <x v="292"/>
    <d v="2015-12-16T00:00:00"/>
    <x v="1"/>
    <s v="DJ-13630"/>
    <s v="Doug Jacobs"/>
    <x v="0"/>
    <s v="United States"/>
    <x v="32"/>
    <x v="16"/>
    <x v="0"/>
    <s v="TEC-PH-10001051"/>
    <x v="0"/>
    <x v="0"/>
    <s v="HTC One"/>
    <n v="319.96800000000002"/>
    <n v="4"/>
    <n v="35.996400000000001"/>
    <x v="2"/>
    <x v="2"/>
    <x v="3"/>
    <n v="0.1125"/>
  </r>
  <r>
    <s v="CA-2017-104066"/>
    <x v="95"/>
    <d v="2017-12-10T00:00:00"/>
    <x v="0"/>
    <s v="QJ-19255"/>
    <s v="Quincy Jones"/>
    <x v="1"/>
    <s v="United States"/>
    <x v="60"/>
    <x v="38"/>
    <x v="2"/>
    <s v="TEC-AC-10001013"/>
    <x v="0"/>
    <x v="1"/>
    <s v="Logitech ClearChat Comfort/USB Headset H390"/>
    <n v="205.03"/>
    <n v="7"/>
    <n v="67.659899999999993"/>
    <x v="0"/>
    <x v="3"/>
    <x v="3"/>
    <n v="0.33"/>
  </r>
  <r>
    <s v="US-2016-126893"/>
    <x v="203"/>
    <d v="2016-12-01T00:00:00"/>
    <x v="0"/>
    <s v="CT-11995"/>
    <s v="Carol Triggs"/>
    <x v="0"/>
    <s v="United States"/>
    <x v="20"/>
    <x v="12"/>
    <x v="2"/>
    <s v="TEC-PH-10004165"/>
    <x v="0"/>
    <x v="0"/>
    <s v="Mitel MiVoice 5330e IP Phone"/>
    <n v="494.98200000000003"/>
    <n v="3"/>
    <n v="-115.4958"/>
    <x v="0"/>
    <x v="1"/>
    <x v="6"/>
    <n v="-0.233333333333333"/>
  </r>
  <r>
    <s v="CA-2017-103380"/>
    <x v="293"/>
    <d v="2017-11-25T00:00:00"/>
    <x v="0"/>
    <s v="BF-11005"/>
    <s v="Barry Franz"/>
    <x v="2"/>
    <s v="United States"/>
    <x v="81"/>
    <x v="0"/>
    <x v="0"/>
    <s v="TEC-PH-10004165"/>
    <x v="0"/>
    <x v="0"/>
    <s v="Mitel MiVoice 5330e IP Phone"/>
    <n v="659.976"/>
    <n v="3"/>
    <n v="49.498199999999997"/>
    <x v="1"/>
    <x v="3"/>
    <x v="6"/>
    <n v="7.4999999999999997E-2"/>
  </r>
  <r>
    <s v="CA-2016-164091"/>
    <x v="13"/>
    <d v="2016-09-22T00:00:00"/>
    <x v="0"/>
    <s v="LA-16780"/>
    <s v="Laura Armstrong"/>
    <x v="1"/>
    <s v="United States"/>
    <x v="143"/>
    <x v="39"/>
    <x v="2"/>
    <s v="TEC-PH-10001944"/>
    <x v="0"/>
    <x v="0"/>
    <s v="Wi-Ex zBoost YX540 Cellular Phone Signal Booster"/>
    <n v="437.85"/>
    <n v="3"/>
    <n v="131.35499999999999"/>
    <x v="0"/>
    <x v="1"/>
    <x v="4"/>
    <n v="0.3"/>
  </r>
  <r>
    <s v="CA-2015-117611"/>
    <x v="294"/>
    <d v="2015-11-10T00:00:00"/>
    <x v="1"/>
    <s v="MZ-17335"/>
    <s v="Maria Zettner"/>
    <x v="2"/>
    <s v="United States"/>
    <x v="30"/>
    <x v="0"/>
    <x v="0"/>
    <s v="TEC-AC-10002049"/>
    <x v="0"/>
    <x v="1"/>
    <s v="Logitech G19 Programmable Gaming Keyboard"/>
    <n v="371.97"/>
    <n v="3"/>
    <n v="66.954599999999999"/>
    <x v="2"/>
    <x v="2"/>
    <x v="6"/>
    <n v="0.18"/>
  </r>
  <r>
    <s v="US-2015-137960"/>
    <x v="295"/>
    <d v="2015-12-18T00:00:00"/>
    <x v="3"/>
    <s v="MW-18220"/>
    <s v="Mitch Webber"/>
    <x v="0"/>
    <s v="United States"/>
    <x v="7"/>
    <x v="5"/>
    <x v="2"/>
    <s v="TEC-AC-10002253"/>
    <x v="0"/>
    <x v="1"/>
    <s v="Imation Bio 8GB USB Flash Drive Imation Corp"/>
    <n v="166.24"/>
    <n v="1"/>
    <n v="24.936"/>
    <x v="7"/>
    <x v="2"/>
    <x v="3"/>
    <n v="0.15"/>
  </r>
  <r>
    <s v="CA-2016-131065"/>
    <x v="296"/>
    <d v="2016-11-16T00:00:00"/>
    <x v="1"/>
    <s v="AA-10375"/>
    <s v="Allen Armold"/>
    <x v="0"/>
    <s v="United States"/>
    <x v="144"/>
    <x v="31"/>
    <x v="3"/>
    <s v="TEC-AC-10004145"/>
    <x v="0"/>
    <x v="1"/>
    <s v="Logitech diNovo Edge Keyboard"/>
    <n v="499.98"/>
    <n v="2"/>
    <n v="114.9954"/>
    <x v="2"/>
    <x v="1"/>
    <x v="6"/>
    <n v="0.23"/>
  </r>
  <r>
    <s v="CA-2015-142944"/>
    <x v="297"/>
    <d v="2015-03-11T00:00:00"/>
    <x v="0"/>
    <s v="JL-15850"/>
    <s v="John Lucas"/>
    <x v="0"/>
    <s v="United States"/>
    <x v="1"/>
    <x v="0"/>
    <x v="0"/>
    <s v="TEC-CO-10003763"/>
    <x v="0"/>
    <x v="3"/>
    <s v="Canon PC1060 Personal Laser Copier"/>
    <n v="1119.9839999999999"/>
    <n v="2"/>
    <n v="377.99459999999999"/>
    <x v="0"/>
    <x v="2"/>
    <x v="5"/>
    <n v="0.33750000000000002"/>
  </r>
  <r>
    <s v="CA-2014-104283"/>
    <x v="298"/>
    <d v="2014-07-01T00:00:00"/>
    <x v="0"/>
    <s v="LM-17065"/>
    <s v="Liz MacKendrick"/>
    <x v="0"/>
    <s v="United States"/>
    <x v="145"/>
    <x v="22"/>
    <x v="3"/>
    <s v="TEC-AC-10000109"/>
    <x v="0"/>
    <x v="1"/>
    <s v="Sony Micro Vault Click 16 GB USB 2.0 Flash Drive"/>
    <n v="223.96"/>
    <n v="4"/>
    <n v="53.750399999999999"/>
    <x v="1"/>
    <x v="0"/>
    <x v="0"/>
    <n v="0.24"/>
  </r>
  <r>
    <s v="CA-2015-153108"/>
    <x v="299"/>
    <d v="2015-03-09T00:00:00"/>
    <x v="0"/>
    <s v="SF-20200"/>
    <s v="Sarah Foster"/>
    <x v="0"/>
    <s v="United States"/>
    <x v="146"/>
    <x v="21"/>
    <x v="1"/>
    <s v="TEC-PH-10001552"/>
    <x v="0"/>
    <x v="0"/>
    <s v="I Need's 3d Hello Kitty Hybrid Silicone Case Cover for HTC One X 4g with 3d Hello Kitty Stylus Pen Green/pink"/>
    <n v="23.92"/>
    <n v="2"/>
    <n v="6.6976000000000004"/>
    <x v="1"/>
    <x v="2"/>
    <x v="5"/>
    <n v="0.28000000000000003"/>
  </r>
  <r>
    <s v="CA-2015-149342"/>
    <x v="300"/>
    <d v="2015-04-25T00:00:00"/>
    <x v="0"/>
    <s v="TS-21160"/>
    <s v="Theresa Swint"/>
    <x v="1"/>
    <s v="United States"/>
    <x v="16"/>
    <x v="31"/>
    <x v="3"/>
    <s v="TEC-PH-10001557"/>
    <x v="0"/>
    <x v="0"/>
    <s v="Pyle PMP37LED"/>
    <n v="287.97000000000003"/>
    <n v="3"/>
    <n v="77.751900000000006"/>
    <x v="0"/>
    <x v="2"/>
    <x v="9"/>
    <n v="0.27"/>
  </r>
  <r>
    <s v="CA-2015-130995"/>
    <x v="224"/>
    <d v="2015-11-06T00:00:00"/>
    <x v="0"/>
    <s v="QJ-19255"/>
    <s v="Quincy Jones"/>
    <x v="1"/>
    <s v="United States"/>
    <x v="7"/>
    <x v="5"/>
    <x v="2"/>
    <s v="TEC-PH-10000347"/>
    <x v="0"/>
    <x v="0"/>
    <s v="Cush Cases Heavy Duty Rugged Cover Case for Samsung Galaxy S5 - Purple"/>
    <n v="4.95"/>
    <n v="1"/>
    <n v="1.3365"/>
    <x v="0"/>
    <x v="2"/>
    <x v="6"/>
    <n v="0.27"/>
  </r>
  <r>
    <s v="CA-2015-113145"/>
    <x v="224"/>
    <d v="2015-11-05T00:00:00"/>
    <x v="0"/>
    <s v="VD-21670"/>
    <s v="Valerie Dominguez"/>
    <x v="0"/>
    <s v="United States"/>
    <x v="7"/>
    <x v="5"/>
    <x v="2"/>
    <s v="TEC-PH-10001527"/>
    <x v="0"/>
    <x v="0"/>
    <s v="Plantronics MX500i Earset"/>
    <n v="42.95"/>
    <n v="1"/>
    <n v="1.2885"/>
    <x v="1"/>
    <x v="2"/>
    <x v="6"/>
    <n v="0.03"/>
  </r>
  <r>
    <s v="CA-2015-113145"/>
    <x v="224"/>
    <d v="2015-11-05T00:00:00"/>
    <x v="0"/>
    <s v="VD-21670"/>
    <s v="Valerie Dominguez"/>
    <x v="0"/>
    <s v="United States"/>
    <x v="7"/>
    <x v="5"/>
    <x v="2"/>
    <s v="TEC-AC-10001838"/>
    <x v="0"/>
    <x v="1"/>
    <s v="Razer Tiamat Over Ear 7.1 Surround Sound PC Gaming Headset"/>
    <n v="1399.93"/>
    <n v="7"/>
    <n v="601.96990000000005"/>
    <x v="1"/>
    <x v="2"/>
    <x v="6"/>
    <n v="0.43"/>
  </r>
  <r>
    <s v="CA-2015-113145"/>
    <x v="224"/>
    <d v="2015-11-05T00:00:00"/>
    <x v="0"/>
    <s v="VD-21670"/>
    <s v="Valerie Dominguez"/>
    <x v="0"/>
    <s v="United States"/>
    <x v="7"/>
    <x v="5"/>
    <x v="2"/>
    <s v="TEC-PH-10002597"/>
    <x v="0"/>
    <x v="0"/>
    <s v="Xblue XB-1670-86 X16 Small Office Telephone - Titanium"/>
    <n v="503.96"/>
    <n v="4"/>
    <n v="125.99"/>
    <x v="1"/>
    <x v="2"/>
    <x v="6"/>
    <n v="0.25"/>
  </r>
  <r>
    <s v="CA-2016-106558"/>
    <x v="126"/>
    <d v="2016-01-21T00:00:00"/>
    <x v="0"/>
    <s v="DL-13495"/>
    <s v="Dionis Lloyd"/>
    <x v="1"/>
    <s v="United States"/>
    <x v="16"/>
    <x v="31"/>
    <x v="3"/>
    <s v="TEC-AC-10001142"/>
    <x v="0"/>
    <x v="1"/>
    <s v="First Data FD10 PIN Pad"/>
    <n v="316"/>
    <n v="4"/>
    <n v="31.6"/>
    <x v="1"/>
    <x v="1"/>
    <x v="2"/>
    <n v="0.1"/>
  </r>
  <r>
    <s v="CA-2017-116225"/>
    <x v="134"/>
    <d v="2017-11-09T00:00:00"/>
    <x v="0"/>
    <s v="SV-20935"/>
    <s v="Susan Vittorini"/>
    <x v="0"/>
    <s v="United States"/>
    <x v="7"/>
    <x v="5"/>
    <x v="2"/>
    <s v="TEC-AC-10001432"/>
    <x v="0"/>
    <x v="1"/>
    <s v="Enermax Aurora Lite Keyboard"/>
    <n v="390.75"/>
    <n v="5"/>
    <n v="171.93"/>
    <x v="1"/>
    <x v="3"/>
    <x v="6"/>
    <n v="0.44"/>
  </r>
  <r>
    <s v="CA-2017-122035"/>
    <x v="301"/>
    <d v="2017-07-25T00:00:00"/>
    <x v="0"/>
    <s v="EM-13825"/>
    <s v="Elizabeth Moffitt"/>
    <x v="1"/>
    <s v="United States"/>
    <x v="147"/>
    <x v="40"/>
    <x v="1"/>
    <s v="TEC-AC-10003095"/>
    <x v="0"/>
    <x v="1"/>
    <s v="Logitech G35 7.1-Channel Surround Sound Headset"/>
    <n v="389.97"/>
    <n v="3"/>
    <n v="132.5898"/>
    <x v="0"/>
    <x v="3"/>
    <x v="10"/>
    <n v="0.34"/>
  </r>
  <r>
    <s v="CA-2017-165491"/>
    <x v="302"/>
    <d v="2017-03-24T00:00:00"/>
    <x v="0"/>
    <s v="HW-14935"/>
    <s v="Helen Wasserman"/>
    <x v="1"/>
    <s v="United States"/>
    <x v="45"/>
    <x v="17"/>
    <x v="0"/>
    <s v="TEC-AC-10000358"/>
    <x v="0"/>
    <x v="1"/>
    <s v="Imation Secure Drive + Hardware Encrypted USB flash drive - 16 GB"/>
    <n v="265.93"/>
    <n v="7"/>
    <n v="63.8232"/>
    <x v="1"/>
    <x v="3"/>
    <x v="5"/>
    <n v="0.24"/>
  </r>
  <r>
    <s v="US-2014-143231"/>
    <x v="270"/>
    <d v="2015-01-03T00:00:00"/>
    <x v="2"/>
    <s v="GM-14455"/>
    <s v="Gary Mitchum"/>
    <x v="2"/>
    <s v="United States"/>
    <x v="17"/>
    <x v="35"/>
    <x v="2"/>
    <s v="TEC-AC-10000358"/>
    <x v="0"/>
    <x v="1"/>
    <s v="Imation Secure Drive + Hardware Encrypted USB flash drive - 16 GB"/>
    <n v="113.97"/>
    <n v="3"/>
    <n v="27.352799999999998"/>
    <x v="6"/>
    <x v="0"/>
    <x v="3"/>
    <n v="0.24"/>
  </r>
  <r>
    <s v="CA-2015-111514"/>
    <x v="303"/>
    <d v="2015-09-02T00:00:00"/>
    <x v="2"/>
    <s v="SC-20260"/>
    <s v="Scott Cohen"/>
    <x v="1"/>
    <s v="United States"/>
    <x v="1"/>
    <x v="0"/>
    <x v="0"/>
    <s v="TEC-AC-10004864"/>
    <x v="0"/>
    <x v="1"/>
    <s v="Memorex Micro Travel Drive 32 GB"/>
    <n v="36.51"/>
    <n v="1"/>
    <n v="15.699299999999999"/>
    <x v="2"/>
    <x v="2"/>
    <x v="1"/>
    <n v="0.43"/>
  </r>
  <r>
    <s v="CA-2015-111514"/>
    <x v="303"/>
    <d v="2015-09-02T00:00:00"/>
    <x v="2"/>
    <s v="SC-20260"/>
    <s v="Scott Cohen"/>
    <x v="1"/>
    <s v="United States"/>
    <x v="1"/>
    <x v="0"/>
    <x v="0"/>
    <s v="TEC-MA-10000597"/>
    <x v="0"/>
    <x v="2"/>
    <s v="Lexmark S315 Color Inkjet Printer"/>
    <n v="239.976"/>
    <n v="3"/>
    <n v="80.991900000000001"/>
    <x v="2"/>
    <x v="2"/>
    <x v="1"/>
    <n v="0.33750000000000002"/>
  </r>
  <r>
    <s v="CA-2017-155152"/>
    <x v="304"/>
    <d v="2017-07-09T00:00:00"/>
    <x v="1"/>
    <s v="MP-17965"/>
    <s v="Michael Paige"/>
    <x v="1"/>
    <s v="United States"/>
    <x v="148"/>
    <x v="41"/>
    <x v="2"/>
    <s v="TEC-AC-10004353"/>
    <x v="0"/>
    <x v="1"/>
    <s v="Hypercom P1300 Pinpad"/>
    <n v="252"/>
    <n v="4"/>
    <n v="93.24"/>
    <x v="2"/>
    <x v="3"/>
    <x v="10"/>
    <n v="0.37"/>
  </r>
  <r>
    <s v="US-2017-117534"/>
    <x v="251"/>
    <d v="2017-03-26T00:00:00"/>
    <x v="2"/>
    <s v="CV-12295"/>
    <s v="Christina VanderZanden"/>
    <x v="0"/>
    <s v="United States"/>
    <x v="149"/>
    <x v="0"/>
    <x v="0"/>
    <s v="TEC-PH-10000141"/>
    <x v="0"/>
    <x v="0"/>
    <s v="Clearsounds A400"/>
    <n v="211.16800000000001"/>
    <n v="4"/>
    <n v="15.8376"/>
    <x v="4"/>
    <x v="3"/>
    <x v="5"/>
    <n v="7.4999999999999997E-2"/>
  </r>
  <r>
    <s v="US-2017-117534"/>
    <x v="251"/>
    <d v="2017-03-26T00:00:00"/>
    <x v="2"/>
    <s v="CV-12295"/>
    <s v="Christina VanderZanden"/>
    <x v="0"/>
    <s v="United States"/>
    <x v="149"/>
    <x v="0"/>
    <x v="0"/>
    <s v="TEC-CO-10000971"/>
    <x v="0"/>
    <x v="3"/>
    <s v="Hewlett Packard 310 Color Digital Copier"/>
    <n v="479.98399999999998"/>
    <n v="2"/>
    <n v="59.997999999999998"/>
    <x v="4"/>
    <x v="3"/>
    <x v="5"/>
    <n v="0.125"/>
  </r>
  <r>
    <s v="US-2015-127040"/>
    <x v="157"/>
    <d v="2015-12-10T00:00:00"/>
    <x v="0"/>
    <s v="SG-20605"/>
    <s v="Speros Goranitis"/>
    <x v="0"/>
    <s v="United States"/>
    <x v="7"/>
    <x v="5"/>
    <x v="2"/>
    <s v="TEC-AC-10002637"/>
    <x v="0"/>
    <x v="1"/>
    <s v="Logitech VX Revolution Cordless Laser Mouse for Notebooks (Black)"/>
    <n v="1619.91"/>
    <n v="9"/>
    <n v="97.194599999999994"/>
    <x v="1"/>
    <x v="2"/>
    <x v="3"/>
    <n v="0.06"/>
  </r>
  <r>
    <s v="CA-2015-137897"/>
    <x v="305"/>
    <d v="2015-11-19T00:00:00"/>
    <x v="0"/>
    <s v="PJ-18835"/>
    <s v="Patrick Jones"/>
    <x v="1"/>
    <s v="United States"/>
    <x v="7"/>
    <x v="5"/>
    <x v="2"/>
    <s v="TEC-AC-10002217"/>
    <x v="0"/>
    <x v="1"/>
    <s v="Imation Clip USB flash drive - 8 GB"/>
    <n v="37.6"/>
    <n v="2"/>
    <n v="2.2559999999999998"/>
    <x v="0"/>
    <x v="2"/>
    <x v="6"/>
    <n v="0.06"/>
  </r>
  <r>
    <s v="CA-2015-137897"/>
    <x v="305"/>
    <d v="2015-11-19T00:00:00"/>
    <x v="0"/>
    <s v="PJ-18835"/>
    <s v="Patrick Jones"/>
    <x v="1"/>
    <s v="United States"/>
    <x v="7"/>
    <x v="5"/>
    <x v="2"/>
    <s v="TEC-AC-10001267"/>
    <x v="0"/>
    <x v="1"/>
    <s v="Imation 32GB Pocket Pro USB 3.0 Flash Drive - 32 GB - Black - 1 P ..."/>
    <n v="59.9"/>
    <n v="2"/>
    <n v="23.96"/>
    <x v="0"/>
    <x v="2"/>
    <x v="6"/>
    <n v="0.4"/>
  </r>
  <r>
    <s v="CA-2017-108574"/>
    <x v="306"/>
    <d v="2017-10-11T00:00:00"/>
    <x v="0"/>
    <s v="MG-18145"/>
    <s v="Mike Gockenbach"/>
    <x v="0"/>
    <s v="United States"/>
    <x v="0"/>
    <x v="0"/>
    <x v="0"/>
    <s v="TEC-AC-10002049"/>
    <x v="0"/>
    <x v="1"/>
    <s v="Logitech G19 Programmable Gaming Keyboard"/>
    <n v="1115.9100000000001"/>
    <n v="9"/>
    <n v="200.8638"/>
    <x v="1"/>
    <x v="3"/>
    <x v="7"/>
    <n v="0.18"/>
  </r>
  <r>
    <s v="CA-2017-108574"/>
    <x v="306"/>
    <d v="2017-10-11T00:00:00"/>
    <x v="0"/>
    <s v="MG-18145"/>
    <s v="Mike Gockenbach"/>
    <x v="0"/>
    <s v="United States"/>
    <x v="0"/>
    <x v="0"/>
    <x v="0"/>
    <s v="TEC-PH-10003555"/>
    <x v="0"/>
    <x v="0"/>
    <s v="Motorola HK250 Universal Bluetooth Headset"/>
    <n v="128.744"/>
    <n v="7"/>
    <n v="-28.967400000000001"/>
    <x v="1"/>
    <x v="3"/>
    <x v="7"/>
    <n v="-0.22500000000000001"/>
  </r>
  <r>
    <s v="CA-2017-108574"/>
    <x v="306"/>
    <d v="2017-10-11T00:00:00"/>
    <x v="0"/>
    <s v="MG-18145"/>
    <s v="Mike Gockenbach"/>
    <x v="0"/>
    <s v="United States"/>
    <x v="0"/>
    <x v="0"/>
    <x v="0"/>
    <s v="TEC-PH-10000702"/>
    <x v="0"/>
    <x v="0"/>
    <s v="Square Credit Card Reader, 4 1/2&quot; x 4 1/2&quot; x 1&quot;, White"/>
    <n v="79.92"/>
    <n v="10"/>
    <n v="26.972999999999999"/>
    <x v="1"/>
    <x v="3"/>
    <x v="7"/>
    <n v="0.33750000000000002"/>
  </r>
  <r>
    <s v="CA-2017-144589"/>
    <x v="226"/>
    <d v="2017-01-25T00:00:00"/>
    <x v="0"/>
    <s v="TM-21010"/>
    <s v="Tamara Manning"/>
    <x v="0"/>
    <s v="United States"/>
    <x v="1"/>
    <x v="0"/>
    <x v="0"/>
    <s v="TEC-PH-10003072"/>
    <x v="0"/>
    <x v="0"/>
    <s v="Panasonic KX-TG9541B DECT 6.0 Digital 2-Line Expandable Cordless Phone With Digital Answering System"/>
    <n v="359.976"/>
    <n v="3"/>
    <n v="130.4913"/>
    <x v="0"/>
    <x v="3"/>
    <x v="2"/>
    <n v="0.36249999999999999"/>
  </r>
  <r>
    <s v="CA-2017-168655"/>
    <x v="307"/>
    <d v="2017-10-18T00:00:00"/>
    <x v="0"/>
    <s v="ML-18040"/>
    <s v="Michelle Lonsdale"/>
    <x v="1"/>
    <s v="United States"/>
    <x v="150"/>
    <x v="29"/>
    <x v="0"/>
    <s v="TEC-AC-10002842"/>
    <x v="0"/>
    <x v="1"/>
    <s v="WD My Passport Ultra 2TB Portable External Hard Drive"/>
    <n v="595"/>
    <n v="5"/>
    <n v="95.2"/>
    <x v="3"/>
    <x v="3"/>
    <x v="7"/>
    <n v="0.16"/>
  </r>
  <r>
    <s v="CA-2016-107202"/>
    <x v="77"/>
    <d v="2016-05-28T00:00:00"/>
    <x v="0"/>
    <s v="LC-16930"/>
    <s v="Linda Cazamias"/>
    <x v="1"/>
    <s v="United States"/>
    <x v="151"/>
    <x v="36"/>
    <x v="0"/>
    <s v="TEC-MA-10000112"/>
    <x v="0"/>
    <x v="2"/>
    <s v="Panasonic KX MB2061 Multifunction Printer"/>
    <n v="2396.4"/>
    <n v="10"/>
    <n v="179.73"/>
    <x v="5"/>
    <x v="1"/>
    <x v="11"/>
    <n v="7.4999999999999997E-2"/>
  </r>
  <r>
    <s v="CA-2017-159597"/>
    <x v="308"/>
    <d v="2017-11-14T00:00:00"/>
    <x v="0"/>
    <s v="MC-17590"/>
    <s v="Matt Collister"/>
    <x v="1"/>
    <s v="United States"/>
    <x v="152"/>
    <x v="0"/>
    <x v="0"/>
    <s v="TEC-AC-10004171"/>
    <x v="0"/>
    <x v="1"/>
    <s v="Razer Kraken 7.1 Surround Sound Over Ear USB Gaming Headset"/>
    <n v="99.99"/>
    <n v="1"/>
    <n v="43.995600000000003"/>
    <x v="0"/>
    <x v="3"/>
    <x v="6"/>
    <n v="0.44"/>
  </r>
  <r>
    <s v="US-2017-147669"/>
    <x v="309"/>
    <d v="2017-12-30T00:00:00"/>
    <x v="0"/>
    <s v="SV-20935"/>
    <s v="Susan Vittorini"/>
    <x v="0"/>
    <s v="United States"/>
    <x v="141"/>
    <x v="9"/>
    <x v="2"/>
    <s v="TEC-AC-10002473"/>
    <x v="0"/>
    <x v="1"/>
    <s v="Maxell 4.7GB DVD-R"/>
    <n v="158.928"/>
    <n v="7"/>
    <n v="41.718600000000002"/>
    <x v="0"/>
    <x v="3"/>
    <x v="3"/>
    <n v="0.26250000000000001"/>
  </r>
  <r>
    <s v="US-2017-112613"/>
    <x v="310"/>
    <d v="2017-06-01T00:00:00"/>
    <x v="0"/>
    <s v="JH-15910"/>
    <s v="Jonathan Howell"/>
    <x v="0"/>
    <s v="United States"/>
    <x v="3"/>
    <x v="1"/>
    <x v="1"/>
    <s v="TEC-PH-10001536"/>
    <x v="0"/>
    <x v="0"/>
    <s v="Spigen Samsung Galaxy S5 Case Wallet"/>
    <n v="54.368000000000002"/>
    <n v="4"/>
    <n v="4.0776000000000003"/>
    <x v="1"/>
    <x v="3"/>
    <x v="11"/>
    <n v="7.4999999999999997E-2"/>
  </r>
  <r>
    <s v="CA-2016-146934"/>
    <x v="311"/>
    <d v="2016-05-27T00:00:00"/>
    <x v="0"/>
    <s v="AF-10870"/>
    <s v="Art Ferguson"/>
    <x v="0"/>
    <s v="United States"/>
    <x v="153"/>
    <x v="26"/>
    <x v="2"/>
    <s v="TEC-PH-10004614"/>
    <x v="0"/>
    <x v="0"/>
    <s v="AT&amp;T 841000 Phone"/>
    <n v="345"/>
    <n v="5"/>
    <n v="86.25"/>
    <x v="0"/>
    <x v="1"/>
    <x v="11"/>
    <n v="0.25"/>
  </r>
  <r>
    <s v="CA-2016-146934"/>
    <x v="311"/>
    <d v="2016-05-27T00:00:00"/>
    <x v="0"/>
    <s v="AF-10870"/>
    <s v="Art Ferguson"/>
    <x v="0"/>
    <s v="United States"/>
    <x v="153"/>
    <x v="26"/>
    <x v="2"/>
    <s v="TEC-AC-10002399"/>
    <x v="0"/>
    <x v="1"/>
    <s v="SanDisk Cruzer 32 GB USB Flash Drive"/>
    <n v="95.1"/>
    <n v="5"/>
    <n v="30.431999999999999"/>
    <x v="0"/>
    <x v="1"/>
    <x v="11"/>
    <n v="0.32"/>
  </r>
  <r>
    <s v="CA-2016-146934"/>
    <x v="311"/>
    <d v="2016-05-27T00:00:00"/>
    <x v="0"/>
    <s v="AF-10870"/>
    <s v="Art Ferguson"/>
    <x v="0"/>
    <s v="United States"/>
    <x v="153"/>
    <x v="26"/>
    <x v="2"/>
    <s v="TEC-PH-10001336"/>
    <x v="0"/>
    <x v="0"/>
    <s v="Digium D40 VoIP phone"/>
    <n v="257.98"/>
    <n v="2"/>
    <n v="74.8142"/>
    <x v="0"/>
    <x v="1"/>
    <x v="11"/>
    <n v="0.28999999999999998"/>
  </r>
  <r>
    <s v="CA-2017-140949"/>
    <x v="312"/>
    <d v="2017-03-22T00:00:00"/>
    <x v="1"/>
    <s v="DB-13405"/>
    <s v="Denny Blanton"/>
    <x v="0"/>
    <s v="United States"/>
    <x v="7"/>
    <x v="5"/>
    <x v="2"/>
    <s v="TEC-PH-10000149"/>
    <x v="0"/>
    <x v="0"/>
    <s v="Cisco SPA525G2 IP Phone - Wireless"/>
    <n v="119.7"/>
    <n v="6"/>
    <n v="31.122"/>
    <x v="0"/>
    <x v="3"/>
    <x v="5"/>
    <n v="0.26"/>
  </r>
  <r>
    <s v="CA-2017-140949"/>
    <x v="312"/>
    <d v="2017-03-22T00:00:00"/>
    <x v="1"/>
    <s v="DB-13405"/>
    <s v="Denny Blanton"/>
    <x v="0"/>
    <s v="United States"/>
    <x v="7"/>
    <x v="5"/>
    <x v="2"/>
    <s v="TEC-AC-10002399"/>
    <x v="0"/>
    <x v="1"/>
    <s v="SanDisk Cruzer 32 GB USB Flash Drive"/>
    <n v="57.06"/>
    <n v="3"/>
    <n v="18.2592"/>
    <x v="0"/>
    <x v="3"/>
    <x v="5"/>
    <n v="0.32"/>
  </r>
  <r>
    <s v="CA-2017-140949"/>
    <x v="312"/>
    <d v="2017-03-22T00:00:00"/>
    <x v="1"/>
    <s v="DB-13405"/>
    <s v="Denny Blanton"/>
    <x v="0"/>
    <s v="United States"/>
    <x v="7"/>
    <x v="5"/>
    <x v="2"/>
    <s v="TEC-AC-10003038"/>
    <x v="0"/>
    <x v="1"/>
    <s v="Kingston Digital DataTraveler 16GB USB 2.0"/>
    <n v="71.599999999999994"/>
    <n v="8"/>
    <n v="13.603999999999999"/>
    <x v="0"/>
    <x v="3"/>
    <x v="5"/>
    <n v="0.19"/>
  </r>
  <r>
    <s v="CA-2017-148691"/>
    <x v="313"/>
    <d v="2017-12-09T00:00:00"/>
    <x v="0"/>
    <s v="CS-12460"/>
    <s v="Chuck Sachs"/>
    <x v="0"/>
    <s v="United States"/>
    <x v="7"/>
    <x v="5"/>
    <x v="2"/>
    <s v="TEC-PH-10000576"/>
    <x v="0"/>
    <x v="0"/>
    <s v="AT&amp;T 1080 Corded phone"/>
    <n v="136.99"/>
    <n v="1"/>
    <n v="36.987299999999998"/>
    <x v="3"/>
    <x v="3"/>
    <x v="3"/>
    <n v="0.27"/>
  </r>
  <r>
    <s v="CA-2016-114972"/>
    <x v="314"/>
    <d v="2016-11-06T00:00:00"/>
    <x v="2"/>
    <s v="PF-19225"/>
    <s v="Phillip Flathmann"/>
    <x v="0"/>
    <s v="United States"/>
    <x v="0"/>
    <x v="0"/>
    <x v="0"/>
    <s v="TEC-AC-10000682"/>
    <x v="0"/>
    <x v="1"/>
    <s v="Kensington K72356US Mouse-in-a-Box USB Desktop Mouse"/>
    <n v="82.95"/>
    <n v="5"/>
    <n v="29.032499999999999"/>
    <x v="6"/>
    <x v="1"/>
    <x v="6"/>
    <n v="0.35"/>
  </r>
  <r>
    <s v="CA-2017-126067"/>
    <x v="315"/>
    <d v="2017-09-03T00:00:00"/>
    <x v="0"/>
    <s v="KN-16705"/>
    <s v="Kristina Nunn"/>
    <x v="2"/>
    <s v="United States"/>
    <x v="45"/>
    <x v="17"/>
    <x v="0"/>
    <s v="TEC-PH-10000912"/>
    <x v="0"/>
    <x v="0"/>
    <s v="Anker 24W Portable Micro USB Car Charger"/>
    <n v="35.167999999999999"/>
    <n v="4"/>
    <n v="11.429600000000001"/>
    <x v="3"/>
    <x v="3"/>
    <x v="1"/>
    <n v="0.32500000000000001"/>
  </r>
  <r>
    <s v="CA-2015-141040"/>
    <x v="316"/>
    <d v="2015-10-13T00:00:00"/>
    <x v="1"/>
    <s v="TB-21250"/>
    <s v="Tim Brockman"/>
    <x v="0"/>
    <s v="United States"/>
    <x v="7"/>
    <x v="5"/>
    <x v="2"/>
    <s v="TEC-PH-10001835"/>
    <x v="0"/>
    <x v="0"/>
    <s v="Jawbone JAMBOX Wireless Bluetooth Speaker"/>
    <n v="631.96"/>
    <n v="4"/>
    <n v="303.3408"/>
    <x v="1"/>
    <x v="2"/>
    <x v="7"/>
    <n v="0.48"/>
  </r>
  <r>
    <s v="CA-2014-144624"/>
    <x v="25"/>
    <d v="2014-11-23T00:00:00"/>
    <x v="0"/>
    <s v="JM-15865"/>
    <s v="John Murray"/>
    <x v="0"/>
    <s v="United States"/>
    <x v="154"/>
    <x v="5"/>
    <x v="2"/>
    <s v="TEC-PH-10002885"/>
    <x v="0"/>
    <x v="0"/>
    <s v="Apple iPhone 5"/>
    <n v="4548.8100000000004"/>
    <n v="7"/>
    <n v="1228.1786999999999"/>
    <x v="1"/>
    <x v="0"/>
    <x v="6"/>
    <n v="0.27"/>
  </r>
  <r>
    <s v="CA-2016-146206"/>
    <x v="317"/>
    <d v="2016-09-14T00:00:00"/>
    <x v="1"/>
    <s v="KT-16480"/>
    <s v="Kean Thornton"/>
    <x v="0"/>
    <s v="United States"/>
    <x v="3"/>
    <x v="1"/>
    <x v="1"/>
    <s v="TEC-PH-10000895"/>
    <x v="0"/>
    <x v="0"/>
    <s v="Polycom VVX 310 VoIP phone"/>
    <n v="719.96"/>
    <n v="5"/>
    <n v="53.997"/>
    <x v="1"/>
    <x v="1"/>
    <x v="4"/>
    <n v="7.4999999999999997E-2"/>
  </r>
  <r>
    <s v="CA-2017-163902"/>
    <x v="318"/>
    <d v="2017-03-08T00:00:00"/>
    <x v="0"/>
    <s v="MY-17380"/>
    <s v="Maribeth Yedwab"/>
    <x v="1"/>
    <s v="United States"/>
    <x v="0"/>
    <x v="0"/>
    <x v="0"/>
    <s v="TEC-PH-10000675"/>
    <x v="0"/>
    <x v="0"/>
    <s v="Panasonic KX TS3282B Corded phone"/>
    <n v="196.77600000000001"/>
    <n v="3"/>
    <n v="14.7582"/>
    <x v="3"/>
    <x v="3"/>
    <x v="5"/>
    <n v="7.4999999999999997E-2"/>
  </r>
  <r>
    <s v="CA-2017-163902"/>
    <x v="318"/>
    <d v="2017-03-08T00:00:00"/>
    <x v="0"/>
    <s v="MY-17380"/>
    <s v="Maribeth Yedwab"/>
    <x v="1"/>
    <s v="United States"/>
    <x v="0"/>
    <x v="0"/>
    <x v="0"/>
    <s v="TEC-AC-10000580"/>
    <x v="0"/>
    <x v="1"/>
    <s v="Logitech G13 Programmable Gameboard with LCD Display"/>
    <n v="479.94"/>
    <n v="6"/>
    <n v="52.793399999999998"/>
    <x v="3"/>
    <x v="3"/>
    <x v="5"/>
    <n v="0.11"/>
  </r>
  <r>
    <s v="CA-2015-102722"/>
    <x v="319"/>
    <d v="2015-04-19T00:00:00"/>
    <x v="2"/>
    <s v="KW-16570"/>
    <s v="Kelly Williams"/>
    <x v="0"/>
    <s v="United States"/>
    <x v="23"/>
    <x v="13"/>
    <x v="3"/>
    <s v="TEC-AC-10003116"/>
    <x v="0"/>
    <x v="1"/>
    <s v="Memorex Froggy Flash Drive 8 GB"/>
    <n v="106.5"/>
    <n v="6"/>
    <n v="41.534999999999997"/>
    <x v="4"/>
    <x v="2"/>
    <x v="9"/>
    <n v="0.39"/>
  </r>
  <r>
    <s v="CA-2016-124506"/>
    <x v="239"/>
    <d v="2016-11-17T00:00:00"/>
    <x v="0"/>
    <s v="BB-11545"/>
    <s v="Brenda Bowman"/>
    <x v="1"/>
    <s v="United States"/>
    <x v="11"/>
    <x v="2"/>
    <x v="1"/>
    <s v="TEC-AC-10003280"/>
    <x v="0"/>
    <x v="1"/>
    <s v="Belkin F8E887 USB Wired Ergonomic Keyboard"/>
    <n v="95.968000000000004"/>
    <n v="4"/>
    <n v="1.1996"/>
    <x v="3"/>
    <x v="1"/>
    <x v="6"/>
    <n v="1.2500000000000001E-2"/>
  </r>
  <r>
    <s v="CA-2016-124352"/>
    <x v="320"/>
    <d v="2016-10-21T00:00:00"/>
    <x v="0"/>
    <s v="CD-12790"/>
    <s v="Cynthia Delaney"/>
    <x v="2"/>
    <s v="United States"/>
    <x v="133"/>
    <x v="11"/>
    <x v="1"/>
    <s v="TEC-PH-10003442"/>
    <x v="0"/>
    <x v="0"/>
    <s v="Samsung Replacement EH64AVFWE Premium Headset"/>
    <n v="5.5"/>
    <n v="1"/>
    <n v="1.375"/>
    <x v="3"/>
    <x v="1"/>
    <x v="7"/>
    <n v="0.25"/>
  </r>
  <r>
    <s v="CA-2015-124541"/>
    <x v="321"/>
    <d v="2015-04-10T00:00:00"/>
    <x v="0"/>
    <s v="TT-21220"/>
    <s v="Thomas Thornton"/>
    <x v="0"/>
    <s v="United States"/>
    <x v="3"/>
    <x v="1"/>
    <x v="1"/>
    <s v="TEC-AC-10002550"/>
    <x v="0"/>
    <x v="1"/>
    <s v="Maxell 4.7GB DVD-RW 3/Pack"/>
    <n v="25.488"/>
    <n v="2"/>
    <n v="4.4603999999999999"/>
    <x v="1"/>
    <x v="2"/>
    <x v="9"/>
    <n v="0.17499999999999999"/>
  </r>
  <r>
    <s v="CA-2014-111500"/>
    <x v="322"/>
    <d v="2014-08-21T00:00:00"/>
    <x v="0"/>
    <s v="DJ-13510"/>
    <s v="Don Jones"/>
    <x v="1"/>
    <s v="United States"/>
    <x v="140"/>
    <x v="32"/>
    <x v="3"/>
    <s v="TEC-AC-10000844"/>
    <x v="0"/>
    <x v="1"/>
    <s v="Logitech Gaming G510s - Keyboard"/>
    <n v="339.96"/>
    <n v="4"/>
    <n v="122.3856"/>
    <x v="1"/>
    <x v="0"/>
    <x v="1"/>
    <n v="0.36"/>
  </r>
  <r>
    <s v="CA-2015-143238"/>
    <x v="323"/>
    <d v="2015-09-08T00:00:00"/>
    <x v="2"/>
    <s v="LO-17170"/>
    <s v="Lori Olson"/>
    <x v="1"/>
    <s v="United States"/>
    <x v="155"/>
    <x v="0"/>
    <x v="0"/>
    <s v="TEC-AC-10003499"/>
    <x v="0"/>
    <x v="1"/>
    <s v="Memorex Mini Travel Drive 8 GB USB 2.0 Flash Drive"/>
    <n v="46.32"/>
    <n v="4"/>
    <n v="18.064800000000002"/>
    <x v="2"/>
    <x v="2"/>
    <x v="4"/>
    <n v="0.39"/>
  </r>
  <r>
    <s v="CA-2015-168746"/>
    <x v="324"/>
    <d v="2015-01-29T00:00:00"/>
    <x v="1"/>
    <s v="SV-20365"/>
    <s v="Seth Vernon"/>
    <x v="0"/>
    <s v="United States"/>
    <x v="118"/>
    <x v="9"/>
    <x v="2"/>
    <s v="TEC-PH-10000895"/>
    <x v="0"/>
    <x v="0"/>
    <s v="Polycom VVX 310 VoIP phone"/>
    <n v="431.976"/>
    <n v="4"/>
    <n v="-100.7944"/>
    <x v="2"/>
    <x v="2"/>
    <x v="2"/>
    <n v="-0.233333333333333"/>
  </r>
  <r>
    <s v="CA-2015-168746"/>
    <x v="324"/>
    <d v="2015-01-29T00:00:00"/>
    <x v="1"/>
    <s v="SV-20365"/>
    <s v="Seth Vernon"/>
    <x v="0"/>
    <s v="United States"/>
    <x v="118"/>
    <x v="9"/>
    <x v="2"/>
    <s v="TEC-PH-10002555"/>
    <x v="0"/>
    <x v="0"/>
    <s v="Nortel Meridian M5316 Digital phone"/>
    <n v="155.37"/>
    <n v="1"/>
    <n v="-36.253"/>
    <x v="2"/>
    <x v="2"/>
    <x v="2"/>
    <n v="-0.233333333333333"/>
  </r>
  <r>
    <s v="US-2015-128090"/>
    <x v="325"/>
    <d v="2015-08-22T00:00:00"/>
    <x v="0"/>
    <s v="JM-15865"/>
    <s v="John Murray"/>
    <x v="0"/>
    <s v="United States"/>
    <x v="80"/>
    <x v="6"/>
    <x v="0"/>
    <s v="TEC-PH-10002624"/>
    <x v="0"/>
    <x v="0"/>
    <s v="Samsung Galaxy S4 Mini"/>
    <n v="1879.96"/>
    <n v="5"/>
    <n v="211.49549999999999"/>
    <x v="3"/>
    <x v="2"/>
    <x v="1"/>
    <n v="0.1125"/>
  </r>
  <r>
    <s v="CA-2016-118626"/>
    <x v="155"/>
    <d v="2016-08-20T00:00:00"/>
    <x v="0"/>
    <s v="JC-15775"/>
    <s v="John Castell"/>
    <x v="0"/>
    <s v="United States"/>
    <x v="156"/>
    <x v="15"/>
    <x v="3"/>
    <s v="TEC-PH-10000369"/>
    <x v="0"/>
    <x v="0"/>
    <s v="HTC One Mini"/>
    <n v="705.54399999999998"/>
    <n v="7"/>
    <n v="70.554400000000001"/>
    <x v="0"/>
    <x v="1"/>
    <x v="1"/>
    <n v="0.1"/>
  </r>
  <r>
    <s v="CA-2015-111458"/>
    <x v="42"/>
    <d v="2015-09-30T00:00:00"/>
    <x v="0"/>
    <s v="PF-19165"/>
    <s v="Philip Fox"/>
    <x v="0"/>
    <s v="United States"/>
    <x v="7"/>
    <x v="5"/>
    <x v="2"/>
    <s v="TEC-AC-10001590"/>
    <x v="0"/>
    <x v="1"/>
    <s v="Dell Slim USB Multimedia Keyboard"/>
    <n v="50"/>
    <n v="2"/>
    <n v="12"/>
    <x v="1"/>
    <x v="2"/>
    <x v="4"/>
    <n v="0.24"/>
  </r>
  <r>
    <s v="CA-2015-110632"/>
    <x v="326"/>
    <d v="2015-03-22T00:00:00"/>
    <x v="1"/>
    <s v="HR-14830"/>
    <s v="Harold Ryan"/>
    <x v="1"/>
    <s v="United States"/>
    <x v="7"/>
    <x v="5"/>
    <x v="2"/>
    <s v="TEC-AC-10000387"/>
    <x v="0"/>
    <x v="1"/>
    <s v="KeyTronic KT800P2 - Keyboard - Black"/>
    <n v="15.02"/>
    <n v="1"/>
    <n v="2.7035999999999998"/>
    <x v="0"/>
    <x v="2"/>
    <x v="5"/>
    <n v="0.18"/>
  </r>
  <r>
    <s v="CA-2017-109589"/>
    <x v="261"/>
    <d v="2017-12-24T00:00:00"/>
    <x v="2"/>
    <s v="BD-11635"/>
    <s v="Brian Derr"/>
    <x v="0"/>
    <s v="United States"/>
    <x v="157"/>
    <x v="27"/>
    <x v="3"/>
    <s v="TEC-AC-10003116"/>
    <x v="0"/>
    <x v="1"/>
    <s v="Memorex Froggy Flash Drive 8 GB"/>
    <n v="71"/>
    <n v="4"/>
    <n v="27.69"/>
    <x v="6"/>
    <x v="3"/>
    <x v="3"/>
    <n v="0.39"/>
  </r>
  <r>
    <s v="CA-2017-134404"/>
    <x v="327"/>
    <d v="2017-12-27T00:00:00"/>
    <x v="3"/>
    <s v="DR-12880"/>
    <s v="Dan Reichenbach"/>
    <x v="1"/>
    <s v="United States"/>
    <x v="129"/>
    <x v="9"/>
    <x v="2"/>
    <s v="TEC-PH-10000576"/>
    <x v="0"/>
    <x v="0"/>
    <s v="AT&amp;T 1080 Corded phone"/>
    <n v="164.38800000000001"/>
    <n v="2"/>
    <n v="-35.617400000000004"/>
    <x v="7"/>
    <x v="3"/>
    <x v="3"/>
    <n v="-0.21666666666666701"/>
  </r>
  <r>
    <s v="CA-2016-155845"/>
    <x v="328"/>
    <d v="2016-08-15T00:00:00"/>
    <x v="1"/>
    <s v="CM-12235"/>
    <s v="Chris McAfee"/>
    <x v="0"/>
    <s v="United States"/>
    <x v="131"/>
    <x v="1"/>
    <x v="1"/>
    <s v="TEC-AC-10004145"/>
    <x v="0"/>
    <x v="1"/>
    <s v="Logitech diNovo Edge Keyboard"/>
    <n v="1399.944"/>
    <n v="7"/>
    <n v="52.497900000000001"/>
    <x v="6"/>
    <x v="1"/>
    <x v="1"/>
    <n v="3.7499999999999999E-2"/>
  </r>
  <r>
    <s v="US-2014-155502"/>
    <x v="329"/>
    <d v="2014-01-31T00:00:00"/>
    <x v="0"/>
    <s v="SD-20485"/>
    <s v="Shirley Daniels"/>
    <x v="2"/>
    <s v="United States"/>
    <x v="158"/>
    <x v="23"/>
    <x v="3"/>
    <s v="TEC-PH-10004833"/>
    <x v="0"/>
    <x v="0"/>
    <s v="Macally Suction Cup Mount"/>
    <n v="155.35"/>
    <n v="13"/>
    <n v="0"/>
    <x v="0"/>
    <x v="0"/>
    <x v="2"/>
    <n v="0"/>
  </r>
  <r>
    <s v="US-2014-155502"/>
    <x v="329"/>
    <d v="2014-01-31T00:00:00"/>
    <x v="0"/>
    <s v="SD-20485"/>
    <s v="Shirley Daniels"/>
    <x v="2"/>
    <s v="United States"/>
    <x v="158"/>
    <x v="23"/>
    <x v="3"/>
    <s v="TEC-PH-10002103"/>
    <x v="0"/>
    <x v="0"/>
    <s v="Jabra SPEAK 410"/>
    <n v="187.98"/>
    <n v="2"/>
    <n v="52.634399999999999"/>
    <x v="0"/>
    <x v="0"/>
    <x v="2"/>
    <n v="0.28000000000000003"/>
  </r>
  <r>
    <s v="CA-2016-137729"/>
    <x v="330"/>
    <d v="2016-05-09T00:00:00"/>
    <x v="0"/>
    <s v="BF-11005"/>
    <s v="Barry Franz"/>
    <x v="2"/>
    <s v="United States"/>
    <x v="0"/>
    <x v="0"/>
    <x v="0"/>
    <s v="TEC-PH-10001433"/>
    <x v="0"/>
    <x v="0"/>
    <s v="Cisco Small Business SPA 502G VoIP phone"/>
    <n v="246.16800000000001"/>
    <n v="3"/>
    <n v="21.5397"/>
    <x v="1"/>
    <x v="1"/>
    <x v="11"/>
    <n v="8.7499999999999994E-2"/>
  </r>
  <r>
    <s v="CA-2017-128300"/>
    <x v="331"/>
    <d v="2017-11-26T00:00:00"/>
    <x v="1"/>
    <s v="RS-19765"/>
    <s v="Roland Schwarz"/>
    <x v="1"/>
    <s v="United States"/>
    <x v="159"/>
    <x v="42"/>
    <x v="3"/>
    <s v="TEC-PH-10002807"/>
    <x v="0"/>
    <x v="0"/>
    <s v="Motorla HX550 Universal Bluetooth Headset"/>
    <n v="79.099999999999994"/>
    <n v="2"/>
    <n v="39.549999999999997"/>
    <x v="2"/>
    <x v="3"/>
    <x v="6"/>
    <n v="0.5"/>
  </r>
  <r>
    <s v="CA-2017-149048"/>
    <x v="332"/>
    <d v="2017-05-17T00:00:00"/>
    <x v="0"/>
    <s v="BM-11650"/>
    <s v="Brian Moss"/>
    <x v="1"/>
    <s v="United States"/>
    <x v="16"/>
    <x v="21"/>
    <x v="1"/>
    <s v="TEC-PH-10002310"/>
    <x v="0"/>
    <x v="0"/>
    <s v="Plantronics Calisto P620-M USB Wireless Speakerphone System"/>
    <n v="587.97"/>
    <n v="3"/>
    <n v="158.75190000000001"/>
    <x v="1"/>
    <x v="3"/>
    <x v="11"/>
    <n v="0.27"/>
  </r>
  <r>
    <s v="CA-2016-165848"/>
    <x v="35"/>
    <d v="2016-06-04T00:00:00"/>
    <x v="3"/>
    <s v="EN-13780"/>
    <s v="Edward Nazzal"/>
    <x v="0"/>
    <s v="United States"/>
    <x v="7"/>
    <x v="5"/>
    <x v="2"/>
    <s v="TEC-MA-10003356"/>
    <x v="0"/>
    <x v="2"/>
    <s v="Panasonic KX MC6040 Color Laser Multifunction Printer"/>
    <n v="1349.85"/>
    <n v="3"/>
    <n v="364.45949999999999"/>
    <x v="7"/>
    <x v="1"/>
    <x v="0"/>
    <n v="0.27"/>
  </r>
  <r>
    <s v="CA-2014-127446"/>
    <x v="333"/>
    <d v="2014-11-30T00:00:00"/>
    <x v="0"/>
    <s v="MC-17590"/>
    <s v="Matt Collister"/>
    <x v="1"/>
    <s v="United States"/>
    <x v="130"/>
    <x v="1"/>
    <x v="1"/>
    <s v="TEC-AC-10001635"/>
    <x v="0"/>
    <x v="1"/>
    <s v="KeyTronic KT400U2 - Keyboard - Black"/>
    <n v="24.672000000000001"/>
    <n v="3"/>
    <n v="0"/>
    <x v="0"/>
    <x v="0"/>
    <x v="6"/>
    <n v="0"/>
  </r>
  <r>
    <s v="CA-2017-115931"/>
    <x v="273"/>
    <d v="2017-12-26T00:00:00"/>
    <x v="0"/>
    <s v="JM-15655"/>
    <s v="Jim Mitchum"/>
    <x v="1"/>
    <s v="United States"/>
    <x v="160"/>
    <x v="29"/>
    <x v="0"/>
    <s v="TEC-PH-10001300"/>
    <x v="0"/>
    <x v="0"/>
    <s v="iKross Bluetooth Portable Keyboard + Cell Phone Stand Holder + Brush for Apple iPhone 5S 5C 5, 4S 4"/>
    <n v="67.040000000000006"/>
    <n v="4"/>
    <n v="6.7039999999999997"/>
    <x v="1"/>
    <x v="3"/>
    <x v="3"/>
    <n v="0.1"/>
  </r>
  <r>
    <s v="CA-2017-127180"/>
    <x v="334"/>
    <d v="2017-10-24T00:00:00"/>
    <x v="2"/>
    <s v="TA-21385"/>
    <s v="Tom Ashbrook"/>
    <x v="2"/>
    <s v="United States"/>
    <x v="7"/>
    <x v="5"/>
    <x v="2"/>
    <s v="TEC-CO-10004722"/>
    <x v="0"/>
    <x v="3"/>
    <s v="Canon imageCLASS 2200 Advanced Copier"/>
    <n v="11199.968000000001"/>
    <n v="4"/>
    <n v="3919.9888000000001"/>
    <x v="2"/>
    <x v="3"/>
    <x v="7"/>
    <n v="0.35"/>
  </r>
  <r>
    <s v="CA-2017-127180"/>
    <x v="334"/>
    <d v="2017-10-24T00:00:00"/>
    <x v="2"/>
    <s v="TA-21385"/>
    <s v="Tom Ashbrook"/>
    <x v="2"/>
    <s v="United States"/>
    <x v="7"/>
    <x v="5"/>
    <x v="2"/>
    <s v="TEC-PH-10001494"/>
    <x v="0"/>
    <x v="0"/>
    <s v="Polycom CX600 IP Phone VoIP phone"/>
    <n v="2399.6"/>
    <n v="8"/>
    <n v="647.89200000000005"/>
    <x v="2"/>
    <x v="3"/>
    <x v="7"/>
    <n v="0.27"/>
  </r>
  <r>
    <s v="CA-2017-127180"/>
    <x v="334"/>
    <d v="2017-10-24T00:00:00"/>
    <x v="2"/>
    <s v="TA-21385"/>
    <s v="Tom Ashbrook"/>
    <x v="2"/>
    <s v="United States"/>
    <x v="7"/>
    <x v="5"/>
    <x v="2"/>
    <s v="TEC-PH-10003800"/>
    <x v="0"/>
    <x v="0"/>
    <s v="i.Sound Portable Power - 8000 mAh"/>
    <n v="52.99"/>
    <n v="1"/>
    <n v="0.52990000000000004"/>
    <x v="2"/>
    <x v="3"/>
    <x v="7"/>
    <n v="0.01"/>
  </r>
  <r>
    <s v="US-2017-165344"/>
    <x v="335"/>
    <d v="2017-11-15T00:00:00"/>
    <x v="2"/>
    <s v="SB-20290"/>
    <s v="Sean Braxton"/>
    <x v="1"/>
    <s v="United States"/>
    <x v="84"/>
    <x v="9"/>
    <x v="2"/>
    <s v="TEC-AC-10002399"/>
    <x v="0"/>
    <x v="1"/>
    <s v="SanDisk Cruzer 32 GB USB Flash Drive"/>
    <n v="60.863999999999997"/>
    <n v="4"/>
    <n v="9.1295999999999999"/>
    <x v="2"/>
    <x v="3"/>
    <x v="6"/>
    <n v="0.15"/>
  </r>
  <r>
    <s v="US-2017-165344"/>
    <x v="335"/>
    <d v="2017-11-15T00:00:00"/>
    <x v="2"/>
    <s v="SB-20290"/>
    <s v="Sean Braxton"/>
    <x v="1"/>
    <s v="United States"/>
    <x v="84"/>
    <x v="9"/>
    <x v="2"/>
    <s v="TEC-MA-10002210"/>
    <x v="0"/>
    <x v="2"/>
    <s v="Epson TM-T88V Direct Thermal Printer - Monochrome - Desktop"/>
    <n v="652.995"/>
    <n v="7"/>
    <n v="-935.95950000000005"/>
    <x v="2"/>
    <x v="3"/>
    <x v="6"/>
    <n v="-1.43333333333333"/>
  </r>
  <r>
    <s v="CA-2015-169740"/>
    <x v="336"/>
    <d v="2015-02-25T00:00:00"/>
    <x v="0"/>
    <s v="LM-17065"/>
    <s v="Liz MacKendrick"/>
    <x v="0"/>
    <s v="United States"/>
    <x v="161"/>
    <x v="32"/>
    <x v="3"/>
    <s v="TEC-AC-10000927"/>
    <x v="0"/>
    <x v="1"/>
    <s v="Anker Ultrathin Bluetooth Wireless Keyboard Aluminum Cover with Stand "/>
    <n v="29.99"/>
    <n v="1"/>
    <n v="2.9990000000000001"/>
    <x v="0"/>
    <x v="2"/>
    <x v="8"/>
    <n v="0.1"/>
  </r>
  <r>
    <s v="CA-2016-149111"/>
    <x v="337"/>
    <d v="2016-04-21T00:00:00"/>
    <x v="1"/>
    <s v="BF-11170"/>
    <s v="Ben Ferrer"/>
    <x v="2"/>
    <s v="United States"/>
    <x v="125"/>
    <x v="8"/>
    <x v="3"/>
    <s v="TEC-PH-10003092"/>
    <x v="0"/>
    <x v="0"/>
    <s v="Motorola L804"/>
    <n v="36.792000000000002"/>
    <n v="1"/>
    <n v="4.1391"/>
    <x v="1"/>
    <x v="1"/>
    <x v="9"/>
    <n v="0.1125"/>
  </r>
  <r>
    <s v="CA-2014-131002"/>
    <x v="229"/>
    <d v="2014-09-12T00:00:00"/>
    <x v="1"/>
    <s v="TB-21400"/>
    <s v="Tom Boeckenhauer"/>
    <x v="0"/>
    <s v="United States"/>
    <x v="124"/>
    <x v="11"/>
    <x v="1"/>
    <s v="TEC-PH-10000215"/>
    <x v="0"/>
    <x v="0"/>
    <s v="Plantronics Cordless Phone Headset with In-line Volume - M214C"/>
    <n v="104.85"/>
    <n v="3"/>
    <n v="28.3095"/>
    <x v="0"/>
    <x v="0"/>
    <x v="4"/>
    <n v="0.27"/>
  </r>
  <r>
    <s v="CA-2017-123372"/>
    <x v="338"/>
    <d v="2017-12-02T00:00:00"/>
    <x v="0"/>
    <s v="DG-13300"/>
    <s v="Deirdre Greer"/>
    <x v="1"/>
    <s v="United States"/>
    <x v="7"/>
    <x v="5"/>
    <x v="2"/>
    <s v="TEC-PH-10002834"/>
    <x v="0"/>
    <x v="0"/>
    <s v="Google Nexus 5"/>
    <n v="1979.89"/>
    <n v="11"/>
    <n v="494.97250000000003"/>
    <x v="1"/>
    <x v="3"/>
    <x v="6"/>
    <n v="0.25"/>
  </r>
  <r>
    <s v="CA-2016-111794"/>
    <x v="180"/>
    <d v="2016-10-01T00:00:00"/>
    <x v="3"/>
    <s v="HG-15025"/>
    <s v="Hunter Glantz"/>
    <x v="0"/>
    <s v="United States"/>
    <x v="108"/>
    <x v="1"/>
    <x v="1"/>
    <s v="TEC-AC-10003832"/>
    <x v="0"/>
    <x v="1"/>
    <s v="Imation 16GB Mini TravelDrive USB 2.0 Flash Drive"/>
    <n v="79.512"/>
    <n v="3"/>
    <n v="20.8719"/>
    <x v="7"/>
    <x v="1"/>
    <x v="7"/>
    <n v="0.26250000000000001"/>
  </r>
  <r>
    <s v="CA-2017-127026"/>
    <x v="104"/>
    <d v="2017-01-27T00:00:00"/>
    <x v="0"/>
    <s v="MH-18115"/>
    <s v="Mick Hernandez"/>
    <x v="2"/>
    <s v="United States"/>
    <x v="61"/>
    <x v="14"/>
    <x v="1"/>
    <s v="TEC-AC-10002049"/>
    <x v="0"/>
    <x v="1"/>
    <s v="Logitech G19 Programmable Gaming Keyboard"/>
    <n v="619.95000000000005"/>
    <n v="5"/>
    <n v="111.59099999999999"/>
    <x v="3"/>
    <x v="3"/>
    <x v="2"/>
    <n v="0.18"/>
  </r>
  <r>
    <s v="CA-2017-127026"/>
    <x v="104"/>
    <d v="2017-01-27T00:00:00"/>
    <x v="0"/>
    <s v="MH-18115"/>
    <s v="Mick Hernandez"/>
    <x v="2"/>
    <s v="United States"/>
    <x v="61"/>
    <x v="14"/>
    <x v="1"/>
    <s v="TEC-MA-10002981"/>
    <x v="0"/>
    <x v="2"/>
    <s v="I.R.I.S IRISCard Anywhere 5 Card Scanner"/>
    <n v="350.97300000000001"/>
    <n v="3"/>
    <n v="152.0883"/>
    <x v="3"/>
    <x v="3"/>
    <x v="2"/>
    <n v="0.43333333333333302"/>
  </r>
  <r>
    <s v="CA-2017-127026"/>
    <x v="104"/>
    <d v="2017-01-27T00:00:00"/>
    <x v="0"/>
    <s v="MH-18115"/>
    <s v="Mick Hernandez"/>
    <x v="2"/>
    <s v="United States"/>
    <x v="61"/>
    <x v="14"/>
    <x v="1"/>
    <s v="TEC-PH-10003601"/>
    <x v="0"/>
    <x v="0"/>
    <s v="Ativa D5772 2-Line 5.8GHz Digital Expandable Corded/Cordless Phone System with Answering &amp; Caller ID/Call Waiting, Black/Silver"/>
    <n v="164.99"/>
    <n v="1"/>
    <n v="49.497"/>
    <x v="3"/>
    <x v="3"/>
    <x v="2"/>
    <n v="0.3"/>
  </r>
  <r>
    <s v="US-2016-144211"/>
    <x v="339"/>
    <d v="2016-09-02T00:00:00"/>
    <x v="0"/>
    <s v="CS-12130"/>
    <s v="Chad Sievert"/>
    <x v="0"/>
    <s v="United States"/>
    <x v="162"/>
    <x v="7"/>
    <x v="0"/>
    <s v="TEC-PH-10002890"/>
    <x v="0"/>
    <x v="0"/>
    <s v="AT&amp;T 17929 Lendline Telephone"/>
    <n v="108.57599999999999"/>
    <n v="3"/>
    <n v="8.1432000000000002"/>
    <x v="0"/>
    <x v="1"/>
    <x v="1"/>
    <n v="7.4999999999999997E-2"/>
  </r>
  <r>
    <s v="CA-2014-145317"/>
    <x v="340"/>
    <d v="2014-03-23T00:00:00"/>
    <x v="0"/>
    <s v="SM-20320"/>
    <s v="Sean Miller"/>
    <x v="2"/>
    <s v="United States"/>
    <x v="42"/>
    <x v="15"/>
    <x v="3"/>
    <s v="TEC-MA-10003626"/>
    <x v="0"/>
    <x v="2"/>
    <s v="Hewlett-Packard Deskjet 6540 Color Inkjet Printer"/>
    <n v="821.3"/>
    <n v="4"/>
    <n v="-16.425999999999998"/>
    <x v="0"/>
    <x v="0"/>
    <x v="5"/>
    <n v="-0.02"/>
  </r>
  <r>
    <s v="CA-2014-145317"/>
    <x v="340"/>
    <d v="2014-03-23T00:00:00"/>
    <x v="0"/>
    <s v="SM-20320"/>
    <s v="Sean Miller"/>
    <x v="2"/>
    <s v="United States"/>
    <x v="42"/>
    <x v="15"/>
    <x v="3"/>
    <s v="TEC-MA-10002412"/>
    <x v="0"/>
    <x v="2"/>
    <s v="Cisco TelePresence System EX90 Videoconferencing Unit"/>
    <n v="22638.48"/>
    <n v="6"/>
    <n v="-1811.0784000000001"/>
    <x v="0"/>
    <x v="0"/>
    <x v="5"/>
    <n v="-0.08"/>
  </r>
  <r>
    <s v="CA-2017-156818"/>
    <x v="341"/>
    <d v="2017-07-13T00:00:00"/>
    <x v="1"/>
    <s v="JD-16015"/>
    <s v="Joy Daniels"/>
    <x v="0"/>
    <s v="United States"/>
    <x v="7"/>
    <x v="5"/>
    <x v="2"/>
    <s v="TEC-AC-10002323"/>
    <x v="0"/>
    <x v="1"/>
    <s v="SanDisk Ultra 32 GB MicroSDHC Class 10 Memory Card"/>
    <n v="132.6"/>
    <n v="6"/>
    <n v="17.238"/>
    <x v="2"/>
    <x v="3"/>
    <x v="10"/>
    <n v="0.13"/>
  </r>
  <r>
    <s v="CA-2015-121797"/>
    <x v="342"/>
    <d v="2015-02-06T00:00:00"/>
    <x v="0"/>
    <s v="CC-12145"/>
    <s v="Charles Crestani"/>
    <x v="0"/>
    <s v="United States"/>
    <x v="0"/>
    <x v="0"/>
    <x v="0"/>
    <s v="TEC-MA-10000488"/>
    <x v="0"/>
    <x v="2"/>
    <s v="Bady BDG101FRU Card Printer"/>
    <n v="1919.9760000000001"/>
    <n v="3"/>
    <n v="215.9973"/>
    <x v="5"/>
    <x v="2"/>
    <x v="2"/>
    <n v="0.1125"/>
  </r>
  <r>
    <s v="CA-2014-110100"/>
    <x v="343"/>
    <d v="2014-04-29T00:00:00"/>
    <x v="0"/>
    <s v="LC-16885"/>
    <s v="Lena Creighton"/>
    <x v="0"/>
    <s v="United States"/>
    <x v="15"/>
    <x v="8"/>
    <x v="3"/>
    <s v="TEC-PH-10004531"/>
    <x v="0"/>
    <x v="0"/>
    <s v="AT&amp;T CL2909"/>
    <n v="302.37599999999998"/>
    <n v="3"/>
    <n v="37.796999999999997"/>
    <x v="1"/>
    <x v="0"/>
    <x v="9"/>
    <n v="0.125"/>
  </r>
  <r>
    <s v="CA-2014-127187"/>
    <x v="344"/>
    <d v="2014-12-08T00:00:00"/>
    <x v="0"/>
    <s v="CP-12085"/>
    <s v="Cathy Prescott"/>
    <x v="1"/>
    <s v="United States"/>
    <x v="7"/>
    <x v="5"/>
    <x v="2"/>
    <s v="TEC-PH-10000673"/>
    <x v="0"/>
    <x v="0"/>
    <s v="Plantronics Voyager Pro HD - Bluetooth Headset"/>
    <n v="129.97999999999999"/>
    <n v="2"/>
    <n v="62.3904"/>
    <x v="1"/>
    <x v="0"/>
    <x v="3"/>
    <n v="0.48"/>
  </r>
  <r>
    <s v="CA-2017-128475"/>
    <x v="345"/>
    <d v="2017-09-01T00:00:00"/>
    <x v="0"/>
    <s v="SC-20680"/>
    <s v="Steve Carroll"/>
    <x v="2"/>
    <s v="United States"/>
    <x v="16"/>
    <x v="31"/>
    <x v="3"/>
    <s v="TEC-AC-10000158"/>
    <x v="0"/>
    <x v="1"/>
    <s v="Sony 64GB Class 10 Micro SDHC R40 Memory Card"/>
    <n v="71.98"/>
    <n v="2"/>
    <n v="15.1158"/>
    <x v="3"/>
    <x v="3"/>
    <x v="1"/>
    <n v="0.21"/>
  </r>
  <r>
    <s v="CA-2014-100006"/>
    <x v="229"/>
    <d v="2014-09-13T00:00:00"/>
    <x v="0"/>
    <s v="DK-13375"/>
    <s v="Dennis Kane"/>
    <x v="0"/>
    <s v="United States"/>
    <x v="7"/>
    <x v="5"/>
    <x v="2"/>
    <s v="TEC-PH-10002075"/>
    <x v="0"/>
    <x v="0"/>
    <s v="AT&amp;T EL51110 DECT"/>
    <n v="377.97"/>
    <n v="3"/>
    <n v="109.6113"/>
    <x v="3"/>
    <x v="0"/>
    <x v="4"/>
    <n v="0.28999999999999998"/>
  </r>
  <r>
    <s v="CA-2017-149888"/>
    <x v="276"/>
    <d v="2017-11-13T00:00:00"/>
    <x v="0"/>
    <s v="EP-13915"/>
    <s v="Emily Phan"/>
    <x v="0"/>
    <s v="United States"/>
    <x v="20"/>
    <x v="12"/>
    <x v="2"/>
    <s v="TEC-PH-10003811"/>
    <x v="0"/>
    <x v="0"/>
    <s v="Jabra Supreme Plus Driver Edition Headset"/>
    <n v="359.97"/>
    <n v="5"/>
    <n v="-71.994"/>
    <x v="3"/>
    <x v="3"/>
    <x v="6"/>
    <n v="-0.2"/>
  </r>
  <r>
    <s v="CA-2017-119193"/>
    <x v="273"/>
    <d v="2017-12-24T00:00:00"/>
    <x v="2"/>
    <s v="SK-19990"/>
    <s v="Sally Knutson"/>
    <x v="0"/>
    <s v="United States"/>
    <x v="86"/>
    <x v="9"/>
    <x v="2"/>
    <s v="TEC-PH-10003072"/>
    <x v="0"/>
    <x v="0"/>
    <s v="Panasonic KX-TG9541B DECT 6.0 Digital 2-Line Expandable Cordless Phone With Digital Answering System"/>
    <n v="629.95799999999997"/>
    <n v="7"/>
    <n v="94.493700000000004"/>
    <x v="2"/>
    <x v="3"/>
    <x v="3"/>
    <n v="0.15"/>
  </r>
  <r>
    <s v="CA-2017-104801"/>
    <x v="346"/>
    <d v="2017-02-19T00:00:00"/>
    <x v="0"/>
    <s v="FH-14350"/>
    <s v="Fred Harton"/>
    <x v="0"/>
    <s v="United States"/>
    <x v="45"/>
    <x v="17"/>
    <x v="0"/>
    <s v="TEC-AC-10001838"/>
    <x v="0"/>
    <x v="1"/>
    <s v="Razer Tiamat Over Ear 7.1 Surround Sound PC Gaming Headset"/>
    <n v="799.96"/>
    <n v="4"/>
    <n v="343.9828"/>
    <x v="3"/>
    <x v="3"/>
    <x v="8"/>
    <n v="0.43"/>
  </r>
  <r>
    <s v="CA-2014-107594"/>
    <x v="347"/>
    <d v="2014-07-06T00:00:00"/>
    <x v="0"/>
    <s v="EH-13945"/>
    <s v="Eric Hoffmann"/>
    <x v="0"/>
    <s v="United States"/>
    <x v="163"/>
    <x v="26"/>
    <x v="2"/>
    <s v="TEC-PH-10002923"/>
    <x v="0"/>
    <x v="0"/>
    <s v="Logitech B530 USB Headset - headset - Full size, Binaural"/>
    <n v="73.98"/>
    <n v="2"/>
    <n v="19.974599999999999"/>
    <x v="1"/>
    <x v="0"/>
    <x v="10"/>
    <n v="0.27"/>
  </r>
  <r>
    <s v="CA-2015-115798"/>
    <x v="15"/>
    <d v="2015-11-19T00:00:00"/>
    <x v="0"/>
    <s v="KL-16645"/>
    <s v="Ken Lonsdale"/>
    <x v="0"/>
    <s v="United States"/>
    <x v="129"/>
    <x v="4"/>
    <x v="2"/>
    <s v="TEC-PH-10003691"/>
    <x v="0"/>
    <x v="0"/>
    <s v="BlackBerry Q10"/>
    <n v="377.97"/>
    <n v="3"/>
    <n v="94.492500000000007"/>
    <x v="3"/>
    <x v="2"/>
    <x v="6"/>
    <n v="0.25"/>
  </r>
  <r>
    <s v="CA-2015-115798"/>
    <x v="15"/>
    <d v="2015-11-19T00:00:00"/>
    <x v="0"/>
    <s v="KL-16645"/>
    <s v="Ken Lonsdale"/>
    <x v="0"/>
    <s v="United States"/>
    <x v="129"/>
    <x v="4"/>
    <x v="2"/>
    <s v="TEC-PH-10001819"/>
    <x v="0"/>
    <x v="0"/>
    <s v="Innergie mMini Combo Duo USB Travel Charging Kit"/>
    <n v="89.98"/>
    <n v="2"/>
    <n v="43.190399999999997"/>
    <x v="3"/>
    <x v="2"/>
    <x v="6"/>
    <n v="0.48"/>
  </r>
  <r>
    <s v="CA-2017-122707"/>
    <x v="348"/>
    <d v="2017-04-18T00:00:00"/>
    <x v="2"/>
    <s v="EB-13750"/>
    <s v="Edward Becker"/>
    <x v="1"/>
    <s v="United States"/>
    <x v="164"/>
    <x v="20"/>
    <x v="3"/>
    <s v="TEC-AC-10004227"/>
    <x v="0"/>
    <x v="1"/>
    <s v="SanDisk Ultra 16 GB MicroSDHC Class 10 Memory Card"/>
    <n v="25.98"/>
    <n v="2"/>
    <n v="1.5588"/>
    <x v="2"/>
    <x v="3"/>
    <x v="9"/>
    <n v="0.06"/>
  </r>
  <r>
    <s v="CA-2015-140144"/>
    <x v="349"/>
    <d v="2015-06-25T00:00:00"/>
    <x v="1"/>
    <s v="SC-20770"/>
    <s v="Stewart Carmichael"/>
    <x v="1"/>
    <s v="United States"/>
    <x v="1"/>
    <x v="0"/>
    <x v="0"/>
    <s v="TEC-PH-10002726"/>
    <x v="0"/>
    <x v="0"/>
    <s v="netTALK DUO VoIP Telephone Service"/>
    <n v="125.976"/>
    <n v="3"/>
    <n v="47.241"/>
    <x v="0"/>
    <x v="2"/>
    <x v="0"/>
    <n v="0.375"/>
  </r>
  <r>
    <s v="CA-2017-163321"/>
    <x v="350"/>
    <d v="2017-08-11T00:00:00"/>
    <x v="1"/>
    <s v="FM-14380"/>
    <s v="Fred McMath"/>
    <x v="0"/>
    <s v="United States"/>
    <x v="42"/>
    <x v="8"/>
    <x v="3"/>
    <s v="TEC-AC-10004571"/>
    <x v="0"/>
    <x v="1"/>
    <s v="Logitech G700s Rechargeable Gaming Mouse"/>
    <n v="79.992000000000004"/>
    <n v="1"/>
    <n v="21.997800000000002"/>
    <x v="1"/>
    <x v="3"/>
    <x v="1"/>
    <n v="0.27500000000000002"/>
  </r>
  <r>
    <s v="US-2015-165449"/>
    <x v="351"/>
    <d v="2015-11-26T00:00:00"/>
    <x v="0"/>
    <s v="AP-10720"/>
    <s v="Anne Pryor"/>
    <x v="2"/>
    <s v="United States"/>
    <x v="165"/>
    <x v="1"/>
    <x v="1"/>
    <s v="TEC-AC-10004127"/>
    <x v="0"/>
    <x v="1"/>
    <s v="SanDisk Cruzer 8 GB USB Flash Drive"/>
    <n v="27.167999999999999"/>
    <n v="4"/>
    <n v="-1.3584000000000001"/>
    <x v="1"/>
    <x v="2"/>
    <x v="6"/>
    <n v="-0.05"/>
  </r>
  <r>
    <s v="CA-2015-155306"/>
    <x v="352"/>
    <d v="2015-04-21T00:00:00"/>
    <x v="0"/>
    <s v="GA-14515"/>
    <s v="George Ashbrook"/>
    <x v="0"/>
    <s v="United States"/>
    <x v="1"/>
    <x v="0"/>
    <x v="0"/>
    <s v="TEC-AC-10003174"/>
    <x v="0"/>
    <x v="1"/>
    <s v="Plantronics S12 Corded Telephone Headset System"/>
    <n v="323.37"/>
    <n v="3"/>
    <n v="129.34800000000001"/>
    <x v="1"/>
    <x v="2"/>
    <x v="9"/>
    <n v="0.4"/>
  </r>
  <r>
    <s v="CA-2015-155306"/>
    <x v="352"/>
    <d v="2015-04-21T00:00:00"/>
    <x v="0"/>
    <s v="GA-14515"/>
    <s v="George Ashbrook"/>
    <x v="0"/>
    <s v="United States"/>
    <x v="1"/>
    <x v="0"/>
    <x v="0"/>
    <s v="TEC-PH-10002310"/>
    <x v="0"/>
    <x v="0"/>
    <s v="Plantronics Calisto P620-M USB Wireless Speakerphone System"/>
    <n v="783.96"/>
    <n v="5"/>
    <n v="68.596500000000006"/>
    <x v="1"/>
    <x v="2"/>
    <x v="9"/>
    <n v="8.7499999999999994E-2"/>
  </r>
  <r>
    <s v="CA-2016-127775"/>
    <x v="353"/>
    <d v="2016-06-13T00:00:00"/>
    <x v="1"/>
    <s v="ES-14020"/>
    <s v="Erica Smith"/>
    <x v="0"/>
    <s v="United States"/>
    <x v="7"/>
    <x v="5"/>
    <x v="2"/>
    <s v="TEC-AC-10002402"/>
    <x v="0"/>
    <x v="1"/>
    <s v="Razer Kraken PRO Over Ear PC and Music Headset"/>
    <n v="239.97"/>
    <n v="3"/>
    <n v="71.991"/>
    <x v="2"/>
    <x v="1"/>
    <x v="0"/>
    <n v="0.3"/>
  </r>
  <r>
    <s v="CA-2017-126536"/>
    <x v="307"/>
    <d v="2017-10-14T00:00:00"/>
    <x v="2"/>
    <s v="NK-18490"/>
    <s v="Neil Knudson"/>
    <x v="2"/>
    <s v="United States"/>
    <x v="1"/>
    <x v="0"/>
    <x v="0"/>
    <s v="TEC-AC-10003709"/>
    <x v="0"/>
    <x v="1"/>
    <s v="Maxell 4.7GB DVD-R 5/Pack"/>
    <n v="0.99"/>
    <n v="1"/>
    <n v="0.43559999999999999"/>
    <x v="2"/>
    <x v="3"/>
    <x v="7"/>
    <n v="0.44"/>
  </r>
  <r>
    <s v="US-2015-122140"/>
    <x v="354"/>
    <d v="2015-04-07T00:00:00"/>
    <x v="0"/>
    <s v="MO-17950"/>
    <s v="Michael Oakman"/>
    <x v="0"/>
    <s v="United States"/>
    <x v="26"/>
    <x v="1"/>
    <x v="1"/>
    <s v="TEC-AC-10003038"/>
    <x v="0"/>
    <x v="1"/>
    <s v="Kingston Digital DataTraveler 16GB USB 2.0"/>
    <n v="50.12"/>
    <n v="7"/>
    <n v="-0.62649999999999995"/>
    <x v="0"/>
    <x v="2"/>
    <x v="9"/>
    <n v="-1.2500000000000001E-2"/>
  </r>
  <r>
    <s v="US-2015-122140"/>
    <x v="354"/>
    <d v="2015-04-07T00:00:00"/>
    <x v="0"/>
    <s v="MO-17950"/>
    <s v="Michael Oakman"/>
    <x v="0"/>
    <s v="United States"/>
    <x v="26"/>
    <x v="1"/>
    <x v="1"/>
    <s v="TEC-AC-10003289"/>
    <x v="0"/>
    <x v="1"/>
    <s v="Anker Ultra-Slim Mini Bluetooth 3.0 Wireless Keyboard"/>
    <n v="47.975999999999999"/>
    <n v="3"/>
    <n v="1.7990999999999999"/>
    <x v="0"/>
    <x v="2"/>
    <x v="9"/>
    <n v="3.7499999999999999E-2"/>
  </r>
  <r>
    <s v="CA-2017-108322"/>
    <x v="227"/>
    <d v="2017-05-05T00:00:00"/>
    <x v="0"/>
    <s v="SS-20140"/>
    <s v="Saphhira Shifley"/>
    <x v="1"/>
    <s v="United States"/>
    <x v="166"/>
    <x v="15"/>
    <x v="3"/>
    <s v="TEC-AC-10003433"/>
    <x v="0"/>
    <x v="1"/>
    <s v="Maxell 4.7GB DVD+R 5/Pack"/>
    <n v="2.3759999999999999"/>
    <n v="3"/>
    <n v="0.74250000000000005"/>
    <x v="0"/>
    <x v="3"/>
    <x v="9"/>
    <n v="0.3125"/>
  </r>
  <r>
    <s v="CA-2016-139878"/>
    <x v="239"/>
    <d v="2016-11-16T00:00:00"/>
    <x v="0"/>
    <s v="LD-17005"/>
    <s v="Lisa DeCherney"/>
    <x v="0"/>
    <s v="United States"/>
    <x v="77"/>
    <x v="14"/>
    <x v="1"/>
    <s v="TEC-PH-10001336"/>
    <x v="0"/>
    <x v="0"/>
    <s v="Digium D40 VoIP phone"/>
    <n v="257.98"/>
    <n v="2"/>
    <n v="74.8142"/>
    <x v="0"/>
    <x v="1"/>
    <x v="6"/>
    <n v="0.28999999999999998"/>
  </r>
  <r>
    <s v="US-2016-106677"/>
    <x v="355"/>
    <d v="2016-11-10T00:00:00"/>
    <x v="0"/>
    <s v="AS-10285"/>
    <s v="Alejandro Savely"/>
    <x v="1"/>
    <s v="United States"/>
    <x v="20"/>
    <x v="12"/>
    <x v="2"/>
    <s v="TEC-PH-10003187"/>
    <x v="0"/>
    <x v="0"/>
    <s v="Anker Astro Mini 3000mAh Ultra-Compact Portable Charger"/>
    <n v="23.988"/>
    <n v="2"/>
    <n v="-15.992000000000001"/>
    <x v="0"/>
    <x v="1"/>
    <x v="6"/>
    <n v="-0.66666666666666696"/>
  </r>
  <r>
    <s v="CA-2016-116974"/>
    <x v="356"/>
    <d v="2016-10-15T00:00:00"/>
    <x v="0"/>
    <s v="MP-17965"/>
    <s v="Michael Paige"/>
    <x v="1"/>
    <s v="United States"/>
    <x v="8"/>
    <x v="9"/>
    <x v="2"/>
    <s v="TEC-PH-10004897"/>
    <x v="0"/>
    <x v="0"/>
    <s v="Mediabridge Sport Armband iPhone 5s"/>
    <n v="23.975999999999999"/>
    <n v="4"/>
    <n v="-15.5844"/>
    <x v="3"/>
    <x v="1"/>
    <x v="7"/>
    <n v="-0.65"/>
  </r>
  <r>
    <s v="CA-2014-154599"/>
    <x v="357"/>
    <d v="2014-04-17T00:00:00"/>
    <x v="0"/>
    <s v="KN-16450"/>
    <s v="Kean Nguyen"/>
    <x v="1"/>
    <s v="United States"/>
    <x v="167"/>
    <x v="0"/>
    <x v="0"/>
    <s v="TEC-PH-10001557"/>
    <x v="0"/>
    <x v="0"/>
    <s v="Pyle PMP37LED"/>
    <n v="1075.088"/>
    <n v="14"/>
    <n v="94.0702"/>
    <x v="0"/>
    <x v="0"/>
    <x v="9"/>
    <n v="8.7499999999999994E-2"/>
  </r>
  <r>
    <s v="CA-2014-154599"/>
    <x v="357"/>
    <d v="2014-04-17T00:00:00"/>
    <x v="0"/>
    <s v="KN-16450"/>
    <s v="Kean Nguyen"/>
    <x v="1"/>
    <s v="United States"/>
    <x v="167"/>
    <x v="0"/>
    <x v="0"/>
    <s v="TEC-PH-10000576"/>
    <x v="0"/>
    <x v="0"/>
    <s v="AT&amp;T 1080 Corded phone"/>
    <n v="438.36799999999999"/>
    <n v="4"/>
    <n v="38.357199999999999"/>
    <x v="0"/>
    <x v="0"/>
    <x v="9"/>
    <n v="8.7499999999999994E-2"/>
  </r>
  <r>
    <s v="CA-2016-153318"/>
    <x v="358"/>
    <d v="2016-10-28T00:00:00"/>
    <x v="2"/>
    <s v="JS-15595"/>
    <s v="Jill Stevenson"/>
    <x v="1"/>
    <s v="United States"/>
    <x v="56"/>
    <x v="15"/>
    <x v="3"/>
    <s v="TEC-PH-10000984"/>
    <x v="0"/>
    <x v="0"/>
    <s v="Panasonic KX-TG9471B"/>
    <n v="783.96"/>
    <n v="5"/>
    <n v="78.396000000000001"/>
    <x v="6"/>
    <x v="1"/>
    <x v="7"/>
    <n v="0.1"/>
  </r>
  <r>
    <s v="CA-2015-135685"/>
    <x v="359"/>
    <d v="2015-11-18T00:00:00"/>
    <x v="1"/>
    <s v="MP-18175"/>
    <s v="Mike Pelletier"/>
    <x v="2"/>
    <s v="United States"/>
    <x v="78"/>
    <x v="10"/>
    <x v="1"/>
    <s v="TEC-AC-10004145"/>
    <x v="0"/>
    <x v="1"/>
    <s v="Logitech diNovo Edge Keyboard"/>
    <n v="999.96"/>
    <n v="4"/>
    <n v="229.99080000000001"/>
    <x v="2"/>
    <x v="2"/>
    <x v="6"/>
    <n v="0.23"/>
  </r>
  <r>
    <s v="CA-2017-100202"/>
    <x v="360"/>
    <d v="2017-01-05T00:00:00"/>
    <x v="0"/>
    <s v="BD-11620"/>
    <s v="Brian DeCherney"/>
    <x v="0"/>
    <s v="United States"/>
    <x v="168"/>
    <x v="0"/>
    <x v="0"/>
    <s v="TEC-PH-10002563"/>
    <x v="0"/>
    <x v="0"/>
    <s v="Adtran 1202752G1"/>
    <n v="302.37599999999998"/>
    <n v="3"/>
    <n v="22.6782"/>
    <x v="0"/>
    <x v="1"/>
    <x v="3"/>
    <n v="7.4999999999999997E-2"/>
  </r>
  <r>
    <s v="CA-2014-148915"/>
    <x v="113"/>
    <d v="2014-11-05T00:00:00"/>
    <x v="0"/>
    <s v="ND-18370"/>
    <s v="Natalie DeCherney"/>
    <x v="0"/>
    <s v="United States"/>
    <x v="32"/>
    <x v="16"/>
    <x v="0"/>
    <s v="TEC-PH-10000673"/>
    <x v="0"/>
    <x v="0"/>
    <s v="Plantronics Voyager Pro HD - Bluetooth Headset"/>
    <n v="155.976"/>
    <n v="3"/>
    <n v="54.5916"/>
    <x v="1"/>
    <x v="0"/>
    <x v="6"/>
    <n v="0.35"/>
  </r>
  <r>
    <s v="CA-2016-147368"/>
    <x v="259"/>
    <d v="2016-06-12T00:00:00"/>
    <x v="2"/>
    <s v="TC-21295"/>
    <s v="Toby Carlisle"/>
    <x v="0"/>
    <s v="United States"/>
    <x v="156"/>
    <x v="15"/>
    <x v="3"/>
    <s v="TEC-MA-10002178"/>
    <x v="0"/>
    <x v="2"/>
    <s v="Cisco CP-7937G Unified IP Conference Station Phone"/>
    <n v="695.7"/>
    <n v="2"/>
    <n v="-27.827999999999999"/>
    <x v="6"/>
    <x v="1"/>
    <x v="0"/>
    <n v="-0.04"/>
  </r>
  <r>
    <s v="CA-2017-112865"/>
    <x v="361"/>
    <d v="2017-05-22T00:00:00"/>
    <x v="0"/>
    <s v="BH-11710"/>
    <s v="Brosina Hoffman"/>
    <x v="0"/>
    <s v="United States"/>
    <x v="20"/>
    <x v="12"/>
    <x v="2"/>
    <s v="TEC-AC-10000387"/>
    <x v="0"/>
    <x v="1"/>
    <s v="KeyTronic KT800P2 - Keyboard - Black"/>
    <n v="36.048000000000002"/>
    <n v="3"/>
    <n v="-0.9012"/>
    <x v="1"/>
    <x v="3"/>
    <x v="11"/>
    <n v="-2.5000000000000001E-2"/>
  </r>
  <r>
    <s v="CA-2017-138975"/>
    <x v="102"/>
    <d v="2017-05-23T00:00:00"/>
    <x v="0"/>
    <s v="SC-20380"/>
    <s v="Shahid Collister"/>
    <x v="0"/>
    <s v="United States"/>
    <x v="144"/>
    <x v="31"/>
    <x v="3"/>
    <s v="TEC-AC-10003441"/>
    <x v="0"/>
    <x v="1"/>
    <s v="Kingston Digital DataTraveler 32GB USB 2.0"/>
    <n v="67.8"/>
    <n v="4"/>
    <n v="4.0679999999999996"/>
    <x v="1"/>
    <x v="3"/>
    <x v="11"/>
    <n v="0.06"/>
  </r>
  <r>
    <s v="CA-2017-138975"/>
    <x v="102"/>
    <d v="2017-05-23T00:00:00"/>
    <x v="0"/>
    <s v="SC-20380"/>
    <s v="Shahid Collister"/>
    <x v="0"/>
    <s v="United States"/>
    <x v="144"/>
    <x v="31"/>
    <x v="3"/>
    <s v="TEC-PH-10004389"/>
    <x v="0"/>
    <x v="0"/>
    <s v="Nokia Lumia 925"/>
    <n v="377.97"/>
    <n v="3"/>
    <n v="98.272199999999998"/>
    <x v="1"/>
    <x v="3"/>
    <x v="11"/>
    <n v="0.26"/>
  </r>
  <r>
    <s v="CA-2016-152072"/>
    <x v="362"/>
    <d v="2016-01-19T00:00:00"/>
    <x v="0"/>
    <s v="Dp-13240"/>
    <s v="Dean percer"/>
    <x v="2"/>
    <s v="United States"/>
    <x v="169"/>
    <x v="26"/>
    <x v="2"/>
    <s v="TEC-AC-10000844"/>
    <x v="0"/>
    <x v="1"/>
    <s v="Logitech Gaming G510s - Keyboard"/>
    <n v="254.97"/>
    <n v="3"/>
    <n v="91.789199999999994"/>
    <x v="1"/>
    <x v="1"/>
    <x v="2"/>
    <n v="0.36"/>
  </r>
  <r>
    <s v="CA-2017-139913"/>
    <x v="179"/>
    <d v="2017-10-29T00:00:00"/>
    <x v="0"/>
    <s v="JC-16105"/>
    <s v="Julie Creighton"/>
    <x v="1"/>
    <s v="United States"/>
    <x v="10"/>
    <x v="5"/>
    <x v="2"/>
    <s v="TEC-PH-10001552"/>
    <x v="0"/>
    <x v="0"/>
    <s v="I Need's 3d Hello Kitty Hybrid Silicone Case Cover for HTC One X 4g with 3d Hello Kitty Stylus Pen Green/pink"/>
    <n v="35.880000000000003"/>
    <n v="3"/>
    <n v="10.0464"/>
    <x v="3"/>
    <x v="3"/>
    <x v="7"/>
    <n v="0.28000000000000003"/>
  </r>
  <r>
    <s v="US-2016-164630"/>
    <x v="363"/>
    <d v="2016-01-09T00:00:00"/>
    <x v="0"/>
    <s v="EB-13975"/>
    <s v="Erica Bern"/>
    <x v="1"/>
    <s v="United States"/>
    <x v="13"/>
    <x v="8"/>
    <x v="3"/>
    <s v="TEC-CO-10000971"/>
    <x v="0"/>
    <x v="3"/>
    <s v="Hewlett Packard 310 Color Digital Copier"/>
    <n v="959.96799999999996"/>
    <n v="4"/>
    <n v="119.996"/>
    <x v="0"/>
    <x v="1"/>
    <x v="2"/>
    <n v="0.125"/>
  </r>
  <r>
    <s v="CA-2015-166464"/>
    <x v="364"/>
    <d v="2015-09-17T00:00:00"/>
    <x v="0"/>
    <s v="PG-18895"/>
    <s v="Paul Gonzalez"/>
    <x v="0"/>
    <s v="United States"/>
    <x v="7"/>
    <x v="5"/>
    <x v="2"/>
    <s v="TEC-CO-10000971"/>
    <x v="0"/>
    <x v="3"/>
    <s v="Hewlett Packard 310 Color Digital Copier"/>
    <n v="479.98399999999998"/>
    <n v="2"/>
    <n v="59.997999999999998"/>
    <x v="0"/>
    <x v="2"/>
    <x v="4"/>
    <n v="0.125"/>
  </r>
  <r>
    <s v="CA-2015-134747"/>
    <x v="27"/>
    <d v="2015-10-17T00:00:00"/>
    <x v="1"/>
    <s v="DL-12925"/>
    <s v="Daniel Lacy"/>
    <x v="0"/>
    <s v="United States"/>
    <x v="170"/>
    <x v="21"/>
    <x v="1"/>
    <s v="TEC-PH-10002890"/>
    <x v="0"/>
    <x v="0"/>
    <s v="AT&amp;T 17929 Lendline Telephone"/>
    <n v="135.72"/>
    <n v="3"/>
    <n v="35.287199999999999"/>
    <x v="0"/>
    <x v="2"/>
    <x v="7"/>
    <n v="0.26"/>
  </r>
  <r>
    <s v="CA-2015-134747"/>
    <x v="27"/>
    <d v="2015-10-17T00:00:00"/>
    <x v="1"/>
    <s v="DL-12925"/>
    <s v="Daniel Lacy"/>
    <x v="0"/>
    <s v="United States"/>
    <x v="170"/>
    <x v="21"/>
    <x v="1"/>
    <s v="TEC-PH-10001750"/>
    <x v="0"/>
    <x v="0"/>
    <s v="Samsung Rugby III"/>
    <n v="263.95999999999998"/>
    <n v="4"/>
    <n v="71.269199999999998"/>
    <x v="0"/>
    <x v="2"/>
    <x v="7"/>
    <n v="0.27"/>
  </r>
  <r>
    <s v="US-2016-169040"/>
    <x v="365"/>
    <d v="2016-12-12T00:00:00"/>
    <x v="0"/>
    <s v="GT-14710"/>
    <s v="Greg Tran"/>
    <x v="0"/>
    <s v="United States"/>
    <x v="45"/>
    <x v="17"/>
    <x v="0"/>
    <s v="TEC-PH-10002310"/>
    <x v="0"/>
    <x v="0"/>
    <s v="Plantronics Calisto P620-M USB Wireless Speakerphone System"/>
    <n v="156.792"/>
    <n v="1"/>
    <n v="13.7193"/>
    <x v="3"/>
    <x v="1"/>
    <x v="3"/>
    <n v="8.7499999999999994E-2"/>
  </r>
  <r>
    <s v="US-2016-169040"/>
    <x v="365"/>
    <d v="2016-12-12T00:00:00"/>
    <x v="0"/>
    <s v="GT-14710"/>
    <s v="Greg Tran"/>
    <x v="0"/>
    <s v="United States"/>
    <x v="45"/>
    <x v="17"/>
    <x v="0"/>
    <s v="TEC-PH-10002834"/>
    <x v="0"/>
    <x v="0"/>
    <s v="Google Nexus 5"/>
    <n v="431.976"/>
    <n v="3"/>
    <n v="26.9985"/>
    <x v="3"/>
    <x v="1"/>
    <x v="3"/>
    <n v="6.25E-2"/>
  </r>
  <r>
    <s v="CA-2017-134915"/>
    <x v="250"/>
    <d v="2017-11-12T00:00:00"/>
    <x v="3"/>
    <s v="EM-14140"/>
    <s v="Eugene Moren"/>
    <x v="2"/>
    <s v="United States"/>
    <x v="110"/>
    <x v="6"/>
    <x v="0"/>
    <s v="TEC-AC-10001266"/>
    <x v="0"/>
    <x v="1"/>
    <s v="Memorex Micro Travel Drive 8 GB"/>
    <n v="41.6"/>
    <n v="4"/>
    <n v="13"/>
    <x v="7"/>
    <x v="3"/>
    <x v="6"/>
    <n v="0.3125"/>
  </r>
  <r>
    <s v="CA-2017-134915"/>
    <x v="250"/>
    <d v="2017-11-12T00:00:00"/>
    <x v="3"/>
    <s v="EM-14140"/>
    <s v="Eugene Moren"/>
    <x v="2"/>
    <s v="United States"/>
    <x v="110"/>
    <x v="6"/>
    <x v="0"/>
    <s v="TEC-PH-10000347"/>
    <x v="0"/>
    <x v="0"/>
    <s v="Cush Cases Heavy Duty Rugged Cover Case for Samsung Galaxy S5 - Purple"/>
    <n v="7.92"/>
    <n v="2"/>
    <n v="0.69299999999999995"/>
    <x v="7"/>
    <x v="3"/>
    <x v="6"/>
    <n v="8.7499999999999994E-2"/>
  </r>
  <r>
    <s v="CA-2017-134915"/>
    <x v="250"/>
    <d v="2017-11-12T00:00:00"/>
    <x v="3"/>
    <s v="EM-14140"/>
    <s v="Eugene Moren"/>
    <x v="2"/>
    <s v="United States"/>
    <x v="110"/>
    <x v="6"/>
    <x v="0"/>
    <s v="TEC-PH-10001459"/>
    <x v="0"/>
    <x v="0"/>
    <s v="Samsung Galaxy Mega 6.3"/>
    <n v="671.98400000000004"/>
    <n v="2"/>
    <n v="50.398800000000001"/>
    <x v="7"/>
    <x v="3"/>
    <x v="6"/>
    <n v="7.4999999999999997E-2"/>
  </r>
  <r>
    <s v="CA-2016-153353"/>
    <x v="366"/>
    <d v="2016-08-24T00:00:00"/>
    <x v="0"/>
    <s v="GG-14650"/>
    <s v="Greg Guthrie"/>
    <x v="1"/>
    <s v="United States"/>
    <x v="7"/>
    <x v="5"/>
    <x v="2"/>
    <s v="TEC-PH-10000439"/>
    <x v="0"/>
    <x v="0"/>
    <s v="GE DSL Phone Line Filter"/>
    <n v="39.99"/>
    <n v="1"/>
    <n v="11.597099999999999"/>
    <x v="3"/>
    <x v="1"/>
    <x v="1"/>
    <n v="0.28999999999999998"/>
  </r>
  <r>
    <s v="CA-2016-139010"/>
    <x v="367"/>
    <d v="2016-02-26T00:00:00"/>
    <x v="1"/>
    <s v="MC-17635"/>
    <s v="Matthew Clasen"/>
    <x v="1"/>
    <s v="United States"/>
    <x v="0"/>
    <x v="0"/>
    <x v="0"/>
    <s v="TEC-AC-10004227"/>
    <x v="0"/>
    <x v="1"/>
    <s v="SanDisk Ultra 16 GB MicroSDHC Class 10 Memory Card"/>
    <n v="12.99"/>
    <n v="1"/>
    <n v="0.77939999999999998"/>
    <x v="0"/>
    <x v="1"/>
    <x v="8"/>
    <n v="0.06"/>
  </r>
  <r>
    <s v="CA-2014-138317"/>
    <x v="99"/>
    <d v="2014-06-25T00:00:00"/>
    <x v="0"/>
    <s v="NW-18400"/>
    <s v="Natalie Webber"/>
    <x v="0"/>
    <s v="United States"/>
    <x v="20"/>
    <x v="12"/>
    <x v="2"/>
    <s v="TEC-AC-10003628"/>
    <x v="0"/>
    <x v="1"/>
    <s v="Logitech 910-002974 M325 Wireless Mouse for Web Scrolling"/>
    <n v="95.968000000000004"/>
    <n v="4"/>
    <n v="28.790400000000002"/>
    <x v="1"/>
    <x v="0"/>
    <x v="0"/>
    <n v="0.3"/>
  </r>
  <r>
    <s v="CA-2014-138317"/>
    <x v="99"/>
    <d v="2014-06-25T00:00:00"/>
    <x v="0"/>
    <s v="NW-18400"/>
    <s v="Natalie Webber"/>
    <x v="0"/>
    <s v="United States"/>
    <x v="20"/>
    <x v="12"/>
    <x v="2"/>
    <s v="TEC-MA-10004521"/>
    <x v="0"/>
    <x v="2"/>
    <s v="Epson Perfection V600 Photo Scanner"/>
    <n v="206.99100000000001"/>
    <n v="3"/>
    <n v="-172.49250000000001"/>
    <x v="1"/>
    <x v="0"/>
    <x v="0"/>
    <n v="-0.83333333333333304"/>
  </r>
  <r>
    <s v="CA-2017-134845"/>
    <x v="368"/>
    <d v="2017-04-23T00:00:00"/>
    <x v="0"/>
    <s v="SR-20425"/>
    <s v="Sharelle Roach"/>
    <x v="2"/>
    <s v="United States"/>
    <x v="39"/>
    <x v="7"/>
    <x v="0"/>
    <s v="TEC-MA-10000822"/>
    <x v="0"/>
    <x v="2"/>
    <s v="Lexmark MX611dhe Monochrome Laser Printer"/>
    <n v="2549.9850000000001"/>
    <n v="5"/>
    <n v="-3399.98"/>
    <x v="3"/>
    <x v="3"/>
    <x v="9"/>
    <n v="-1.3333333333333299"/>
  </r>
  <r>
    <s v="US-2016-160528"/>
    <x v="369"/>
    <d v="2016-08-30T00:00:00"/>
    <x v="0"/>
    <s v="MH-18115"/>
    <s v="Mick Hernandez"/>
    <x v="2"/>
    <s v="United States"/>
    <x v="171"/>
    <x v="1"/>
    <x v="1"/>
    <s v="TEC-AC-10002842"/>
    <x v="0"/>
    <x v="1"/>
    <s v="WD My Passport Ultra 2TB Portable External Hard Drive"/>
    <n v="666.4"/>
    <n v="7"/>
    <n v="-33.32"/>
    <x v="5"/>
    <x v="1"/>
    <x v="1"/>
    <n v="-0.05"/>
  </r>
  <r>
    <s v="US-2016-164189"/>
    <x v="370"/>
    <d v="2016-03-28T00:00:00"/>
    <x v="0"/>
    <s v="DR-12880"/>
    <s v="Dan Reichenbach"/>
    <x v="1"/>
    <s v="United States"/>
    <x v="172"/>
    <x v="16"/>
    <x v="0"/>
    <s v="TEC-PH-10003691"/>
    <x v="0"/>
    <x v="0"/>
    <s v="BlackBerry Q10"/>
    <n v="403.16800000000001"/>
    <n v="4"/>
    <n v="25.198"/>
    <x v="1"/>
    <x v="1"/>
    <x v="5"/>
    <n v="6.25E-2"/>
  </r>
  <r>
    <s v="US-2015-123960"/>
    <x v="371"/>
    <d v="2015-06-16T00:00:00"/>
    <x v="0"/>
    <s v="BD-11605"/>
    <s v="Brian Dahlen"/>
    <x v="0"/>
    <s v="United States"/>
    <x v="23"/>
    <x v="13"/>
    <x v="3"/>
    <s v="TEC-AC-10003038"/>
    <x v="0"/>
    <x v="1"/>
    <s v="Kingston Digital DataTraveler 16GB USB 2.0"/>
    <n v="53.7"/>
    <n v="6"/>
    <n v="10.202999999999999"/>
    <x v="0"/>
    <x v="2"/>
    <x v="0"/>
    <n v="0.19"/>
  </r>
  <r>
    <s v="CA-2015-135174"/>
    <x v="372"/>
    <d v="2015-05-02T00:00:00"/>
    <x v="1"/>
    <s v="BP-11230"/>
    <s v="Benjamin Patterson"/>
    <x v="0"/>
    <s v="United States"/>
    <x v="8"/>
    <x v="9"/>
    <x v="2"/>
    <s v="TEC-PH-10001530"/>
    <x v="0"/>
    <x v="0"/>
    <s v="Cisco Unified IP Phone 7945G VoIP phone"/>
    <n v="1022.97"/>
    <n v="5"/>
    <n v="-255.74250000000001"/>
    <x v="2"/>
    <x v="2"/>
    <x v="9"/>
    <n v="-0.25"/>
  </r>
  <r>
    <s v="CA-2017-121419"/>
    <x v="373"/>
    <d v="2017-04-04T00:00:00"/>
    <x v="2"/>
    <s v="TC-21475"/>
    <s v="Tony Chapman"/>
    <x v="2"/>
    <s v="United States"/>
    <x v="16"/>
    <x v="31"/>
    <x v="3"/>
    <s v="TEC-AC-10000892"/>
    <x v="0"/>
    <x v="1"/>
    <s v="NETGEAR N750 Dual Band Wi-Fi Gigabit Router"/>
    <n v="360"/>
    <n v="4"/>
    <n v="129.6"/>
    <x v="2"/>
    <x v="3"/>
    <x v="9"/>
    <n v="0.36"/>
  </r>
  <r>
    <s v="CA-2016-128517"/>
    <x v="374"/>
    <d v="2016-04-14T00:00:00"/>
    <x v="1"/>
    <s v="SW-20350"/>
    <s v="Sean Wendt"/>
    <x v="2"/>
    <s v="United States"/>
    <x v="77"/>
    <x v="14"/>
    <x v="1"/>
    <s v="TEC-PH-10002555"/>
    <x v="0"/>
    <x v="0"/>
    <s v="Nortel Meridian M5316 Digital phone"/>
    <n v="517.9"/>
    <n v="2"/>
    <n v="134.654"/>
    <x v="0"/>
    <x v="1"/>
    <x v="9"/>
    <n v="0.26"/>
  </r>
  <r>
    <s v="US-2015-100377"/>
    <x v="375"/>
    <d v="2015-09-01T00:00:00"/>
    <x v="0"/>
    <s v="TS-21370"/>
    <s v="Todd Sumrall"/>
    <x v="1"/>
    <s v="United States"/>
    <x v="11"/>
    <x v="2"/>
    <x v="1"/>
    <s v="TEC-CO-10001046"/>
    <x v="0"/>
    <x v="3"/>
    <s v="Canon Imageclass D680 Copier / Fax"/>
    <n v="2799.96"/>
    <n v="5"/>
    <n v="874.98749999999995"/>
    <x v="1"/>
    <x v="2"/>
    <x v="1"/>
    <n v="0.3125"/>
  </r>
  <r>
    <s v="CA-2016-144554"/>
    <x v="376"/>
    <d v="2016-11-12T00:00:00"/>
    <x v="0"/>
    <s v="DM-13345"/>
    <s v="Denise Monton"/>
    <x v="1"/>
    <s v="United States"/>
    <x v="129"/>
    <x v="9"/>
    <x v="2"/>
    <s v="TEC-AC-10002800"/>
    <x v="0"/>
    <x v="1"/>
    <s v="Plantronics Audio 478 Stereo USB Headset"/>
    <n v="119.976"/>
    <n v="3"/>
    <n v="22.4955"/>
    <x v="0"/>
    <x v="1"/>
    <x v="6"/>
    <n v="0.1875"/>
  </r>
  <r>
    <s v="CA-2015-145184"/>
    <x v="54"/>
    <d v="2015-11-29T00:00:00"/>
    <x v="2"/>
    <s v="JD-16150"/>
    <s v="Justin Deggeller"/>
    <x v="1"/>
    <s v="United States"/>
    <x v="129"/>
    <x v="4"/>
    <x v="2"/>
    <s v="TEC-PH-10002350"/>
    <x v="0"/>
    <x v="0"/>
    <s v="Apple EarPods with Remote and Mic"/>
    <n v="83.97"/>
    <n v="3"/>
    <n v="23.511600000000001"/>
    <x v="2"/>
    <x v="2"/>
    <x v="6"/>
    <n v="0.28000000000000003"/>
  </r>
  <r>
    <s v="CA-2015-145184"/>
    <x v="54"/>
    <d v="2015-11-29T00:00:00"/>
    <x v="2"/>
    <s v="JD-16150"/>
    <s v="Justin Deggeller"/>
    <x v="1"/>
    <s v="United States"/>
    <x v="129"/>
    <x v="4"/>
    <x v="2"/>
    <s v="TEC-AC-10000397"/>
    <x v="0"/>
    <x v="1"/>
    <s v="Perixx PERIBOARD-512B, Ergonomic Split Keyboard"/>
    <n v="104.97"/>
    <n v="3"/>
    <n v="7.3479000000000001"/>
    <x v="2"/>
    <x v="2"/>
    <x v="6"/>
    <n v="7.0000000000000007E-2"/>
  </r>
  <r>
    <s v="CA-2017-106859"/>
    <x v="377"/>
    <d v="2017-03-18T00:00:00"/>
    <x v="1"/>
    <s v="BF-11215"/>
    <s v="Benjamin Farhat"/>
    <x v="2"/>
    <s v="United States"/>
    <x v="150"/>
    <x v="29"/>
    <x v="0"/>
    <s v="TEC-PH-10004531"/>
    <x v="0"/>
    <x v="0"/>
    <s v="OtterBox Commuter Series Case - iPhone 5 &amp; 5s"/>
    <n v="140.73599999999999"/>
    <n v="8"/>
    <n v="49.257599999999996"/>
    <x v="0"/>
    <x v="3"/>
    <x v="5"/>
    <n v="0.35"/>
  </r>
  <r>
    <s v="CA-2017-106859"/>
    <x v="377"/>
    <d v="2017-03-18T00:00:00"/>
    <x v="1"/>
    <s v="BF-11215"/>
    <s v="Benjamin Farhat"/>
    <x v="2"/>
    <s v="United States"/>
    <x v="150"/>
    <x v="29"/>
    <x v="0"/>
    <s v="TEC-AC-10004001"/>
    <x v="0"/>
    <x v="1"/>
    <s v="Logitech Wireless Headset H600 Over-The-Head Design"/>
    <n v="214.95"/>
    <n v="5"/>
    <n v="88.129499999999993"/>
    <x v="0"/>
    <x v="3"/>
    <x v="5"/>
    <n v="0.41"/>
  </r>
  <r>
    <s v="CA-2017-101182"/>
    <x v="210"/>
    <d v="2017-09-05T00:00:00"/>
    <x v="2"/>
    <s v="KB-16405"/>
    <s v="Katrina Bavinger"/>
    <x v="2"/>
    <s v="United States"/>
    <x v="173"/>
    <x v="0"/>
    <x v="0"/>
    <s v="TEC-PH-10003589"/>
    <x v="0"/>
    <x v="0"/>
    <s v="invisibleSHIELD by ZAGG Smudge-Free Screen Protector"/>
    <n v="43.176000000000002"/>
    <n v="3"/>
    <n v="15.111599999999999"/>
    <x v="4"/>
    <x v="3"/>
    <x v="4"/>
    <n v="0.35"/>
  </r>
  <r>
    <s v="US-2017-132297"/>
    <x v="378"/>
    <d v="2017-06-02T00:00:00"/>
    <x v="0"/>
    <s v="DW-13480"/>
    <s v="Dianna Wilson"/>
    <x v="2"/>
    <s v="United States"/>
    <x v="39"/>
    <x v="27"/>
    <x v="3"/>
    <s v="TEC-PH-10002834"/>
    <x v="0"/>
    <x v="0"/>
    <s v="Google Nexus 5"/>
    <n v="539.97"/>
    <n v="3"/>
    <n v="134.99250000000001"/>
    <x v="3"/>
    <x v="3"/>
    <x v="11"/>
    <n v="0.25"/>
  </r>
  <r>
    <s v="CA-2017-118773"/>
    <x v="379"/>
    <d v="2017-02-14T00:00:00"/>
    <x v="0"/>
    <s v="TP-21415"/>
    <s v="Tom Prescott"/>
    <x v="0"/>
    <s v="United States"/>
    <x v="3"/>
    <x v="1"/>
    <x v="1"/>
    <s v="TEC-AC-10002402"/>
    <x v="0"/>
    <x v="1"/>
    <s v="Razer Kraken PRO Over Ear PC and Music Headset"/>
    <n v="127.98399999999999"/>
    <n v="2"/>
    <n v="15.997999999999999"/>
    <x v="0"/>
    <x v="3"/>
    <x v="8"/>
    <n v="0.125"/>
  </r>
  <r>
    <s v="US-2017-159205"/>
    <x v="187"/>
    <d v="2017-04-02T00:00:00"/>
    <x v="1"/>
    <s v="DB-12910"/>
    <s v="Daniel Byrd"/>
    <x v="2"/>
    <s v="United States"/>
    <x v="174"/>
    <x v="27"/>
    <x v="3"/>
    <s v="TEC-PH-10000526"/>
    <x v="0"/>
    <x v="0"/>
    <s v="Vtech CS6719"/>
    <n v="671.93"/>
    <n v="7"/>
    <n v="188.1404"/>
    <x v="2"/>
    <x v="3"/>
    <x v="5"/>
    <n v="0.28000000000000003"/>
  </r>
  <r>
    <s v="CA-2016-112123"/>
    <x v="380"/>
    <d v="2016-03-08T00:00:00"/>
    <x v="0"/>
    <s v="BH-11710"/>
    <s v="Brosina Hoffman"/>
    <x v="0"/>
    <s v="United States"/>
    <x v="129"/>
    <x v="4"/>
    <x v="2"/>
    <s v="TEC-PH-10001557"/>
    <x v="0"/>
    <x v="0"/>
    <s v="Pyle PMP37LED"/>
    <n v="479.95"/>
    <n v="5"/>
    <n v="129.5865"/>
    <x v="0"/>
    <x v="1"/>
    <x v="5"/>
    <n v="0.27"/>
  </r>
  <r>
    <s v="CA-2016-150350"/>
    <x v="369"/>
    <d v="2016-08-30T00:00:00"/>
    <x v="0"/>
    <s v="MS-17770"/>
    <s v="Maxwell Schwartz"/>
    <x v="0"/>
    <s v="United States"/>
    <x v="45"/>
    <x v="17"/>
    <x v="0"/>
    <s v="TEC-MA-10001972"/>
    <x v="0"/>
    <x v="2"/>
    <s v="Okidata C331dn Printer"/>
    <n v="837.6"/>
    <n v="3"/>
    <n v="62.82"/>
    <x v="5"/>
    <x v="1"/>
    <x v="1"/>
    <n v="7.4999999999999997E-2"/>
  </r>
  <r>
    <s v="CA-2015-121720"/>
    <x v="371"/>
    <d v="2015-06-12T00:00:00"/>
    <x v="2"/>
    <s v="JE-15610"/>
    <s v="Jim Epp"/>
    <x v="1"/>
    <s v="United States"/>
    <x v="175"/>
    <x v="15"/>
    <x v="3"/>
    <s v="TEC-PH-10002496"/>
    <x v="0"/>
    <x v="0"/>
    <s v="Cisco SPA301"/>
    <n v="249.584"/>
    <n v="2"/>
    <n v="31.198"/>
    <x v="4"/>
    <x v="2"/>
    <x v="0"/>
    <n v="0.125"/>
  </r>
  <r>
    <s v="CA-2017-149895"/>
    <x v="381"/>
    <d v="2017-09-12T00:00:00"/>
    <x v="0"/>
    <s v="EB-14110"/>
    <s v="Eugene Barchas"/>
    <x v="0"/>
    <s v="United States"/>
    <x v="20"/>
    <x v="12"/>
    <x v="2"/>
    <s v="TEC-PH-10002200"/>
    <x v="0"/>
    <x v="0"/>
    <s v="Aastra 6757i CT Wireless VoIP phone"/>
    <n v="258.52800000000002"/>
    <n v="2"/>
    <n v="-47.396799999999999"/>
    <x v="1"/>
    <x v="3"/>
    <x v="4"/>
    <n v="-0.18333333333333299"/>
  </r>
  <r>
    <s v="CA-2014-136399"/>
    <x v="382"/>
    <d v="2014-12-17T00:00:00"/>
    <x v="2"/>
    <s v="CC-12100"/>
    <s v="Chad Cunningham"/>
    <x v="2"/>
    <s v="United States"/>
    <x v="0"/>
    <x v="0"/>
    <x v="0"/>
    <s v="TEC-AC-10001142"/>
    <x v="0"/>
    <x v="1"/>
    <s v="First Data FD10 PIN Pad"/>
    <n v="395"/>
    <n v="5"/>
    <n v="39.5"/>
    <x v="4"/>
    <x v="0"/>
    <x v="3"/>
    <n v="0.1"/>
  </r>
  <r>
    <s v="CA-2014-136399"/>
    <x v="382"/>
    <d v="2014-12-17T00:00:00"/>
    <x v="2"/>
    <s v="CC-12100"/>
    <s v="Chad Cunningham"/>
    <x v="2"/>
    <s v="United States"/>
    <x v="0"/>
    <x v="0"/>
    <x v="0"/>
    <s v="TEC-PH-10004977"/>
    <x v="0"/>
    <x v="0"/>
    <s v="GE 30524EE4"/>
    <n v="627.16800000000001"/>
    <n v="4"/>
    <n v="70.556399999999996"/>
    <x v="4"/>
    <x v="0"/>
    <x v="3"/>
    <n v="0.1125"/>
  </r>
  <r>
    <s v="CA-2017-164168"/>
    <x v="250"/>
    <d v="2017-11-18T00:00:00"/>
    <x v="0"/>
    <s v="LS-16975"/>
    <s v="Lindsay Shagiari"/>
    <x v="2"/>
    <s v="United States"/>
    <x v="26"/>
    <x v="1"/>
    <x v="1"/>
    <s v="TEC-PH-10004908"/>
    <x v="0"/>
    <x v="0"/>
    <s v="Panasonic KX TS3282W Corded phone"/>
    <n v="67.992000000000004"/>
    <n v="1"/>
    <n v="8.4990000000000006"/>
    <x v="3"/>
    <x v="3"/>
    <x v="6"/>
    <n v="0.125"/>
  </r>
  <r>
    <s v="CA-2017-164168"/>
    <x v="250"/>
    <d v="2017-11-18T00:00:00"/>
    <x v="0"/>
    <s v="LS-16975"/>
    <s v="Lindsay Shagiari"/>
    <x v="2"/>
    <s v="United States"/>
    <x v="26"/>
    <x v="1"/>
    <x v="1"/>
    <s v="TEC-AC-10004568"/>
    <x v="0"/>
    <x v="1"/>
    <s v="Maxell LTO Ultrium - 800 GB"/>
    <n v="44.783999999999999"/>
    <n v="2"/>
    <n v="-0.55979999999999996"/>
    <x v="3"/>
    <x v="3"/>
    <x v="6"/>
    <n v="-1.2500000000000001E-2"/>
  </r>
  <r>
    <s v="CA-2017-162572"/>
    <x v="383"/>
    <d v="2017-09-27T00:00:00"/>
    <x v="1"/>
    <s v="RB-19360"/>
    <s v="Raymond Buch"/>
    <x v="0"/>
    <s v="United States"/>
    <x v="96"/>
    <x v="9"/>
    <x v="2"/>
    <s v="TEC-AC-10003628"/>
    <x v="0"/>
    <x v="1"/>
    <s v="Logitech 910-002974 M325 Wireless Mouse for Web Scrolling"/>
    <n v="119.96"/>
    <n v="5"/>
    <n v="35.988"/>
    <x v="2"/>
    <x v="3"/>
    <x v="4"/>
    <n v="0.3"/>
  </r>
  <r>
    <s v="CA-2017-131828"/>
    <x v="384"/>
    <d v="2017-02-13T00:00:00"/>
    <x v="1"/>
    <s v="CS-11845"/>
    <s v="Cari Sayre"/>
    <x v="1"/>
    <s v="United States"/>
    <x v="45"/>
    <x v="17"/>
    <x v="0"/>
    <s v="TEC-PH-10002923"/>
    <x v="0"/>
    <x v="0"/>
    <s v="Logitech B530 USB Headset - headset - Full size, Binaural"/>
    <n v="88.775999999999996"/>
    <n v="3"/>
    <n v="7.7679"/>
    <x v="2"/>
    <x v="3"/>
    <x v="8"/>
    <n v="8.7499999999999994E-2"/>
  </r>
  <r>
    <s v="CA-2015-147830"/>
    <x v="66"/>
    <d v="2015-12-18T00:00:00"/>
    <x v="2"/>
    <s v="NF-18385"/>
    <s v="Natalie Fritzler"/>
    <x v="0"/>
    <s v="United States"/>
    <x v="129"/>
    <x v="9"/>
    <x v="2"/>
    <s v="TEC-AC-10002049"/>
    <x v="0"/>
    <x v="1"/>
    <s v="Plantronics Savi W720 Multi-Device Wireless Headset System"/>
    <n v="2025.36"/>
    <n v="6"/>
    <n v="607.60799999999995"/>
    <x v="6"/>
    <x v="2"/>
    <x v="3"/>
    <n v="0.3"/>
  </r>
  <r>
    <s v="CA-2015-147830"/>
    <x v="66"/>
    <d v="2015-12-18T00:00:00"/>
    <x v="2"/>
    <s v="NF-18385"/>
    <s v="Natalie Fritzler"/>
    <x v="0"/>
    <s v="United States"/>
    <x v="129"/>
    <x v="9"/>
    <x v="2"/>
    <s v="TEC-MA-10000418"/>
    <x v="0"/>
    <x v="2"/>
    <s v="Cubify CubeX 3D Printer Double Head Print"/>
    <n v="1799.9939999999999"/>
    <n v="2"/>
    <n v="-2639.9911999999999"/>
    <x v="6"/>
    <x v="2"/>
    <x v="3"/>
    <n v="-1.4666666666666699"/>
  </r>
  <r>
    <s v="CA-2015-147830"/>
    <x v="66"/>
    <d v="2015-12-18T00:00:00"/>
    <x v="2"/>
    <s v="NF-18385"/>
    <s v="Natalie Fritzler"/>
    <x v="0"/>
    <s v="United States"/>
    <x v="129"/>
    <x v="9"/>
    <x v="2"/>
    <s v="TEC-PH-10004908"/>
    <x v="0"/>
    <x v="0"/>
    <s v="Panasonic KX TS3282W Corded phone"/>
    <n v="101.988"/>
    <n v="2"/>
    <n v="-16.998000000000001"/>
    <x v="6"/>
    <x v="2"/>
    <x v="3"/>
    <n v="-0.16666666666666699"/>
  </r>
  <r>
    <s v="CA-2015-139584"/>
    <x v="385"/>
    <d v="2015-08-28T00:00:00"/>
    <x v="0"/>
    <s v="EM-13810"/>
    <s v="Eleni McCrary"/>
    <x v="1"/>
    <s v="United States"/>
    <x v="7"/>
    <x v="5"/>
    <x v="2"/>
    <s v="TEC-AC-10001266"/>
    <x v="0"/>
    <x v="1"/>
    <s v="Memorex Micro Travel Drive 8 GB"/>
    <n v="26"/>
    <n v="2"/>
    <n v="11.7"/>
    <x v="1"/>
    <x v="2"/>
    <x v="1"/>
    <n v="0.45"/>
  </r>
  <r>
    <s v="US-2016-162677"/>
    <x v="386"/>
    <d v="2016-03-27T00:00:00"/>
    <x v="2"/>
    <s v="DB-13210"/>
    <s v="Dean Braden"/>
    <x v="0"/>
    <s v="United States"/>
    <x v="42"/>
    <x v="8"/>
    <x v="3"/>
    <s v="TEC-AC-10001314"/>
    <x v="0"/>
    <x v="1"/>
    <s v="Case Logic 2.4GHz Wireless Keyboard"/>
    <n v="119.976"/>
    <n v="3"/>
    <n v="-17.996400000000001"/>
    <x v="4"/>
    <x v="1"/>
    <x v="5"/>
    <n v="-0.15"/>
  </r>
  <r>
    <s v="CA-2014-153969"/>
    <x v="57"/>
    <d v="2014-09-25T00:00:00"/>
    <x v="0"/>
    <s v="HF-14995"/>
    <s v="Herbert Flentye"/>
    <x v="0"/>
    <s v="United States"/>
    <x v="1"/>
    <x v="0"/>
    <x v="0"/>
    <s v="TEC-PH-10001299"/>
    <x v="0"/>
    <x v="0"/>
    <s v="Polycom CX300 Desktop Phone USB VoIP phone"/>
    <n v="239.98400000000001"/>
    <n v="2"/>
    <n v="23.9984"/>
    <x v="1"/>
    <x v="0"/>
    <x v="4"/>
    <n v="0.1"/>
  </r>
  <r>
    <s v="US-2017-132059"/>
    <x v="262"/>
    <d v="2017-09-29T00:00:00"/>
    <x v="0"/>
    <s v="AP-10915"/>
    <s v="Arthur Prichep"/>
    <x v="0"/>
    <s v="United States"/>
    <x v="176"/>
    <x v="7"/>
    <x v="0"/>
    <s v="TEC-AC-10003280"/>
    <x v="0"/>
    <x v="1"/>
    <s v="Belkin F8E887 USB Wired Ergonomic Keyboard"/>
    <n v="47.984000000000002"/>
    <n v="2"/>
    <n v="0.5998"/>
    <x v="3"/>
    <x v="3"/>
    <x v="4"/>
    <n v="1.2500000000000001E-2"/>
  </r>
  <r>
    <s v="CA-2017-152912"/>
    <x v="308"/>
    <d v="2017-11-12T00:00:00"/>
    <x v="1"/>
    <s v="BM-11650"/>
    <s v="Brian Moss"/>
    <x v="1"/>
    <s v="United States"/>
    <x v="135"/>
    <x v="33"/>
    <x v="2"/>
    <s v="TEC-AC-10004666"/>
    <x v="0"/>
    <x v="1"/>
    <s v="Maxell iVDR EX 500GB Cartridge"/>
    <n v="826.62"/>
    <n v="3"/>
    <n v="355.44659999999999"/>
    <x v="6"/>
    <x v="3"/>
    <x v="6"/>
    <n v="0.43"/>
  </r>
  <r>
    <s v="CA-2017-159352"/>
    <x v="387"/>
    <d v="2017-03-17T00:00:00"/>
    <x v="0"/>
    <s v="KB-16585"/>
    <s v="Ken Black"/>
    <x v="1"/>
    <s v="United States"/>
    <x v="177"/>
    <x v="35"/>
    <x v="2"/>
    <s v="TEC-PH-10004700"/>
    <x v="0"/>
    <x v="0"/>
    <s v="PowerGen Dual USB Car Charger"/>
    <n v="69.930000000000007"/>
    <n v="7"/>
    <n v="32.1678"/>
    <x v="0"/>
    <x v="3"/>
    <x v="5"/>
    <n v="0.46"/>
  </r>
  <r>
    <s v="CA-2017-123981"/>
    <x v="388"/>
    <d v="2017-10-08T00:00:00"/>
    <x v="0"/>
    <s v="RW-19630"/>
    <s v="Rob Williams"/>
    <x v="1"/>
    <s v="United States"/>
    <x v="7"/>
    <x v="5"/>
    <x v="2"/>
    <s v="TEC-PH-10002115"/>
    <x v="0"/>
    <x v="0"/>
    <s v="Plantronics 81402"/>
    <n v="65.989999999999995"/>
    <n v="1"/>
    <n v="17.157399999999999"/>
    <x v="3"/>
    <x v="3"/>
    <x v="7"/>
    <n v="0.26"/>
  </r>
  <r>
    <s v="CA-2017-109750"/>
    <x v="389"/>
    <d v="2017-07-28T00:00:00"/>
    <x v="0"/>
    <s v="FH-14365"/>
    <s v="Fred Hopkins"/>
    <x v="1"/>
    <s v="United States"/>
    <x v="7"/>
    <x v="5"/>
    <x v="2"/>
    <s v="TEC-PH-10000702"/>
    <x v="0"/>
    <x v="0"/>
    <s v="Square Credit Card Reader, 4 1/2&quot; x 4 1/2&quot; x 1&quot;, White"/>
    <n v="29.97"/>
    <n v="3"/>
    <n v="14.085900000000001"/>
    <x v="3"/>
    <x v="3"/>
    <x v="10"/>
    <n v="0.47"/>
  </r>
  <r>
    <s v="CA-2014-131527"/>
    <x v="390"/>
    <d v="2014-12-07T00:00:00"/>
    <x v="0"/>
    <s v="TB-21280"/>
    <s v="Toby Braunhardt"/>
    <x v="0"/>
    <s v="United States"/>
    <x v="42"/>
    <x v="8"/>
    <x v="3"/>
    <s v="TEC-PH-10001644"/>
    <x v="0"/>
    <x v="0"/>
    <s v="BlueLounge Milo Smartphone Stand, White/Metallic"/>
    <n v="95.968000000000004"/>
    <n v="4"/>
    <n v="9.5968"/>
    <x v="3"/>
    <x v="0"/>
    <x v="3"/>
    <n v="0.1"/>
  </r>
  <r>
    <s v="CA-2014-158372"/>
    <x v="391"/>
    <d v="2014-11-16T00:00:00"/>
    <x v="0"/>
    <s v="RD-19900"/>
    <s v="Ruben Dartt"/>
    <x v="0"/>
    <s v="United States"/>
    <x v="30"/>
    <x v="0"/>
    <x v="0"/>
    <s v="TEC-PH-10002103"/>
    <x v="0"/>
    <x v="0"/>
    <s v="Jabra SPEAK 410"/>
    <n v="601.53599999999994"/>
    <n v="8"/>
    <n v="60.153599999999997"/>
    <x v="3"/>
    <x v="0"/>
    <x v="6"/>
    <n v="0.1"/>
  </r>
  <r>
    <s v="CA-2014-158372"/>
    <x v="391"/>
    <d v="2014-11-16T00:00:00"/>
    <x v="0"/>
    <s v="RD-19900"/>
    <s v="Ruben Dartt"/>
    <x v="0"/>
    <s v="United States"/>
    <x v="30"/>
    <x v="0"/>
    <x v="0"/>
    <s v="TEC-AC-10004209"/>
    <x v="0"/>
    <x v="1"/>
    <s v="Memorex Froggy Flash Drive 4 GB"/>
    <n v="10.99"/>
    <n v="1"/>
    <n v="4.2861000000000002"/>
    <x v="3"/>
    <x v="0"/>
    <x v="6"/>
    <n v="0.39"/>
  </r>
  <r>
    <s v="CA-2016-108882"/>
    <x v="392"/>
    <d v="2016-01-15T00:00:00"/>
    <x v="0"/>
    <s v="LA-16780"/>
    <s v="Laura Armstrong"/>
    <x v="1"/>
    <s v="United States"/>
    <x v="149"/>
    <x v="0"/>
    <x v="0"/>
    <s v="TEC-AC-10000420"/>
    <x v="0"/>
    <x v="1"/>
    <s v="Logitech G500s Laser Gaming Mouse with Adjustable Weight Tuning"/>
    <n v="349.95"/>
    <n v="5"/>
    <n v="118.983"/>
    <x v="3"/>
    <x v="1"/>
    <x v="2"/>
    <n v="0.34"/>
  </r>
  <r>
    <s v="CA-2016-108882"/>
    <x v="392"/>
    <d v="2016-01-15T00:00:00"/>
    <x v="0"/>
    <s v="LA-16780"/>
    <s v="Laura Armstrong"/>
    <x v="1"/>
    <s v="United States"/>
    <x v="149"/>
    <x v="0"/>
    <x v="0"/>
    <s v="TEC-PH-10002726"/>
    <x v="0"/>
    <x v="0"/>
    <s v="netTALK DUO VoIP Telephone Service"/>
    <n v="377.928"/>
    <n v="9"/>
    <n v="141.72300000000001"/>
    <x v="3"/>
    <x v="1"/>
    <x v="2"/>
    <n v="0.375"/>
  </r>
  <r>
    <s v="CA-2014-114433"/>
    <x v="393"/>
    <d v="2014-05-17T00:00:00"/>
    <x v="0"/>
    <s v="NP-18325"/>
    <s v="Naresj Patel"/>
    <x v="0"/>
    <s v="United States"/>
    <x v="89"/>
    <x v="0"/>
    <x v="0"/>
    <s v="TEC-AC-10002800"/>
    <x v="0"/>
    <x v="1"/>
    <s v="Plantronics Audio 478 Stereo USB Headset"/>
    <n v="149.97"/>
    <n v="3"/>
    <n v="52.4895"/>
    <x v="1"/>
    <x v="0"/>
    <x v="11"/>
    <n v="0.35"/>
  </r>
  <r>
    <s v="CA-2017-104640"/>
    <x v="191"/>
    <d v="2017-11-16T00:00:00"/>
    <x v="0"/>
    <s v="FH-14275"/>
    <s v="Frank Hawley"/>
    <x v="1"/>
    <s v="United States"/>
    <x v="7"/>
    <x v="5"/>
    <x v="2"/>
    <s v="TEC-PH-10002200"/>
    <x v="0"/>
    <x v="0"/>
    <s v="Aastra 6757i CT Wireless VoIP phone"/>
    <n v="430.88"/>
    <n v="2"/>
    <n v="124.9552"/>
    <x v="3"/>
    <x v="3"/>
    <x v="6"/>
    <n v="0.28999999999999998"/>
  </r>
  <r>
    <s v="US-2015-137008"/>
    <x v="394"/>
    <d v="2015-10-08T00:00:00"/>
    <x v="0"/>
    <s v="JP-15460"/>
    <s v="Jennifer Patt"/>
    <x v="1"/>
    <s v="United States"/>
    <x v="95"/>
    <x v="26"/>
    <x v="2"/>
    <s v="TEC-AC-10000892"/>
    <x v="0"/>
    <x v="1"/>
    <s v="NETGEAR N750 Dual Band Wi-Fi Gigabit Router"/>
    <n v="90"/>
    <n v="1"/>
    <n v="32.4"/>
    <x v="3"/>
    <x v="2"/>
    <x v="7"/>
    <n v="0.36"/>
  </r>
  <r>
    <s v="CA-2014-108189"/>
    <x v="395"/>
    <d v="2014-10-05T00:00:00"/>
    <x v="2"/>
    <s v="ES-14080"/>
    <s v="Erin Smith"/>
    <x v="1"/>
    <s v="United States"/>
    <x v="178"/>
    <x v="6"/>
    <x v="0"/>
    <s v="TEC-PH-10001760"/>
    <x v="0"/>
    <x v="0"/>
    <s v="Bose SoundLink Bluetooth Speaker"/>
    <n v="318.39999999999998"/>
    <n v="2"/>
    <n v="107.46"/>
    <x v="6"/>
    <x v="0"/>
    <x v="7"/>
    <n v="0.33750000000000002"/>
  </r>
  <r>
    <s v="CA-2014-108189"/>
    <x v="395"/>
    <d v="2014-10-05T00:00:00"/>
    <x v="2"/>
    <s v="ES-14080"/>
    <s v="Erin Smith"/>
    <x v="1"/>
    <s v="United States"/>
    <x v="178"/>
    <x v="6"/>
    <x v="0"/>
    <s v="TEC-PH-10001557"/>
    <x v="0"/>
    <x v="0"/>
    <s v="Pyle PMP37LED"/>
    <n v="230.376"/>
    <n v="3"/>
    <n v="20.157900000000001"/>
    <x v="6"/>
    <x v="0"/>
    <x v="7"/>
    <n v="8.7499999999999994E-2"/>
  </r>
  <r>
    <s v="CA-2014-108189"/>
    <x v="395"/>
    <d v="2014-10-05T00:00:00"/>
    <x v="2"/>
    <s v="ES-14080"/>
    <s v="Erin Smith"/>
    <x v="1"/>
    <s v="United States"/>
    <x v="178"/>
    <x v="6"/>
    <x v="0"/>
    <s v="TEC-AC-10003038"/>
    <x v="0"/>
    <x v="1"/>
    <s v="Kingston Digital DataTraveler 16GB USB 2.0"/>
    <n v="7.16"/>
    <n v="1"/>
    <n v="-8.9499999999999996E-2"/>
    <x v="6"/>
    <x v="0"/>
    <x v="7"/>
    <n v="-1.2500000000000001E-2"/>
  </r>
  <r>
    <s v="US-2016-127971"/>
    <x v="22"/>
    <d v="2016-11-27T00:00:00"/>
    <x v="0"/>
    <s v="DW-13195"/>
    <s v="David Wiener"/>
    <x v="1"/>
    <s v="United States"/>
    <x v="3"/>
    <x v="1"/>
    <x v="1"/>
    <s v="TEC-PH-10003095"/>
    <x v="0"/>
    <x v="0"/>
    <s v="Samsung HM1900 Bluetooth Headset"/>
    <n v="122.92"/>
    <n v="7"/>
    <n v="46.094999999999999"/>
    <x v="5"/>
    <x v="1"/>
    <x v="6"/>
    <n v="0.375"/>
  </r>
  <r>
    <s v="CA-2017-113355"/>
    <x v="29"/>
    <d v="2017-12-05T00:00:00"/>
    <x v="0"/>
    <s v="SJ-20215"/>
    <s v="Sarah Jordon"/>
    <x v="0"/>
    <s v="United States"/>
    <x v="179"/>
    <x v="1"/>
    <x v="1"/>
    <s v="TEC-PH-10004912"/>
    <x v="0"/>
    <x v="0"/>
    <s v="Cisco SPA112 2 Port Phone Adapter"/>
    <n v="219.8"/>
    <n v="5"/>
    <n v="24.727499999999999"/>
    <x v="1"/>
    <x v="3"/>
    <x v="3"/>
    <n v="0.1125"/>
  </r>
  <r>
    <s v="US-2017-140907"/>
    <x v="184"/>
    <d v="2017-12-12T00:00:00"/>
    <x v="1"/>
    <s v="BP-11185"/>
    <s v="Ben Peterman"/>
    <x v="1"/>
    <s v="United States"/>
    <x v="45"/>
    <x v="17"/>
    <x v="0"/>
    <s v="TEC-AC-10004510"/>
    <x v="0"/>
    <x v="1"/>
    <s v="Logitech Desktop MK120 Mouse and keyboard Combo"/>
    <n v="49.08"/>
    <n v="3"/>
    <n v="4.9080000000000004"/>
    <x v="2"/>
    <x v="3"/>
    <x v="3"/>
    <n v="0.1"/>
  </r>
  <r>
    <s v="CA-2016-159730"/>
    <x v="13"/>
    <d v="2016-09-21T00:00:00"/>
    <x v="0"/>
    <s v="SJ-20125"/>
    <s v="Sanjit Jacobs"/>
    <x v="2"/>
    <s v="United States"/>
    <x v="45"/>
    <x v="17"/>
    <x v="0"/>
    <s v="TEC-PH-10002085"/>
    <x v="0"/>
    <x v="0"/>
    <s v="Clarity 53712"/>
    <n v="105.584"/>
    <n v="2"/>
    <n v="7.9188000000000001"/>
    <x v="1"/>
    <x v="1"/>
    <x v="4"/>
    <n v="7.4999999999999997E-2"/>
  </r>
  <r>
    <s v="CA-2017-110373"/>
    <x v="396"/>
    <d v="2017-10-30T00:00:00"/>
    <x v="1"/>
    <s v="MA-17560"/>
    <s v="Matt Abelman"/>
    <x v="2"/>
    <s v="United States"/>
    <x v="11"/>
    <x v="2"/>
    <x v="1"/>
    <s v="TEC-PH-10001536"/>
    <x v="0"/>
    <x v="0"/>
    <s v="Spigen Samsung Galaxy S5 Case Wallet"/>
    <n v="27.184000000000001"/>
    <n v="2"/>
    <n v="2.0388000000000002"/>
    <x v="6"/>
    <x v="3"/>
    <x v="7"/>
    <n v="7.4999999999999997E-2"/>
  </r>
  <r>
    <s v="CA-2016-155474"/>
    <x v="257"/>
    <d v="2016-07-14T00:00:00"/>
    <x v="0"/>
    <s v="CC-12220"/>
    <s v="Chris Cortes"/>
    <x v="0"/>
    <s v="United States"/>
    <x v="45"/>
    <x v="17"/>
    <x v="0"/>
    <s v="TEC-PH-10001580"/>
    <x v="0"/>
    <x v="0"/>
    <s v="Logitech Mobile Speakerphone P710e - speaker phone"/>
    <n v="107.98399999999999"/>
    <n v="1"/>
    <n v="9.4486000000000008"/>
    <x v="3"/>
    <x v="1"/>
    <x v="10"/>
    <n v="8.7499999999999994E-2"/>
  </r>
  <r>
    <s v="CA-2014-140662"/>
    <x v="397"/>
    <d v="2014-11-19T00:00:00"/>
    <x v="2"/>
    <s v="TS-21205"/>
    <s v="Thomas Seio"/>
    <x v="1"/>
    <s v="United States"/>
    <x v="1"/>
    <x v="0"/>
    <x v="0"/>
    <s v="TEC-AC-10001314"/>
    <x v="0"/>
    <x v="1"/>
    <s v="Case Logic 2.4GHz Wireless Keyboard"/>
    <n v="99.98"/>
    <n v="2"/>
    <n v="7.9984000000000002"/>
    <x v="2"/>
    <x v="0"/>
    <x v="6"/>
    <n v="0.08"/>
  </r>
  <r>
    <s v="CA-2014-143840"/>
    <x v="398"/>
    <d v="2014-05-29T00:00:00"/>
    <x v="0"/>
    <s v="EH-14185"/>
    <s v="Evan Henry"/>
    <x v="0"/>
    <s v="United States"/>
    <x v="22"/>
    <x v="20"/>
    <x v="3"/>
    <s v="TEC-PH-10002660"/>
    <x v="0"/>
    <x v="0"/>
    <s v="Nortel Networks T7316 E Nt8 B27"/>
    <n v="135.97999999999999"/>
    <n v="2"/>
    <n v="33.994999999999997"/>
    <x v="5"/>
    <x v="0"/>
    <x v="11"/>
    <n v="0.25"/>
  </r>
  <r>
    <s v="CA-2014-143840"/>
    <x v="398"/>
    <d v="2014-05-29T00:00:00"/>
    <x v="0"/>
    <s v="EH-14185"/>
    <s v="Evan Henry"/>
    <x v="0"/>
    <s v="United States"/>
    <x v="22"/>
    <x v="20"/>
    <x v="3"/>
    <s v="TEC-PH-10003171"/>
    <x v="0"/>
    <x v="0"/>
    <s v="Plantronics Encore H101 Dual Earpieces Headset"/>
    <n v="44.95"/>
    <n v="1"/>
    <n v="12.586"/>
    <x v="5"/>
    <x v="0"/>
    <x v="11"/>
    <n v="0.28000000000000003"/>
  </r>
  <r>
    <s v="CA-2014-115980"/>
    <x v="399"/>
    <d v="2014-07-19T00:00:00"/>
    <x v="0"/>
    <s v="VW-21775"/>
    <s v="Victoria Wilson"/>
    <x v="1"/>
    <s v="United States"/>
    <x v="147"/>
    <x v="40"/>
    <x v="1"/>
    <s v="TEC-AC-10003709"/>
    <x v="0"/>
    <x v="1"/>
    <s v="Maxell 4.7GB DVD-R 5/Pack"/>
    <n v="2.97"/>
    <n v="3"/>
    <n v="1.3068"/>
    <x v="1"/>
    <x v="0"/>
    <x v="10"/>
    <n v="0.44"/>
  </r>
  <r>
    <s v="CA-2015-155145"/>
    <x v="4"/>
    <d v="2015-12-29T00:00:00"/>
    <x v="1"/>
    <s v="KN-16450"/>
    <s v="Kean Nguyen"/>
    <x v="1"/>
    <s v="United States"/>
    <x v="180"/>
    <x v="0"/>
    <x v="0"/>
    <s v="TEC-AC-10003709"/>
    <x v="0"/>
    <x v="1"/>
    <s v="Maxell 4.7GB DVD-R 5/Pack"/>
    <n v="7.92"/>
    <n v="8"/>
    <n v="3.4847999999999999"/>
    <x v="2"/>
    <x v="2"/>
    <x v="3"/>
    <n v="0.44"/>
  </r>
  <r>
    <s v="CA-2017-133865"/>
    <x v="400"/>
    <d v="2017-05-12T00:00:00"/>
    <x v="0"/>
    <s v="PS-19045"/>
    <s v="Penelope Sewall"/>
    <x v="2"/>
    <s v="United States"/>
    <x v="0"/>
    <x v="0"/>
    <x v="0"/>
    <s v="TEC-CO-10001046"/>
    <x v="0"/>
    <x v="3"/>
    <s v="Canon Imageclass D680 Copier / Fax"/>
    <n v="3359.9520000000002"/>
    <n v="6"/>
    <n v="1049.9849999999999"/>
    <x v="1"/>
    <x v="3"/>
    <x v="11"/>
    <n v="0.3125"/>
  </r>
  <r>
    <s v="CA-2014-102988"/>
    <x v="401"/>
    <d v="2014-04-09T00:00:00"/>
    <x v="1"/>
    <s v="GM-14695"/>
    <s v="Greg Maxwell"/>
    <x v="1"/>
    <s v="United States"/>
    <x v="158"/>
    <x v="23"/>
    <x v="3"/>
    <s v="TEC-PH-10001615"/>
    <x v="0"/>
    <x v="0"/>
    <s v="AT&amp;T CL82213"/>
    <n v="28.99"/>
    <n v="1"/>
    <n v="8.4070999999999998"/>
    <x v="1"/>
    <x v="0"/>
    <x v="9"/>
    <n v="0.28999999999999998"/>
  </r>
  <r>
    <s v="US-2014-117170"/>
    <x v="402"/>
    <d v="2014-09-24T00:00:00"/>
    <x v="0"/>
    <s v="KT-16465"/>
    <s v="Kean Takahito"/>
    <x v="0"/>
    <s v="United States"/>
    <x v="125"/>
    <x v="8"/>
    <x v="3"/>
    <s v="TEC-AC-10001109"/>
    <x v="0"/>
    <x v="1"/>
    <s v="Logitech Trackman Marble Mouse"/>
    <n v="47.984000000000002"/>
    <n v="2"/>
    <n v="13.195600000000001"/>
    <x v="5"/>
    <x v="0"/>
    <x v="4"/>
    <n v="0.27500000000000002"/>
  </r>
  <r>
    <s v="CA-2015-157770"/>
    <x v="403"/>
    <d v="2015-12-15T00:00:00"/>
    <x v="2"/>
    <s v="RD-19585"/>
    <s v="Rob Dowd"/>
    <x v="0"/>
    <s v="United States"/>
    <x v="181"/>
    <x v="0"/>
    <x v="0"/>
    <s v="TEC-PH-10001530"/>
    <x v="0"/>
    <x v="0"/>
    <s v="Plantronics Voyager Pro Legend"/>
    <n v="494.37599999999998"/>
    <n v="3"/>
    <n v="49.437600000000003"/>
    <x v="2"/>
    <x v="2"/>
    <x v="3"/>
    <n v="0.1"/>
  </r>
  <r>
    <s v="CA-2015-157770"/>
    <x v="403"/>
    <d v="2015-12-15T00:00:00"/>
    <x v="2"/>
    <s v="RD-19585"/>
    <s v="Rob Dowd"/>
    <x v="0"/>
    <s v="United States"/>
    <x v="181"/>
    <x v="0"/>
    <x v="0"/>
    <s v="TEC-AC-10001552"/>
    <x v="0"/>
    <x v="1"/>
    <s v="Logitech K350 2.4Ghz Wireless Keyboard"/>
    <n v="248.85"/>
    <n v="5"/>
    <n v="27.3735"/>
    <x v="2"/>
    <x v="2"/>
    <x v="3"/>
    <n v="0.11"/>
  </r>
  <r>
    <s v="CA-2015-157770"/>
    <x v="403"/>
    <d v="2015-12-15T00:00:00"/>
    <x v="2"/>
    <s v="RD-19585"/>
    <s v="Rob Dowd"/>
    <x v="0"/>
    <s v="United States"/>
    <x v="181"/>
    <x v="0"/>
    <x v="0"/>
    <s v="TEC-AC-10003399"/>
    <x v="0"/>
    <x v="1"/>
    <s v="Memorex Mini Travel Drive 64 GB USB 2.0 Flash Drive"/>
    <n v="36.24"/>
    <n v="1"/>
    <n v="15.220800000000001"/>
    <x v="2"/>
    <x v="2"/>
    <x v="3"/>
    <n v="0.42"/>
  </r>
  <r>
    <s v="CA-2017-113418"/>
    <x v="404"/>
    <d v="2017-10-03T00:00:00"/>
    <x v="2"/>
    <s v="CM-12655"/>
    <s v="Corinna Mitchell"/>
    <x v="2"/>
    <s v="United States"/>
    <x v="7"/>
    <x v="5"/>
    <x v="2"/>
    <s v="TEC-MA-10002428"/>
    <x v="0"/>
    <x v="2"/>
    <s v="Fellowes Powershred HS-440 4-Sheet High Security Shredder"/>
    <n v="1704.89"/>
    <n v="11"/>
    <n v="767.20050000000003"/>
    <x v="2"/>
    <x v="3"/>
    <x v="7"/>
    <n v="0.45"/>
  </r>
  <r>
    <s v="CA-2017-136308"/>
    <x v="405"/>
    <d v="2017-11-16T00:00:00"/>
    <x v="3"/>
    <s v="MW-18235"/>
    <s v="Mitch Willingham"/>
    <x v="1"/>
    <s v="United States"/>
    <x v="1"/>
    <x v="0"/>
    <x v="0"/>
    <s v="TEC-MA-10000488"/>
    <x v="0"/>
    <x v="2"/>
    <s v="Bady BDG101FRU Card Printer"/>
    <n v="1919.9760000000001"/>
    <n v="3"/>
    <n v="215.9973"/>
    <x v="7"/>
    <x v="3"/>
    <x v="6"/>
    <n v="0.1125"/>
  </r>
  <r>
    <s v="US-2014-159926"/>
    <x v="406"/>
    <d v="2014-11-22T00:00:00"/>
    <x v="0"/>
    <s v="CS-11950"/>
    <s v="Carlos Soltero"/>
    <x v="0"/>
    <s v="United States"/>
    <x v="20"/>
    <x v="12"/>
    <x v="2"/>
    <s v="TEC-PH-10001128"/>
    <x v="0"/>
    <x v="0"/>
    <s v="Motorola Droid Maxx"/>
    <n v="539.96400000000006"/>
    <n v="6"/>
    <n v="-107.9928"/>
    <x v="1"/>
    <x v="0"/>
    <x v="6"/>
    <n v="-0.2"/>
  </r>
  <r>
    <s v="CA-2014-104738"/>
    <x v="407"/>
    <d v="2015-01-01T00:00:00"/>
    <x v="1"/>
    <s v="SP-20620"/>
    <s v="Stefania Perrino"/>
    <x v="1"/>
    <s v="United States"/>
    <x v="54"/>
    <x v="1"/>
    <x v="1"/>
    <s v="TEC-PH-10002468"/>
    <x v="0"/>
    <x v="0"/>
    <s v="Plantronics CS 50-USB - headset - Convertible, Monaural"/>
    <n v="217.584"/>
    <n v="2"/>
    <n v="19.038599999999999"/>
    <x v="2"/>
    <x v="0"/>
    <x v="3"/>
    <n v="8.7499999999999994E-2"/>
  </r>
  <r>
    <s v="CA-2014-104738"/>
    <x v="407"/>
    <d v="2015-01-01T00:00:00"/>
    <x v="1"/>
    <s v="SP-20620"/>
    <s v="Stefania Perrino"/>
    <x v="1"/>
    <s v="United States"/>
    <x v="54"/>
    <x v="1"/>
    <x v="1"/>
    <s v="TEC-PH-10000576"/>
    <x v="0"/>
    <x v="0"/>
    <s v="AT&amp;T 1080 Corded phone"/>
    <n v="328.77600000000001"/>
    <n v="3"/>
    <n v="28.767900000000001"/>
    <x v="2"/>
    <x v="0"/>
    <x v="3"/>
    <n v="8.7499999999999994E-2"/>
  </r>
  <r>
    <s v="CA-2014-104738"/>
    <x v="407"/>
    <d v="2015-01-01T00:00:00"/>
    <x v="1"/>
    <s v="SP-20620"/>
    <s v="Stefania Perrino"/>
    <x v="1"/>
    <s v="United States"/>
    <x v="54"/>
    <x v="1"/>
    <x v="1"/>
    <s v="TEC-AC-10003628"/>
    <x v="0"/>
    <x v="1"/>
    <s v="Logitech 910-002974 M325 Wireless Mouse for Web Scrolling"/>
    <n v="47.984000000000002"/>
    <n v="2"/>
    <n v="14.395200000000001"/>
    <x v="2"/>
    <x v="0"/>
    <x v="3"/>
    <n v="0.3"/>
  </r>
  <r>
    <s v="CA-2014-165309"/>
    <x v="139"/>
    <d v="2014-11-15T00:00:00"/>
    <x v="0"/>
    <s v="KD-16270"/>
    <s v="Karen Daniels"/>
    <x v="0"/>
    <s v="United States"/>
    <x v="3"/>
    <x v="1"/>
    <x v="1"/>
    <s v="TEC-PH-10003505"/>
    <x v="0"/>
    <x v="0"/>
    <s v="Geemarc AmpliPOWER60"/>
    <n v="148.47999999999999"/>
    <n v="2"/>
    <n v="16.704000000000001"/>
    <x v="1"/>
    <x v="0"/>
    <x v="6"/>
    <n v="0.1125"/>
  </r>
  <r>
    <s v="CA-2014-165309"/>
    <x v="139"/>
    <d v="2014-11-15T00:00:00"/>
    <x v="0"/>
    <s v="KD-16270"/>
    <s v="Karen Daniels"/>
    <x v="0"/>
    <s v="United States"/>
    <x v="3"/>
    <x v="1"/>
    <x v="1"/>
    <s v="TEC-PH-10004959"/>
    <x v="0"/>
    <x v="0"/>
    <s v="Classic Ivory Antique Telephone ZL1810"/>
    <n v="241.17599999999999"/>
    <n v="3"/>
    <n v="15.073499999999999"/>
    <x v="1"/>
    <x v="0"/>
    <x v="6"/>
    <n v="6.25E-2"/>
  </r>
  <r>
    <s v="CA-2017-122595"/>
    <x v="408"/>
    <d v="2017-12-20T00:00:00"/>
    <x v="0"/>
    <s v="GM-14455"/>
    <s v="Gary Mitchum"/>
    <x v="2"/>
    <s v="United States"/>
    <x v="11"/>
    <x v="2"/>
    <x v="1"/>
    <s v="TEC-AC-10000474"/>
    <x v="0"/>
    <x v="1"/>
    <s v="Kensington Expert Mouse Optical USB Trackball for PC or Mac"/>
    <n v="227.976"/>
    <n v="3"/>
    <n v="28.497"/>
    <x v="3"/>
    <x v="3"/>
    <x v="3"/>
    <n v="0.125"/>
  </r>
  <r>
    <s v="CA-2017-122595"/>
    <x v="408"/>
    <d v="2017-12-20T00:00:00"/>
    <x v="0"/>
    <s v="GM-14455"/>
    <s v="Gary Mitchum"/>
    <x v="2"/>
    <s v="United States"/>
    <x v="11"/>
    <x v="2"/>
    <x v="1"/>
    <s v="TEC-PH-10003095"/>
    <x v="0"/>
    <x v="0"/>
    <s v="Samsung HM1900 Bluetooth Headset"/>
    <n v="52.68"/>
    <n v="3"/>
    <n v="19.754999999999999"/>
    <x v="3"/>
    <x v="3"/>
    <x v="3"/>
    <n v="0.375"/>
  </r>
  <r>
    <s v="US-2017-109253"/>
    <x v="409"/>
    <d v="2017-08-22T00:00:00"/>
    <x v="2"/>
    <s v="PR-18880"/>
    <s v="Patrick Ryan"/>
    <x v="0"/>
    <s v="United States"/>
    <x v="89"/>
    <x v="0"/>
    <x v="0"/>
    <s v="TEC-PH-10004667"/>
    <x v="0"/>
    <x v="0"/>
    <s v="Cisco 8x8 Inc. 6753i IP Business Phone System"/>
    <n v="431.96800000000002"/>
    <n v="4"/>
    <n v="37.797199999999997"/>
    <x v="4"/>
    <x v="3"/>
    <x v="1"/>
    <n v="8.7499999999999994E-2"/>
  </r>
  <r>
    <s v="CA-2016-145982"/>
    <x v="410"/>
    <d v="2016-09-01T00:00:00"/>
    <x v="1"/>
    <s v="TB-21055"/>
    <s v="Ted Butterfield"/>
    <x v="0"/>
    <s v="United States"/>
    <x v="182"/>
    <x v="35"/>
    <x v="2"/>
    <s v="TEC-PH-10000011"/>
    <x v="0"/>
    <x v="0"/>
    <s v="PureGear Roll-On Screen Protector"/>
    <n v="59.97"/>
    <n v="3"/>
    <n v="28.785599999999999"/>
    <x v="0"/>
    <x v="1"/>
    <x v="1"/>
    <n v="0.48"/>
  </r>
  <r>
    <s v="CA-2016-147536"/>
    <x v="411"/>
    <d v="2016-12-31T00:00:00"/>
    <x v="0"/>
    <s v="AR-10510"/>
    <s v="Andrew Roberts"/>
    <x v="0"/>
    <s v="United States"/>
    <x v="7"/>
    <x v="5"/>
    <x v="2"/>
    <s v="TEC-AC-10003280"/>
    <x v="0"/>
    <x v="1"/>
    <s v="Belkin F8E887 USB Wired Ergonomic Keyboard"/>
    <n v="89.97"/>
    <n v="3"/>
    <n v="18.893699999999999"/>
    <x v="0"/>
    <x v="1"/>
    <x v="3"/>
    <n v="0.21"/>
  </r>
  <r>
    <s v="US-2014-134733"/>
    <x v="412"/>
    <d v="2014-09-28T00:00:00"/>
    <x v="0"/>
    <s v="BM-11650"/>
    <s v="Brian Moss"/>
    <x v="1"/>
    <s v="United States"/>
    <x v="30"/>
    <x v="0"/>
    <x v="0"/>
    <s v="TEC-PH-10002726"/>
    <x v="0"/>
    <x v="0"/>
    <s v="netTALK DUO VoIP Telephone Service"/>
    <n v="83.983999999999995"/>
    <n v="2"/>
    <n v="31.494"/>
    <x v="0"/>
    <x v="0"/>
    <x v="4"/>
    <n v="0.375"/>
  </r>
  <r>
    <s v="US-2014-150434"/>
    <x v="413"/>
    <d v="2014-07-24T00:00:00"/>
    <x v="0"/>
    <s v="CA-12310"/>
    <s v="Christine Abelman"/>
    <x v="1"/>
    <s v="United States"/>
    <x v="128"/>
    <x v="37"/>
    <x v="2"/>
    <s v="TEC-PH-10000895"/>
    <x v="0"/>
    <x v="0"/>
    <s v="Polycom VVX 310 VoIP phone"/>
    <n v="359.98"/>
    <n v="2"/>
    <n v="93.594800000000006"/>
    <x v="0"/>
    <x v="0"/>
    <x v="10"/>
    <n v="0.26"/>
  </r>
  <r>
    <s v="CA-2016-139234"/>
    <x v="414"/>
    <d v="2016-05-10T00:00:00"/>
    <x v="0"/>
    <s v="AF-10870"/>
    <s v="Art Ferguson"/>
    <x v="0"/>
    <s v="United States"/>
    <x v="11"/>
    <x v="2"/>
    <x v="1"/>
    <s v="TEC-AC-10004510"/>
    <x v="0"/>
    <x v="1"/>
    <s v="Logitech Desktop MK120 Mouse and keyboard Combo"/>
    <n v="26.175999999999998"/>
    <n v="2"/>
    <n v="-3.2719999999999998"/>
    <x v="1"/>
    <x v="1"/>
    <x v="11"/>
    <n v="-0.125"/>
  </r>
  <r>
    <s v="CA-2016-134887"/>
    <x v="415"/>
    <d v="2016-03-25T00:00:00"/>
    <x v="3"/>
    <s v="TB-21280"/>
    <s v="Toby Braunhardt"/>
    <x v="0"/>
    <s v="United States"/>
    <x v="44"/>
    <x v="11"/>
    <x v="1"/>
    <s v="TEC-AC-10003832"/>
    <x v="0"/>
    <x v="1"/>
    <s v="Logitech P710e Mobile Speakerphone"/>
    <n v="1287.45"/>
    <n v="5"/>
    <n v="244.6155"/>
    <x v="7"/>
    <x v="1"/>
    <x v="5"/>
    <n v="0.19"/>
  </r>
  <r>
    <s v="CA-2015-161718"/>
    <x v="416"/>
    <d v="2015-12-10T00:00:00"/>
    <x v="0"/>
    <s v="SO-20335"/>
    <s v="Sean O'Donnell"/>
    <x v="0"/>
    <s v="United States"/>
    <x v="183"/>
    <x v="5"/>
    <x v="2"/>
    <s v="TEC-PH-10000376"/>
    <x v="0"/>
    <x v="0"/>
    <s v="Square Credit Card Reader"/>
    <n v="39.96"/>
    <n v="4"/>
    <n v="10.3896"/>
    <x v="3"/>
    <x v="2"/>
    <x v="3"/>
    <n v="0.26"/>
  </r>
  <r>
    <s v="CA-2015-130659"/>
    <x v="416"/>
    <d v="2015-12-09T00:00:00"/>
    <x v="1"/>
    <s v="MS-17365"/>
    <s v="Maribeth Schnelling"/>
    <x v="0"/>
    <s v="United States"/>
    <x v="7"/>
    <x v="5"/>
    <x v="2"/>
    <s v="TEC-PH-10004586"/>
    <x v="0"/>
    <x v="0"/>
    <s v="Wilson SignalBoost 841262 DB PRO Amplifier Kit"/>
    <n v="1799.75"/>
    <n v="5"/>
    <n v="539.92499999999995"/>
    <x v="0"/>
    <x v="2"/>
    <x v="3"/>
    <n v="0.3"/>
  </r>
  <r>
    <s v="CA-2017-148404"/>
    <x v="306"/>
    <d v="2017-10-11T00:00:00"/>
    <x v="0"/>
    <s v="Dp-13240"/>
    <s v="Dean percer"/>
    <x v="2"/>
    <s v="United States"/>
    <x v="13"/>
    <x v="8"/>
    <x v="3"/>
    <s v="TEC-PH-10004447"/>
    <x v="0"/>
    <x v="0"/>
    <s v="Toshiba IPT2010-SD IP Telephone"/>
    <n v="222.38399999999999"/>
    <n v="2"/>
    <n v="16.678799999999999"/>
    <x v="1"/>
    <x v="3"/>
    <x v="7"/>
    <n v="7.4999999999999997E-2"/>
  </r>
  <r>
    <s v="CA-2014-166471"/>
    <x v="43"/>
    <d v="2014-08-13T00:00:00"/>
    <x v="0"/>
    <s v="MG-17650"/>
    <s v="Matthew Grinstein"/>
    <x v="2"/>
    <s v="United States"/>
    <x v="45"/>
    <x v="17"/>
    <x v="0"/>
    <s v="TEC-PH-10001530"/>
    <x v="0"/>
    <x v="0"/>
    <s v="Cisco Unified IP Phone 7945G VoIP phone"/>
    <n v="1091.1679999999999"/>
    <n v="4"/>
    <n v="68.197999999999993"/>
    <x v="1"/>
    <x v="0"/>
    <x v="1"/>
    <n v="6.25E-2"/>
  </r>
  <r>
    <s v="CA-2014-166471"/>
    <x v="43"/>
    <d v="2014-08-13T00:00:00"/>
    <x v="0"/>
    <s v="MG-17650"/>
    <s v="Matthew Grinstein"/>
    <x v="2"/>
    <s v="United States"/>
    <x v="45"/>
    <x v="17"/>
    <x v="0"/>
    <s v="TEC-PH-10000038"/>
    <x v="0"/>
    <x v="0"/>
    <s v="Jawbone MINI JAMBOX Wireless Bluetooth Speaker"/>
    <n v="219.16800000000001"/>
    <n v="2"/>
    <n v="-43.833599999999997"/>
    <x v="1"/>
    <x v="0"/>
    <x v="1"/>
    <n v="-0.2"/>
  </r>
  <r>
    <s v="CA-2014-102274"/>
    <x v="417"/>
    <d v="2014-11-26T00:00:00"/>
    <x v="0"/>
    <s v="DH-13075"/>
    <s v="Dave Hallsten"/>
    <x v="1"/>
    <s v="United States"/>
    <x v="184"/>
    <x v="27"/>
    <x v="3"/>
    <s v="TEC-PH-10002923"/>
    <x v="0"/>
    <x v="0"/>
    <s v="Logitech B530 USB Headset - headset - Full size, Binaural"/>
    <n v="36.99"/>
    <n v="1"/>
    <n v="9.9872999999999994"/>
    <x v="0"/>
    <x v="0"/>
    <x v="6"/>
    <n v="0.27"/>
  </r>
  <r>
    <s v="CA-2016-134803"/>
    <x v="418"/>
    <d v="2016-06-03T00:00:00"/>
    <x v="0"/>
    <s v="CL-12565"/>
    <s v="Clay Ludtke"/>
    <x v="0"/>
    <s v="United States"/>
    <x v="0"/>
    <x v="0"/>
    <x v="0"/>
    <s v="TEC-AC-10002217"/>
    <x v="0"/>
    <x v="1"/>
    <s v="Imation Clip USB flash drive - 8 GB"/>
    <n v="131.6"/>
    <n v="7"/>
    <n v="7.8959999999999999"/>
    <x v="3"/>
    <x v="1"/>
    <x v="11"/>
    <n v="0.06"/>
  </r>
  <r>
    <s v="CA-2016-134803"/>
    <x v="418"/>
    <d v="2016-06-03T00:00:00"/>
    <x v="0"/>
    <s v="CL-12565"/>
    <s v="Clay Ludtke"/>
    <x v="0"/>
    <s v="United States"/>
    <x v="0"/>
    <x v="0"/>
    <x v="0"/>
    <s v="TEC-MA-10001972"/>
    <x v="0"/>
    <x v="2"/>
    <s v="Okidata C331dn Printer"/>
    <n v="558.4"/>
    <n v="2"/>
    <n v="41.88"/>
    <x v="3"/>
    <x v="1"/>
    <x v="11"/>
    <n v="7.4999999999999997E-2"/>
  </r>
  <r>
    <s v="CA-2014-157609"/>
    <x v="419"/>
    <d v="2014-03-21T00:00:00"/>
    <x v="1"/>
    <s v="KN-16705"/>
    <s v="Kristina Nunn"/>
    <x v="2"/>
    <s v="United States"/>
    <x v="125"/>
    <x v="8"/>
    <x v="3"/>
    <s v="TEC-PH-10002415"/>
    <x v="0"/>
    <x v="0"/>
    <s v="Polycom VoiceStation 500 Conference phone"/>
    <n v="471.92"/>
    <n v="2"/>
    <n v="29.495000000000001"/>
    <x v="0"/>
    <x v="0"/>
    <x v="5"/>
    <n v="6.25E-2"/>
  </r>
  <r>
    <s v="CA-2017-136448"/>
    <x v="103"/>
    <d v="2017-09-18T00:00:00"/>
    <x v="2"/>
    <s v="AS-10090"/>
    <s v="Adam Shillingsburg"/>
    <x v="0"/>
    <s v="United States"/>
    <x v="20"/>
    <x v="12"/>
    <x v="2"/>
    <s v="TEC-AC-10001109"/>
    <x v="0"/>
    <x v="1"/>
    <s v="Logitech Trackman Marble Mouse"/>
    <n v="71.975999999999999"/>
    <n v="3"/>
    <n v="19.793399999999998"/>
    <x v="2"/>
    <x v="3"/>
    <x v="4"/>
    <n v="0.27500000000000002"/>
  </r>
  <r>
    <s v="CA-2017-136448"/>
    <x v="103"/>
    <d v="2017-09-18T00:00:00"/>
    <x v="2"/>
    <s v="AS-10090"/>
    <s v="Adam Shillingsburg"/>
    <x v="0"/>
    <s v="United States"/>
    <x v="20"/>
    <x v="12"/>
    <x v="2"/>
    <s v="TEC-AC-10003628"/>
    <x v="0"/>
    <x v="1"/>
    <s v="Logitech 910-002974 M325 Wireless Mouse for Web Scrolling"/>
    <n v="47.984000000000002"/>
    <n v="2"/>
    <n v="14.395200000000001"/>
    <x v="2"/>
    <x v="3"/>
    <x v="4"/>
    <n v="0.3"/>
  </r>
  <r>
    <s v="CA-2017-114258"/>
    <x v="134"/>
    <d v="2017-11-10T00:00:00"/>
    <x v="1"/>
    <s v="EM-13825"/>
    <s v="Elizabeth Moffitt"/>
    <x v="1"/>
    <s v="United States"/>
    <x v="26"/>
    <x v="1"/>
    <x v="1"/>
    <s v="TEC-PH-10003012"/>
    <x v="0"/>
    <x v="0"/>
    <s v="Nortel Meridian M3904 Professional Digital phone"/>
    <n v="492.76799999999997"/>
    <n v="4"/>
    <n v="55.436399999999999"/>
    <x v="0"/>
    <x v="3"/>
    <x v="6"/>
    <n v="0.1125"/>
  </r>
  <r>
    <s v="CA-2017-128699"/>
    <x v="313"/>
    <d v="2017-12-05T00:00:00"/>
    <x v="1"/>
    <s v="ND-18370"/>
    <s v="Natalie DeCherney"/>
    <x v="0"/>
    <s v="United States"/>
    <x v="42"/>
    <x v="15"/>
    <x v="3"/>
    <s v="TEC-AC-10001990"/>
    <x v="0"/>
    <x v="1"/>
    <s v="Kensington Orbit Wireless Mobile Trackball for PC and Mac"/>
    <n v="47.991999999999997"/>
    <n v="1"/>
    <n v="7.1988000000000003"/>
    <x v="2"/>
    <x v="3"/>
    <x v="3"/>
    <n v="0.15"/>
  </r>
  <r>
    <s v="CA-2017-122644"/>
    <x v="250"/>
    <d v="2017-11-17T00:00:00"/>
    <x v="0"/>
    <s v="SF-20965"/>
    <s v="Sylvia Foulston"/>
    <x v="1"/>
    <s v="United States"/>
    <x v="16"/>
    <x v="9"/>
    <x v="2"/>
    <s v="TEC-AC-10003614"/>
    <x v="0"/>
    <x v="1"/>
    <s v="Verbatim 25 GB 6x Blu-ray Single Layer Recordable Disc, 10/Pack"/>
    <n v="18.544"/>
    <n v="2"/>
    <n v="3.0133999999999999"/>
    <x v="0"/>
    <x v="3"/>
    <x v="6"/>
    <n v="0.16250000000000001"/>
  </r>
  <r>
    <s v="CA-2017-111815"/>
    <x v="420"/>
    <d v="2017-03-10T00:00:00"/>
    <x v="0"/>
    <s v="EP-13915"/>
    <s v="Emily Phan"/>
    <x v="0"/>
    <s v="United States"/>
    <x v="185"/>
    <x v="14"/>
    <x v="1"/>
    <s v="TEC-AC-10002926"/>
    <x v="0"/>
    <x v="1"/>
    <s v="Logitech Wireless Marathon Mouse M705"/>
    <n v="99.98"/>
    <n v="2"/>
    <n v="42.991399999999999"/>
    <x v="5"/>
    <x v="3"/>
    <x v="5"/>
    <n v="0.43"/>
  </r>
  <r>
    <s v="CA-2016-144911"/>
    <x v="238"/>
    <d v="2016-11-30T00:00:00"/>
    <x v="2"/>
    <s v="RW-19630"/>
    <s v="Rob Williams"/>
    <x v="1"/>
    <s v="United States"/>
    <x v="186"/>
    <x v="43"/>
    <x v="1"/>
    <s v="TEC-AC-10004633"/>
    <x v="0"/>
    <x v="1"/>
    <s v="Verbatim 25 GB 6x Blu-ray Single Layer Recordable Disc, 3/Pack"/>
    <n v="34.950000000000003"/>
    <n v="5"/>
    <n v="15.378"/>
    <x v="6"/>
    <x v="1"/>
    <x v="6"/>
    <n v="0.44"/>
  </r>
  <r>
    <s v="CA-2014-143385"/>
    <x v="421"/>
    <d v="2014-09-05T00:00:00"/>
    <x v="0"/>
    <s v="SJ-20500"/>
    <s v="Shirley Jackson"/>
    <x v="0"/>
    <s v="United States"/>
    <x v="187"/>
    <x v="29"/>
    <x v="0"/>
    <s v="TEC-AC-10001635"/>
    <x v="0"/>
    <x v="1"/>
    <s v="KeyTronic KT400U2 - Keyboard - Black"/>
    <n v="92.52"/>
    <n v="9"/>
    <n v="18.504000000000001"/>
    <x v="0"/>
    <x v="0"/>
    <x v="1"/>
    <n v="0.2"/>
  </r>
  <r>
    <s v="CA-2014-124688"/>
    <x v="1"/>
    <d v="2014-08-29T00:00:00"/>
    <x v="2"/>
    <s v="CC-12610"/>
    <s v="Corey Catlett"/>
    <x v="1"/>
    <s v="United States"/>
    <x v="84"/>
    <x v="23"/>
    <x v="3"/>
    <s v="TEC-PH-10000455"/>
    <x v="0"/>
    <x v="0"/>
    <s v="GE 30522EE2"/>
    <n v="579.95000000000005"/>
    <n v="5"/>
    <n v="168.18549999999999"/>
    <x v="2"/>
    <x v="0"/>
    <x v="1"/>
    <n v="0.28999999999999998"/>
  </r>
  <r>
    <s v="US-2016-134761"/>
    <x v="422"/>
    <d v="2016-11-30T00:00:00"/>
    <x v="3"/>
    <s v="DB-13210"/>
    <s v="Dean Braden"/>
    <x v="0"/>
    <s v="United States"/>
    <x v="188"/>
    <x v="8"/>
    <x v="3"/>
    <s v="TEC-PH-10002890"/>
    <x v="0"/>
    <x v="0"/>
    <s v="AT&amp;T 17929 Lendline Telephone"/>
    <n v="36.192"/>
    <n v="1"/>
    <n v="2.7143999999999999"/>
    <x v="7"/>
    <x v="1"/>
    <x v="6"/>
    <n v="7.4999999999999997E-2"/>
  </r>
  <r>
    <s v="CA-2017-142034"/>
    <x v="92"/>
    <d v="2017-09-28T00:00:00"/>
    <x v="0"/>
    <s v="KB-16240"/>
    <s v="Karen Bern"/>
    <x v="1"/>
    <s v="United States"/>
    <x v="189"/>
    <x v="3"/>
    <x v="1"/>
    <s v="TEC-AC-10002305"/>
    <x v="0"/>
    <x v="1"/>
    <s v="KeyTronic E03601U1 - Keyboard - Beige"/>
    <n v="72"/>
    <n v="4"/>
    <n v="12.96"/>
    <x v="1"/>
    <x v="3"/>
    <x v="4"/>
    <n v="0.18"/>
  </r>
  <r>
    <s v="CA-2017-142034"/>
    <x v="92"/>
    <d v="2017-09-28T00:00:00"/>
    <x v="0"/>
    <s v="KB-16240"/>
    <s v="Karen Bern"/>
    <x v="1"/>
    <s v="United States"/>
    <x v="189"/>
    <x v="3"/>
    <x v="1"/>
    <s v="TEC-AC-10000990"/>
    <x v="0"/>
    <x v="1"/>
    <s v="Imation Bio 2GB USB Flash Drive Imation Corp"/>
    <n v="655.9"/>
    <n v="5"/>
    <n v="275.47800000000001"/>
    <x v="1"/>
    <x v="3"/>
    <x v="4"/>
    <n v="0.42"/>
  </r>
  <r>
    <s v="CA-2016-108616"/>
    <x v="423"/>
    <d v="2016-10-03T00:00:00"/>
    <x v="0"/>
    <s v="JK-15730"/>
    <s v="Joe Kamberova"/>
    <x v="0"/>
    <s v="United States"/>
    <x v="109"/>
    <x v="20"/>
    <x v="3"/>
    <s v="TEC-AC-10000420"/>
    <x v="0"/>
    <x v="1"/>
    <s v="Logitech G500s Laser Gaming Mouse with Adjustable Weight Tuning"/>
    <n v="209.97"/>
    <n v="3"/>
    <n v="71.389799999999994"/>
    <x v="1"/>
    <x v="1"/>
    <x v="4"/>
    <n v="0.34"/>
  </r>
  <r>
    <s v="CA-2017-125115"/>
    <x v="424"/>
    <d v="2017-04-10T00:00:00"/>
    <x v="3"/>
    <s v="RD-19930"/>
    <s v="Russell D'Ascenzo"/>
    <x v="0"/>
    <s v="United States"/>
    <x v="65"/>
    <x v="1"/>
    <x v="1"/>
    <s v="TEC-AC-10001714"/>
    <x v="0"/>
    <x v="1"/>
    <s v="Logitech MX Performance Wireless Mouse"/>
    <n v="95.736000000000004"/>
    <n v="3"/>
    <n v="20.343900000000001"/>
    <x v="7"/>
    <x v="3"/>
    <x v="9"/>
    <n v="0.21249999999999999"/>
  </r>
  <r>
    <s v="CA-2014-166863"/>
    <x v="425"/>
    <d v="2014-06-24T00:00:00"/>
    <x v="0"/>
    <s v="SC-20020"/>
    <s v="Sam Craven"/>
    <x v="0"/>
    <s v="United States"/>
    <x v="121"/>
    <x v="1"/>
    <x v="1"/>
    <s v="TEC-PH-10000369"/>
    <x v="0"/>
    <x v="0"/>
    <s v="HTC One Mini"/>
    <n v="201.584"/>
    <n v="2"/>
    <n v="20.1584"/>
    <x v="1"/>
    <x v="0"/>
    <x v="0"/>
    <n v="0.1"/>
  </r>
  <r>
    <s v="CA-2014-166863"/>
    <x v="425"/>
    <d v="2014-06-24T00:00:00"/>
    <x v="0"/>
    <s v="SC-20020"/>
    <s v="Sam Craven"/>
    <x v="0"/>
    <s v="United States"/>
    <x v="121"/>
    <x v="1"/>
    <x v="1"/>
    <s v="TEC-MA-10001972"/>
    <x v="0"/>
    <x v="2"/>
    <s v="Okidata C331dn Printer"/>
    <n v="418.8"/>
    <n v="2"/>
    <n v="-97.72"/>
    <x v="1"/>
    <x v="0"/>
    <x v="0"/>
    <n v="-0.233333333333333"/>
  </r>
  <r>
    <s v="CA-2016-168536"/>
    <x v="426"/>
    <d v="2016-12-24T00:00:00"/>
    <x v="0"/>
    <s v="SC-20800"/>
    <s v="Stuart Calhoun"/>
    <x v="0"/>
    <s v="United States"/>
    <x v="61"/>
    <x v="22"/>
    <x v="3"/>
    <s v="TEC-AC-10002323"/>
    <x v="0"/>
    <x v="1"/>
    <s v="SanDisk Ultra 32 GB MicroSDHC Class 10 Memory Card"/>
    <n v="66.3"/>
    <n v="3"/>
    <n v="8.6189999999999998"/>
    <x v="1"/>
    <x v="1"/>
    <x v="3"/>
    <n v="0.13"/>
  </r>
  <r>
    <s v="US-2016-113649"/>
    <x v="427"/>
    <d v="2016-08-12T00:00:00"/>
    <x v="2"/>
    <s v="HA-14920"/>
    <s v="Helen Andreada"/>
    <x v="0"/>
    <s v="United States"/>
    <x v="190"/>
    <x v="8"/>
    <x v="3"/>
    <s v="TEC-PH-10002350"/>
    <x v="0"/>
    <x v="0"/>
    <s v="Apple EarPods with Remote and Mic"/>
    <n v="44.783999999999999"/>
    <n v="2"/>
    <n v="4.4783999999999997"/>
    <x v="6"/>
    <x v="1"/>
    <x v="1"/>
    <n v="0.1"/>
  </r>
  <r>
    <s v="CA-2016-114482"/>
    <x v="428"/>
    <d v="2016-11-25T00:00:00"/>
    <x v="1"/>
    <s v="DM-13345"/>
    <s v="Denise Monton"/>
    <x v="1"/>
    <s v="United States"/>
    <x v="38"/>
    <x v="24"/>
    <x v="1"/>
    <s v="TEC-PH-10001580"/>
    <x v="0"/>
    <x v="0"/>
    <s v="Logitech Mobile Speakerphone P710e - speaker phone"/>
    <n v="404.94"/>
    <n v="3"/>
    <n v="109.3338"/>
    <x v="1"/>
    <x v="1"/>
    <x v="6"/>
    <n v="0.27"/>
  </r>
  <r>
    <s v="CA-2016-137673"/>
    <x v="182"/>
    <d v="2016-09-10T00:00:00"/>
    <x v="0"/>
    <s v="ML-17395"/>
    <s v="Marina Lichtenstein"/>
    <x v="1"/>
    <s v="United States"/>
    <x v="30"/>
    <x v="0"/>
    <x v="0"/>
    <s v="TEC-AC-10002345"/>
    <x v="0"/>
    <x v="1"/>
    <s v="HP Standard 104 key PS/2 Keyboard"/>
    <n v="116"/>
    <n v="8"/>
    <n v="29"/>
    <x v="0"/>
    <x v="1"/>
    <x v="4"/>
    <n v="0.25"/>
  </r>
  <r>
    <s v="CA-2016-132731"/>
    <x v="195"/>
    <d v="2016-11-28T00:00:00"/>
    <x v="0"/>
    <s v="GA-14515"/>
    <s v="George Ashbrook"/>
    <x v="0"/>
    <s v="United States"/>
    <x v="26"/>
    <x v="1"/>
    <x v="1"/>
    <s v="TEC-PH-10004120"/>
    <x v="0"/>
    <x v="0"/>
    <s v="AT&amp;T 1080 Phone"/>
    <n v="657.55200000000002"/>
    <n v="6"/>
    <n v="49.316400000000002"/>
    <x v="1"/>
    <x v="1"/>
    <x v="6"/>
    <n v="7.4999999999999997E-2"/>
  </r>
  <r>
    <s v="CA-2017-148922"/>
    <x v="184"/>
    <d v="2017-12-15T00:00:00"/>
    <x v="1"/>
    <s v="SU-20665"/>
    <s v="Stephanie Ulpright"/>
    <x v="2"/>
    <s v="United States"/>
    <x v="61"/>
    <x v="22"/>
    <x v="3"/>
    <s v="TEC-AC-10001838"/>
    <x v="0"/>
    <x v="1"/>
    <s v="Razer Tiamat Over Ear 7.1 Surround Sound PC Gaming Headset"/>
    <n v="599.97"/>
    <n v="3"/>
    <n v="257.9871"/>
    <x v="0"/>
    <x v="3"/>
    <x v="3"/>
    <n v="0.43"/>
  </r>
  <r>
    <s v="CA-2017-148922"/>
    <x v="184"/>
    <d v="2017-12-15T00:00:00"/>
    <x v="1"/>
    <s v="SU-20665"/>
    <s v="Stephanie Ulpright"/>
    <x v="2"/>
    <s v="United States"/>
    <x v="61"/>
    <x v="22"/>
    <x v="3"/>
    <s v="TEC-PH-10000148"/>
    <x v="0"/>
    <x v="0"/>
    <s v="Cyber Acoustics AC-202b Speech Recognition Stereo Headset"/>
    <n v="38.97"/>
    <n v="3"/>
    <n v="0.77939999999999998"/>
    <x v="0"/>
    <x v="3"/>
    <x v="3"/>
    <n v="0.02"/>
  </r>
  <r>
    <s v="CA-2016-130680"/>
    <x v="429"/>
    <d v="2016-06-29T00:00:00"/>
    <x v="0"/>
    <s v="BD-11320"/>
    <s v="Bill Donatelli"/>
    <x v="0"/>
    <s v="United States"/>
    <x v="30"/>
    <x v="0"/>
    <x v="0"/>
    <s v="TEC-PH-10004833"/>
    <x v="0"/>
    <x v="0"/>
    <s v="Macally Suction Cup Mount"/>
    <n v="38.24"/>
    <n v="4"/>
    <n v="-9.56"/>
    <x v="0"/>
    <x v="1"/>
    <x v="0"/>
    <n v="-0.25"/>
  </r>
  <r>
    <s v="CA-2015-141145"/>
    <x v="430"/>
    <d v="2015-09-23T00:00:00"/>
    <x v="0"/>
    <s v="DB-13405"/>
    <s v="Denny Blanton"/>
    <x v="0"/>
    <s v="United States"/>
    <x v="191"/>
    <x v="15"/>
    <x v="3"/>
    <s v="TEC-AC-10001465"/>
    <x v="0"/>
    <x v="1"/>
    <s v="SanDisk Cruzer 64 GB USB Flash Drive"/>
    <n v="87.168000000000006"/>
    <n v="3"/>
    <n v="10.896000000000001"/>
    <x v="3"/>
    <x v="2"/>
    <x v="4"/>
    <n v="0.125"/>
  </r>
  <r>
    <s v="CA-2014-110849"/>
    <x v="431"/>
    <d v="2014-04-23T00:00:00"/>
    <x v="0"/>
    <s v="JL-15835"/>
    <s v="John Lee"/>
    <x v="0"/>
    <s v="United States"/>
    <x v="0"/>
    <x v="0"/>
    <x v="0"/>
    <s v="TEC-MA-10002859"/>
    <x v="0"/>
    <x v="2"/>
    <s v="Ativa MDM8000 8-Sheet Micro-Cut Shredder"/>
    <n v="287.96800000000002"/>
    <n v="4"/>
    <n v="97.1892"/>
    <x v="0"/>
    <x v="0"/>
    <x v="9"/>
    <n v="0.33750000000000002"/>
  </r>
  <r>
    <s v="CA-2016-152555"/>
    <x v="432"/>
    <d v="2016-04-02T00:00:00"/>
    <x v="1"/>
    <s v="ME-17320"/>
    <s v="Maria Etezadi"/>
    <x v="2"/>
    <s v="United States"/>
    <x v="11"/>
    <x v="2"/>
    <x v="1"/>
    <s v="TEC-PH-10001254"/>
    <x v="0"/>
    <x v="0"/>
    <s v="Jabra BIZ 2300 Duo QD Duo Corded Headset"/>
    <n v="812.73599999999999"/>
    <n v="8"/>
    <n v="60.955199999999998"/>
    <x v="1"/>
    <x v="1"/>
    <x v="5"/>
    <n v="7.4999999999999997E-2"/>
  </r>
  <r>
    <s v="CA-2014-120838"/>
    <x v="433"/>
    <d v="2014-03-26T00:00:00"/>
    <x v="1"/>
    <s v="PO-18865"/>
    <s v="Patrick O'Donnell"/>
    <x v="0"/>
    <s v="United States"/>
    <x v="0"/>
    <x v="0"/>
    <x v="0"/>
    <s v="TEC-PH-10003484"/>
    <x v="0"/>
    <x v="0"/>
    <s v="Ooma Telo VoIP Home Phone System"/>
    <n v="604.75199999999995"/>
    <n v="6"/>
    <n v="37.796999999999997"/>
    <x v="6"/>
    <x v="0"/>
    <x v="5"/>
    <n v="6.25E-2"/>
  </r>
  <r>
    <s v="CA-2017-152737"/>
    <x v="276"/>
    <d v="2017-11-12T00:00:00"/>
    <x v="0"/>
    <s v="TS-21505"/>
    <s v="Tony Sayre"/>
    <x v="0"/>
    <s v="United States"/>
    <x v="1"/>
    <x v="0"/>
    <x v="0"/>
    <s v="TEC-AC-10004975"/>
    <x v="0"/>
    <x v="1"/>
    <s v="Plantronics Audio 995 Wireless Stereo Headset"/>
    <n v="439.8"/>
    <n v="4"/>
    <n v="145.13399999999999"/>
    <x v="0"/>
    <x v="3"/>
    <x v="6"/>
    <n v="0.33"/>
  </r>
  <r>
    <s v="CA-2017-168109"/>
    <x v="183"/>
    <d v="2017-07-03T00:00:00"/>
    <x v="3"/>
    <s v="JK-15640"/>
    <s v="Jim Kriz"/>
    <x v="2"/>
    <s v="United States"/>
    <x v="45"/>
    <x v="17"/>
    <x v="0"/>
    <s v="TEC-AC-10003628"/>
    <x v="0"/>
    <x v="1"/>
    <s v="Logitech 910-002974 M325 Wireless Mouse for Web Scrolling"/>
    <n v="59.98"/>
    <n v="2"/>
    <n v="26.391200000000001"/>
    <x v="7"/>
    <x v="3"/>
    <x v="10"/>
    <n v="0.44"/>
  </r>
  <r>
    <s v="CA-2017-168109"/>
    <x v="183"/>
    <d v="2017-07-03T00:00:00"/>
    <x v="3"/>
    <s v="JK-15640"/>
    <s v="Jim Kriz"/>
    <x v="2"/>
    <s v="United States"/>
    <x v="45"/>
    <x v="17"/>
    <x v="0"/>
    <s v="TEC-MA-10001148"/>
    <x v="0"/>
    <x v="2"/>
    <s v="Okidata MB491 Multifunction Printer"/>
    <n v="2395.1999999999998"/>
    <n v="6"/>
    <n v="209.58"/>
    <x v="7"/>
    <x v="3"/>
    <x v="10"/>
    <n v="8.7499999999999994E-2"/>
  </r>
  <r>
    <s v="CA-2017-168109"/>
    <x v="183"/>
    <d v="2017-07-03T00:00:00"/>
    <x v="3"/>
    <s v="JK-15640"/>
    <s v="Jim Kriz"/>
    <x v="2"/>
    <s v="United States"/>
    <x v="45"/>
    <x v="17"/>
    <x v="0"/>
    <s v="TEC-AC-10002049"/>
    <x v="0"/>
    <x v="1"/>
    <s v="Plantronics Savi W720 Multi-Device Wireless Headset System"/>
    <n v="1687.8"/>
    <n v="4"/>
    <n v="742.63199999999995"/>
    <x v="7"/>
    <x v="3"/>
    <x v="10"/>
    <n v="0.44"/>
  </r>
  <r>
    <s v="CA-2017-168109"/>
    <x v="183"/>
    <d v="2017-07-03T00:00:00"/>
    <x v="3"/>
    <s v="JK-15640"/>
    <s v="Jim Kriz"/>
    <x v="2"/>
    <s v="United States"/>
    <x v="45"/>
    <x v="17"/>
    <x v="0"/>
    <s v="TEC-PH-10000702"/>
    <x v="0"/>
    <x v="0"/>
    <s v="Square Credit Card Reader, 4 1/2&quot; x 4 1/2&quot; x 1&quot;, White"/>
    <n v="7.992"/>
    <n v="1"/>
    <n v="2.6972999999999998"/>
    <x v="7"/>
    <x v="3"/>
    <x v="10"/>
    <n v="0.33750000000000002"/>
  </r>
  <r>
    <s v="CA-2017-121839"/>
    <x v="92"/>
    <d v="2017-09-28T00:00:00"/>
    <x v="0"/>
    <s v="MH-18115"/>
    <s v="Mick Hernandez"/>
    <x v="2"/>
    <s v="United States"/>
    <x v="192"/>
    <x v="9"/>
    <x v="2"/>
    <s v="TEC-PH-10002885"/>
    <x v="0"/>
    <x v="0"/>
    <s v="Apple iPhone 5"/>
    <n v="1169.694"/>
    <n v="3"/>
    <n v="-253.43369999999999"/>
    <x v="1"/>
    <x v="3"/>
    <x v="4"/>
    <n v="-0.21666666666666701"/>
  </r>
  <r>
    <s v="CA-2014-102869"/>
    <x v="434"/>
    <d v="2014-09-14T00:00:00"/>
    <x v="1"/>
    <s v="LC-17140"/>
    <s v="Logan Currie"/>
    <x v="0"/>
    <s v="United States"/>
    <x v="20"/>
    <x v="12"/>
    <x v="2"/>
    <s v="TEC-AC-10002134"/>
    <x v="0"/>
    <x v="1"/>
    <s v="Rosewill 107 Normal Keys USB Wired Standard Keyboard"/>
    <n v="64.703999999999994"/>
    <n v="6"/>
    <n v="-4.8528000000000002"/>
    <x v="0"/>
    <x v="0"/>
    <x v="4"/>
    <n v="-7.4999999999999997E-2"/>
  </r>
  <r>
    <s v="CA-2014-102869"/>
    <x v="434"/>
    <d v="2014-09-14T00:00:00"/>
    <x v="1"/>
    <s v="LC-17140"/>
    <s v="Logan Currie"/>
    <x v="0"/>
    <s v="United States"/>
    <x v="20"/>
    <x v="12"/>
    <x v="2"/>
    <s v="TEC-PH-10002549"/>
    <x v="0"/>
    <x v="0"/>
    <s v="Polycom SoundPoint IP 450 VoIP phone"/>
    <n v="135.51599999999999"/>
    <n v="1"/>
    <n v="-31.6204"/>
    <x v="0"/>
    <x v="0"/>
    <x v="4"/>
    <n v="-0.233333333333333"/>
  </r>
  <r>
    <s v="CA-2017-138310"/>
    <x v="127"/>
    <d v="2017-06-30T00:00:00"/>
    <x v="0"/>
    <s v="NP-18700"/>
    <s v="Nora Preis"/>
    <x v="0"/>
    <s v="United States"/>
    <x v="52"/>
    <x v="7"/>
    <x v="0"/>
    <s v="TEC-AC-10001990"/>
    <x v="0"/>
    <x v="1"/>
    <s v="Kensington Orbit Wireless Mobile Trackball for PC and Mac"/>
    <n v="431.928"/>
    <n v="9"/>
    <n v="64.789199999999994"/>
    <x v="1"/>
    <x v="3"/>
    <x v="0"/>
    <n v="0.15"/>
  </r>
  <r>
    <s v="US-2016-131674"/>
    <x v="435"/>
    <d v="2016-12-01T00:00:00"/>
    <x v="1"/>
    <s v="NC-18535"/>
    <s v="Nick Crebassa"/>
    <x v="1"/>
    <s v="United States"/>
    <x v="26"/>
    <x v="1"/>
    <x v="1"/>
    <s v="TEC-AC-10004864"/>
    <x v="0"/>
    <x v="1"/>
    <s v="Memorex Micro Travel Drive 32 GB"/>
    <n v="58.415999999999997"/>
    <n v="2"/>
    <n v="16.794599999999999"/>
    <x v="2"/>
    <x v="1"/>
    <x v="6"/>
    <n v="0.28749999999999998"/>
  </r>
  <r>
    <s v="CA-2015-110093"/>
    <x v="55"/>
    <d v="2015-12-08T00:00:00"/>
    <x v="0"/>
    <s v="AB-10255"/>
    <s v="Alejandro Ballentine"/>
    <x v="2"/>
    <s v="United States"/>
    <x v="20"/>
    <x v="12"/>
    <x v="2"/>
    <s v="TEC-AC-10000171"/>
    <x v="0"/>
    <x v="1"/>
    <s v="Verbatim 25 GB 6x Blu-ray Single Layer Recordable Disc, 25/Pack"/>
    <n v="36.783999999999999"/>
    <n v="2"/>
    <n v="10.5754"/>
    <x v="0"/>
    <x v="2"/>
    <x v="3"/>
    <n v="0.28749999999999998"/>
  </r>
  <r>
    <s v="CA-2017-141929"/>
    <x v="210"/>
    <d v="2017-09-08T00:00:00"/>
    <x v="0"/>
    <s v="RA-19285"/>
    <s v="Ralph Arnett"/>
    <x v="0"/>
    <s v="United States"/>
    <x v="0"/>
    <x v="0"/>
    <x v="0"/>
    <s v="TEC-PH-10002185"/>
    <x v="0"/>
    <x v="0"/>
    <s v="QVS USB Car Charger 2-Port 2.1Amp for iPod/iPhone/iPad/iPad 2/iPad 3"/>
    <n v="5.56"/>
    <n v="1"/>
    <n v="1.7375"/>
    <x v="1"/>
    <x v="3"/>
    <x v="4"/>
    <n v="0.3125"/>
  </r>
  <r>
    <s v="CA-2016-109743"/>
    <x v="436"/>
    <d v="2016-09-29T00:00:00"/>
    <x v="0"/>
    <s v="SH-19975"/>
    <s v="Sally Hughsby"/>
    <x v="1"/>
    <s v="United States"/>
    <x v="106"/>
    <x v="44"/>
    <x v="3"/>
    <s v="TEC-PH-10004071"/>
    <x v="0"/>
    <x v="0"/>
    <s v="PayAnywhere Card Reader"/>
    <n v="63.936"/>
    <n v="8"/>
    <n v="5.5944000000000003"/>
    <x v="5"/>
    <x v="1"/>
    <x v="4"/>
    <n v="8.7499999999999994E-2"/>
  </r>
  <r>
    <s v="CA-2017-113530"/>
    <x v="102"/>
    <d v="2017-05-21T00:00:00"/>
    <x v="1"/>
    <s v="BC-11125"/>
    <s v="Becky Castell"/>
    <x v="2"/>
    <s v="United States"/>
    <x v="1"/>
    <x v="0"/>
    <x v="0"/>
    <s v="TEC-AC-10001465"/>
    <x v="0"/>
    <x v="1"/>
    <s v="SanDisk Cruzer 64 GB USB Flash Drive"/>
    <n v="36.32"/>
    <n v="1"/>
    <n v="10.896000000000001"/>
    <x v="2"/>
    <x v="3"/>
    <x v="11"/>
    <n v="0.3"/>
  </r>
  <r>
    <s v="CA-2016-145177"/>
    <x v="437"/>
    <d v="2016-11-14T00:00:00"/>
    <x v="0"/>
    <s v="PP-18955"/>
    <s v="Paul Prost"/>
    <x v="2"/>
    <s v="United States"/>
    <x v="84"/>
    <x v="9"/>
    <x v="2"/>
    <s v="TEC-PH-10000376"/>
    <x v="0"/>
    <x v="0"/>
    <s v="Square Credit Card Reader"/>
    <n v="41.957999999999998"/>
    <n v="7"/>
    <n v="-9.7902000000000005"/>
    <x v="1"/>
    <x v="1"/>
    <x v="6"/>
    <n v="-0.233333333333333"/>
  </r>
  <r>
    <s v="CA-2016-145177"/>
    <x v="437"/>
    <d v="2016-11-14T00:00:00"/>
    <x v="0"/>
    <s v="PP-18955"/>
    <s v="Paul Prost"/>
    <x v="2"/>
    <s v="United States"/>
    <x v="84"/>
    <x v="9"/>
    <x v="2"/>
    <s v="TEC-AC-10002550"/>
    <x v="0"/>
    <x v="1"/>
    <s v="Memorex 25GB 6X Branded Blu-Ray Recordable Disc, 30/Pack"/>
    <n v="178.92"/>
    <n v="7"/>
    <n v="-29.0745"/>
    <x v="1"/>
    <x v="1"/>
    <x v="6"/>
    <n v="-0.16250000000000001"/>
  </r>
  <r>
    <s v="CA-2017-109960"/>
    <x v="28"/>
    <d v="2017-12-11T00:00:00"/>
    <x v="1"/>
    <s v="DB-13210"/>
    <s v="Dean Braden"/>
    <x v="0"/>
    <s v="United States"/>
    <x v="77"/>
    <x v="14"/>
    <x v="1"/>
    <s v="TEC-AC-10004859"/>
    <x v="0"/>
    <x v="1"/>
    <s v="Maxell Pro 80 Minute CD-R, 10/Pack"/>
    <n v="104.88"/>
    <n v="6"/>
    <n v="41.951999999999998"/>
    <x v="2"/>
    <x v="3"/>
    <x v="3"/>
    <n v="0.4"/>
  </r>
  <r>
    <s v="CA-2017-158036"/>
    <x v="381"/>
    <d v="2017-09-14T00:00:00"/>
    <x v="0"/>
    <s v="DB-13555"/>
    <s v="Dorothy Badders"/>
    <x v="1"/>
    <s v="United States"/>
    <x v="28"/>
    <x v="9"/>
    <x v="2"/>
    <s v="TEC-AC-10002558"/>
    <x v="0"/>
    <x v="1"/>
    <s v="Imation Swivel Flash Drive USB flash drive - 8 GB"/>
    <n v="9.0960000000000001"/>
    <n v="1"/>
    <n v="1.7055"/>
    <x v="3"/>
    <x v="3"/>
    <x v="4"/>
    <n v="0.1875"/>
  </r>
  <r>
    <s v="CA-2016-155005"/>
    <x v="438"/>
    <d v="2016-06-15T00:00:00"/>
    <x v="1"/>
    <s v="SC-20050"/>
    <s v="Sample Company A"/>
    <x v="2"/>
    <s v="United States"/>
    <x v="61"/>
    <x v="14"/>
    <x v="1"/>
    <s v="TEC-PH-10003484"/>
    <x v="0"/>
    <x v="0"/>
    <s v="Ooma Telo VoIP Home Phone System"/>
    <n v="377.97"/>
    <n v="3"/>
    <n v="94.492500000000007"/>
    <x v="2"/>
    <x v="1"/>
    <x v="0"/>
    <n v="0.25"/>
  </r>
  <r>
    <s v="US-2017-129777"/>
    <x v="183"/>
    <d v="2017-07-09T00:00:00"/>
    <x v="0"/>
    <s v="FM-14290"/>
    <s v="Frank Merwin"/>
    <x v="2"/>
    <s v="United States"/>
    <x v="182"/>
    <x v="35"/>
    <x v="2"/>
    <s v="TEC-AC-10003590"/>
    <x v="0"/>
    <x v="1"/>
    <s v="TRENDnet 56K USB 2.0 Phone, Internet and Fax Modem"/>
    <n v="258.89999999999998"/>
    <n v="10"/>
    <n v="93.203999999999994"/>
    <x v="3"/>
    <x v="3"/>
    <x v="10"/>
    <n v="0.36"/>
  </r>
  <r>
    <s v="CA-2014-129364"/>
    <x v="439"/>
    <d v="2014-12-13T00:00:00"/>
    <x v="0"/>
    <s v="TB-21250"/>
    <s v="Tim Brockman"/>
    <x v="0"/>
    <s v="United States"/>
    <x v="53"/>
    <x v="16"/>
    <x v="0"/>
    <s v="TEC-PH-10003095"/>
    <x v="0"/>
    <x v="0"/>
    <s v="Samsung HM1900 Bluetooth Headset"/>
    <n v="52.68"/>
    <n v="3"/>
    <n v="19.754999999999999"/>
    <x v="0"/>
    <x v="0"/>
    <x v="3"/>
    <n v="0.375"/>
  </r>
  <r>
    <s v="CA-2014-129364"/>
    <x v="439"/>
    <d v="2014-12-13T00:00:00"/>
    <x v="0"/>
    <s v="TB-21250"/>
    <s v="Tim Brockman"/>
    <x v="0"/>
    <s v="United States"/>
    <x v="53"/>
    <x v="16"/>
    <x v="0"/>
    <s v="TEC-AC-10004227"/>
    <x v="0"/>
    <x v="1"/>
    <s v="SanDisk Ultra 16 GB MicroSDHC Class 10 Memory Card"/>
    <n v="103.92"/>
    <n v="10"/>
    <n v="-18.186"/>
    <x v="0"/>
    <x v="0"/>
    <x v="3"/>
    <n v="-0.17499999999999999"/>
  </r>
  <r>
    <s v="CA-2015-132626"/>
    <x v="440"/>
    <d v="2015-07-14T00:00:00"/>
    <x v="0"/>
    <s v="BT-11680"/>
    <s v="Brian Thompson"/>
    <x v="0"/>
    <s v="United States"/>
    <x v="104"/>
    <x v="33"/>
    <x v="2"/>
    <s v="TEC-MA-10002428"/>
    <x v="0"/>
    <x v="2"/>
    <s v="Fellowes Powershred HS-440 4-Sheet High Security Shredder"/>
    <n v="464.97"/>
    <n v="3"/>
    <n v="209.23650000000001"/>
    <x v="0"/>
    <x v="2"/>
    <x v="10"/>
    <n v="0.45"/>
  </r>
  <r>
    <s v="US-2015-131359"/>
    <x v="256"/>
    <d v="2015-11-02T00:00:00"/>
    <x v="1"/>
    <s v="FA-14230"/>
    <s v="Frank Atkinson"/>
    <x v="1"/>
    <s v="United States"/>
    <x v="52"/>
    <x v="7"/>
    <x v="0"/>
    <s v="TEC-MA-10000597"/>
    <x v="0"/>
    <x v="2"/>
    <s v="Lexmark S315 Color Inkjet Printer"/>
    <n v="59.994"/>
    <n v="2"/>
    <n v="-45.995399999999997"/>
    <x v="6"/>
    <x v="2"/>
    <x v="7"/>
    <n v="-0.76666666666666605"/>
  </r>
  <r>
    <s v="US-2015-131359"/>
    <x v="256"/>
    <d v="2015-11-02T00:00:00"/>
    <x v="1"/>
    <s v="FA-14230"/>
    <s v="Frank Atkinson"/>
    <x v="1"/>
    <s v="United States"/>
    <x v="52"/>
    <x v="7"/>
    <x v="0"/>
    <s v="TEC-CO-10001571"/>
    <x v="0"/>
    <x v="3"/>
    <s v="Sharp 1540cs Digital Laser Copier"/>
    <n v="439.99200000000002"/>
    <n v="1"/>
    <n v="164.99700000000001"/>
    <x v="6"/>
    <x v="2"/>
    <x v="7"/>
    <n v="0.375"/>
  </r>
  <r>
    <s v="US-2015-131359"/>
    <x v="256"/>
    <d v="2015-11-02T00:00:00"/>
    <x v="1"/>
    <s v="FA-14230"/>
    <s v="Frank Atkinson"/>
    <x v="1"/>
    <s v="United States"/>
    <x v="52"/>
    <x v="7"/>
    <x v="0"/>
    <s v="TEC-PH-10004531"/>
    <x v="0"/>
    <x v="0"/>
    <s v="OtterBox Commuter Series Case - iPhone 5 &amp; 5s"/>
    <n v="87.96"/>
    <n v="5"/>
    <n v="30.786000000000001"/>
    <x v="6"/>
    <x v="2"/>
    <x v="7"/>
    <n v="0.35"/>
  </r>
  <r>
    <s v="CA-2017-160416"/>
    <x v="335"/>
    <d v="2017-11-18T00:00:00"/>
    <x v="1"/>
    <s v="AD-10180"/>
    <s v="Alan Dominguez"/>
    <x v="2"/>
    <s v="United States"/>
    <x v="88"/>
    <x v="5"/>
    <x v="2"/>
    <s v="TEC-AC-10004114"/>
    <x v="0"/>
    <x v="1"/>
    <s v="KeyTronic 6101 Series - Keyboard - Black"/>
    <n v="163.96"/>
    <n v="4"/>
    <n v="70.502799999999993"/>
    <x v="0"/>
    <x v="3"/>
    <x v="6"/>
    <n v="0.43"/>
  </r>
  <r>
    <s v="CA-2015-104941"/>
    <x v="441"/>
    <d v="2015-06-19T00:00:00"/>
    <x v="0"/>
    <s v="DH-13075"/>
    <s v="Dave Hallsten"/>
    <x v="1"/>
    <s v="United States"/>
    <x v="22"/>
    <x v="20"/>
    <x v="3"/>
    <s v="TEC-CO-10004202"/>
    <x v="0"/>
    <x v="3"/>
    <s v="Brother DCP1000 Digital 3 in 1 Multifunction Machine"/>
    <n v="899.97"/>
    <n v="3"/>
    <n v="314.98950000000002"/>
    <x v="3"/>
    <x v="2"/>
    <x v="0"/>
    <n v="0.35"/>
  </r>
  <r>
    <s v="CA-2014-120544"/>
    <x v="213"/>
    <d v="2014-11-27T00:00:00"/>
    <x v="0"/>
    <s v="SS-20140"/>
    <s v="Saphhira Shifley"/>
    <x v="1"/>
    <s v="United States"/>
    <x v="193"/>
    <x v="1"/>
    <x v="1"/>
    <s v="TEC-AC-10003709"/>
    <x v="0"/>
    <x v="1"/>
    <s v="Maxell 4.7GB DVD-R 5/Pack"/>
    <n v="5.5439999999999996"/>
    <n v="7"/>
    <n v="1.6632"/>
    <x v="1"/>
    <x v="0"/>
    <x v="6"/>
    <n v="0.3"/>
  </r>
  <r>
    <s v="CA-2017-166198"/>
    <x v="442"/>
    <d v="2017-04-24T00:00:00"/>
    <x v="2"/>
    <s v="JW-15955"/>
    <s v="Joni Wasserman"/>
    <x v="0"/>
    <s v="United States"/>
    <x v="45"/>
    <x v="17"/>
    <x v="0"/>
    <s v="TEC-AC-10000521"/>
    <x v="0"/>
    <x v="1"/>
    <s v="Verbatim Slim CD and DVD Storage Cases, 50/Pack"/>
    <n v="11.54"/>
    <n v="1"/>
    <n v="3.4620000000000002"/>
    <x v="6"/>
    <x v="3"/>
    <x v="9"/>
    <n v="0.3"/>
  </r>
  <r>
    <s v="CA-2016-142370"/>
    <x v="443"/>
    <d v="2016-09-23T00:00:00"/>
    <x v="0"/>
    <s v="TP-21130"/>
    <s v="Theone Pippenger"/>
    <x v="0"/>
    <s v="United States"/>
    <x v="16"/>
    <x v="31"/>
    <x v="3"/>
    <s v="TEC-AC-10002926"/>
    <x v="0"/>
    <x v="1"/>
    <s v="Logitech Wireless Marathon Mouse M705"/>
    <n v="249.95"/>
    <n v="5"/>
    <n v="107.4785"/>
    <x v="1"/>
    <x v="1"/>
    <x v="4"/>
    <n v="0.43"/>
  </r>
  <r>
    <s v="CA-2015-109575"/>
    <x v="444"/>
    <d v="2015-09-23T00:00:00"/>
    <x v="0"/>
    <s v="KH-16630"/>
    <s v="Ken Heidel"/>
    <x v="1"/>
    <s v="United States"/>
    <x v="104"/>
    <x v="33"/>
    <x v="2"/>
    <s v="TEC-PH-10000730"/>
    <x v="0"/>
    <x v="0"/>
    <s v="Samsung Galaxy S4 Active"/>
    <n v="499.99"/>
    <n v="1"/>
    <n v="129.9974"/>
    <x v="0"/>
    <x v="2"/>
    <x v="4"/>
    <n v="0.26"/>
  </r>
  <r>
    <s v="CA-2015-109575"/>
    <x v="444"/>
    <d v="2015-09-23T00:00:00"/>
    <x v="0"/>
    <s v="KH-16630"/>
    <s v="Ken Heidel"/>
    <x v="1"/>
    <s v="United States"/>
    <x v="104"/>
    <x v="33"/>
    <x v="2"/>
    <s v="TEC-PH-10000895"/>
    <x v="0"/>
    <x v="0"/>
    <s v="Polycom VVX 310 VoIP phone"/>
    <n v="1259.93"/>
    <n v="7"/>
    <n v="327.58179999999999"/>
    <x v="0"/>
    <x v="2"/>
    <x v="4"/>
    <n v="0.26"/>
  </r>
  <r>
    <s v="CA-2016-115476"/>
    <x v="445"/>
    <d v="2016-03-17T00:00:00"/>
    <x v="3"/>
    <s v="VM-21835"/>
    <s v="Vivian Mathis"/>
    <x v="0"/>
    <s v="United States"/>
    <x v="129"/>
    <x v="4"/>
    <x v="2"/>
    <s v="TEC-PH-10000673"/>
    <x v="0"/>
    <x v="0"/>
    <s v="Plantronics Voyager Pro HD - Bluetooth Headset"/>
    <n v="129.97999999999999"/>
    <n v="2"/>
    <n v="62.3904"/>
    <x v="7"/>
    <x v="1"/>
    <x v="5"/>
    <n v="0.48"/>
  </r>
  <r>
    <s v="CA-2016-133340"/>
    <x v="446"/>
    <d v="2016-12-13T00:00:00"/>
    <x v="0"/>
    <s v="LH-17155"/>
    <s v="Logan Haushalter"/>
    <x v="0"/>
    <s v="United States"/>
    <x v="61"/>
    <x v="14"/>
    <x v="1"/>
    <s v="TEC-PH-10003988"/>
    <x v="0"/>
    <x v="0"/>
    <s v="LF Elite 3D Dazzle Designer Hard Case Cover, Lf Stylus Pen and Wiper For Apple Iphone 5c Mini Lite"/>
    <n v="10.9"/>
    <n v="1"/>
    <n v="3.052"/>
    <x v="1"/>
    <x v="1"/>
    <x v="3"/>
    <n v="0.28000000000000003"/>
  </r>
  <r>
    <s v="CA-2016-133340"/>
    <x v="446"/>
    <d v="2016-12-13T00:00:00"/>
    <x v="0"/>
    <s v="LH-17155"/>
    <s v="Logan Haushalter"/>
    <x v="0"/>
    <s v="United States"/>
    <x v="61"/>
    <x v="14"/>
    <x v="1"/>
    <s v="TEC-AC-10001109"/>
    <x v="0"/>
    <x v="1"/>
    <s v="Logitech Trackman Marble Mouse"/>
    <n v="59.98"/>
    <n v="2"/>
    <n v="25.191600000000001"/>
    <x v="1"/>
    <x v="1"/>
    <x v="3"/>
    <n v="0.42"/>
  </r>
  <r>
    <s v="CA-2017-161956"/>
    <x v="242"/>
    <d v="2017-08-29T00:00:00"/>
    <x v="1"/>
    <s v="DR-12880"/>
    <s v="Dan Reichenbach"/>
    <x v="1"/>
    <s v="United States"/>
    <x v="194"/>
    <x v="0"/>
    <x v="0"/>
    <s v="TEC-CO-10001571"/>
    <x v="0"/>
    <x v="3"/>
    <s v="Sharp 1540cs Digital Laser Copier"/>
    <n v="879.98400000000004"/>
    <n v="2"/>
    <n v="329.99400000000003"/>
    <x v="2"/>
    <x v="3"/>
    <x v="1"/>
    <n v="0.375"/>
  </r>
  <r>
    <s v="CA-2015-103205"/>
    <x v="237"/>
    <d v="2015-12-10T00:00:00"/>
    <x v="1"/>
    <s v="JJ-15760"/>
    <s v="Joel Jenkins"/>
    <x v="2"/>
    <s v="United States"/>
    <x v="3"/>
    <x v="1"/>
    <x v="1"/>
    <s v="TEC-PH-10004896"/>
    <x v="0"/>
    <x v="0"/>
    <s v="Nokia Lumia 521 (T-Mobile)"/>
    <n v="119.96"/>
    <n v="5"/>
    <n v="11.996"/>
    <x v="2"/>
    <x v="2"/>
    <x v="3"/>
    <n v="0.1"/>
  </r>
  <r>
    <s v="CA-2014-115357"/>
    <x v="447"/>
    <d v="2014-08-11T00:00:00"/>
    <x v="1"/>
    <s v="RF-19735"/>
    <s v="Roland Fjeld"/>
    <x v="0"/>
    <s v="United States"/>
    <x v="135"/>
    <x v="42"/>
    <x v="3"/>
    <s v="TEC-AC-10000023"/>
    <x v="0"/>
    <x v="1"/>
    <s v="Maxell 74 Minute CD-R Spindle, 50/Pack"/>
    <n v="62.91"/>
    <n v="3"/>
    <n v="22.647600000000001"/>
    <x v="0"/>
    <x v="0"/>
    <x v="1"/>
    <n v="0.36"/>
  </r>
  <r>
    <s v="US-2014-102715"/>
    <x v="448"/>
    <d v="2014-04-13T00:00:00"/>
    <x v="1"/>
    <s v="JK-15370"/>
    <s v="Jay Kimmel"/>
    <x v="0"/>
    <s v="United States"/>
    <x v="56"/>
    <x v="15"/>
    <x v="3"/>
    <s v="TEC-AC-10002001"/>
    <x v="0"/>
    <x v="1"/>
    <s v="Logitech Wireless Gaming Headset G930"/>
    <n v="383.976"/>
    <n v="3"/>
    <n v="81.594899999999996"/>
    <x v="2"/>
    <x v="0"/>
    <x v="9"/>
    <n v="0.21249999999999999"/>
  </r>
  <r>
    <s v="US-2014-102715"/>
    <x v="448"/>
    <d v="2014-04-13T00:00:00"/>
    <x v="1"/>
    <s v="JK-15370"/>
    <s v="Jay Kimmel"/>
    <x v="0"/>
    <s v="United States"/>
    <x v="56"/>
    <x v="15"/>
    <x v="3"/>
    <s v="TEC-AC-10001874"/>
    <x v="0"/>
    <x v="1"/>
    <s v="Logitech Wireless Anywhere Mouse MX for PC and Mac"/>
    <n v="335.94400000000002"/>
    <n v="7"/>
    <n v="41.993000000000002"/>
    <x v="2"/>
    <x v="0"/>
    <x v="9"/>
    <n v="0.125"/>
  </r>
  <r>
    <s v="US-2017-148768"/>
    <x v="449"/>
    <d v="2017-12-02T00:00:00"/>
    <x v="1"/>
    <s v="PN-18775"/>
    <s v="Parhena Norris"/>
    <x v="2"/>
    <s v="United States"/>
    <x v="56"/>
    <x v="15"/>
    <x v="3"/>
    <s v="TEC-PH-10002564"/>
    <x v="0"/>
    <x v="0"/>
    <s v="OtterBox Defender Series Case - Samsung Galaxy S4"/>
    <n v="71.975999999999999"/>
    <n v="3"/>
    <n v="8.9969999999999999"/>
    <x v="2"/>
    <x v="3"/>
    <x v="6"/>
    <n v="0.125"/>
  </r>
  <r>
    <s v="CA-2014-149643"/>
    <x v="450"/>
    <d v="2014-11-20T00:00:00"/>
    <x v="0"/>
    <s v="RH-19510"/>
    <s v="Rick Huthwaite"/>
    <x v="2"/>
    <s v="United States"/>
    <x v="195"/>
    <x v="43"/>
    <x v="1"/>
    <s v="TEC-PH-10000038"/>
    <x v="0"/>
    <x v="0"/>
    <s v="Jawbone MINI JAMBOX Wireless Bluetooth Speaker"/>
    <n v="273.95999999999998"/>
    <n v="2"/>
    <n v="10.958399999999999"/>
    <x v="1"/>
    <x v="0"/>
    <x v="6"/>
    <n v="0.04"/>
  </r>
  <r>
    <s v="CA-2015-135314"/>
    <x v="440"/>
    <d v="2015-07-14T00:00:00"/>
    <x v="1"/>
    <s v="MC-17575"/>
    <s v="Matt Collins"/>
    <x v="0"/>
    <s v="United States"/>
    <x v="20"/>
    <x v="12"/>
    <x v="2"/>
    <s v="TEC-PH-10003072"/>
    <x v="0"/>
    <x v="0"/>
    <s v="Panasonic KX-TG9541B DECT 6.0 Digital 2-Line Expandable Cordless Phone With Digital Answering System"/>
    <n v="269.98200000000003"/>
    <n v="3"/>
    <n v="40.497300000000003"/>
    <x v="0"/>
    <x v="2"/>
    <x v="10"/>
    <n v="0.15"/>
  </r>
  <r>
    <s v="CA-2017-125752"/>
    <x v="451"/>
    <d v="2017-08-04T00:00:00"/>
    <x v="0"/>
    <s v="EH-14125"/>
    <s v="Eugene Hildebrand"/>
    <x v="2"/>
    <s v="United States"/>
    <x v="196"/>
    <x v="15"/>
    <x v="3"/>
    <s v="TEC-AC-10003590"/>
    <x v="0"/>
    <x v="1"/>
    <s v="TRENDnet 56K USB 2.0 Phone, Internet and Fax Modem"/>
    <n v="41.423999999999999"/>
    <n v="2"/>
    <n v="8.2848000000000006"/>
    <x v="1"/>
    <x v="3"/>
    <x v="10"/>
    <n v="0.2"/>
  </r>
  <r>
    <s v="CA-2017-147760"/>
    <x v="97"/>
    <d v="2017-11-05T00:00:00"/>
    <x v="2"/>
    <s v="KL-16555"/>
    <s v="Kelly Lampkin"/>
    <x v="1"/>
    <s v="United States"/>
    <x v="197"/>
    <x v="8"/>
    <x v="3"/>
    <s v="TEC-PH-10002483"/>
    <x v="0"/>
    <x v="0"/>
    <s v="Motorola Moto X"/>
    <n v="1359.96"/>
    <n v="5"/>
    <n v="118.9965"/>
    <x v="4"/>
    <x v="3"/>
    <x v="6"/>
    <n v="8.7499999999999994E-2"/>
  </r>
  <r>
    <s v="CA-2016-156503"/>
    <x v="207"/>
    <d v="2016-10-20T00:00:00"/>
    <x v="0"/>
    <s v="NC-18415"/>
    <s v="Nathan Cano"/>
    <x v="0"/>
    <s v="United States"/>
    <x v="42"/>
    <x v="8"/>
    <x v="3"/>
    <s v="TEC-AC-10002473"/>
    <x v="0"/>
    <x v="1"/>
    <s v="Maxell 4.7GB DVD-R"/>
    <n v="22.704000000000001"/>
    <n v="1"/>
    <n v="5.9598000000000004"/>
    <x v="3"/>
    <x v="1"/>
    <x v="7"/>
    <n v="0.26250000000000001"/>
  </r>
  <r>
    <s v="CA-2015-113628"/>
    <x v="452"/>
    <d v="2015-11-19T00:00:00"/>
    <x v="0"/>
    <s v="AH-10690"/>
    <s v="Anna Häberlin"/>
    <x v="1"/>
    <s v="United States"/>
    <x v="198"/>
    <x v="15"/>
    <x v="3"/>
    <s v="TEC-PH-10000441"/>
    <x v="0"/>
    <x v="0"/>
    <s v="VTech DS6151"/>
    <n v="100.792"/>
    <n v="1"/>
    <n v="10.0792"/>
    <x v="5"/>
    <x v="2"/>
    <x v="6"/>
    <n v="0.1"/>
  </r>
  <r>
    <s v="CA-2016-152471"/>
    <x v="257"/>
    <d v="2016-07-08T00:00:00"/>
    <x v="3"/>
    <s v="ZD-21925"/>
    <s v="Zuschuss Donatelli"/>
    <x v="0"/>
    <s v="United States"/>
    <x v="42"/>
    <x v="15"/>
    <x v="3"/>
    <s v="TEC-PH-10002824"/>
    <x v="0"/>
    <x v="0"/>
    <s v="Jabra SPEAK 410 Multidevice Speakerphone"/>
    <n v="823.96"/>
    <n v="5"/>
    <n v="51.497500000000002"/>
    <x v="7"/>
    <x v="1"/>
    <x v="10"/>
    <n v="6.25E-2"/>
  </r>
  <r>
    <s v="CA-2015-102582"/>
    <x v="453"/>
    <d v="2015-09-19T00:00:00"/>
    <x v="0"/>
    <s v="NW-18400"/>
    <s v="Natalie Webber"/>
    <x v="0"/>
    <s v="United States"/>
    <x v="109"/>
    <x v="20"/>
    <x v="3"/>
    <s v="TEC-PH-10003187"/>
    <x v="0"/>
    <x v="0"/>
    <s v="Anker Astro Mini 3000mAh Ultra-Compact Portable Charger"/>
    <n v="59.97"/>
    <n v="3"/>
    <n v="0"/>
    <x v="1"/>
    <x v="2"/>
    <x v="4"/>
    <n v="0"/>
  </r>
  <r>
    <s v="CA-2015-140984"/>
    <x v="454"/>
    <d v="2015-09-18T00:00:00"/>
    <x v="0"/>
    <s v="CC-12685"/>
    <s v="Craig Carroll"/>
    <x v="0"/>
    <s v="United States"/>
    <x v="7"/>
    <x v="5"/>
    <x v="2"/>
    <s v="TEC-CO-10001571"/>
    <x v="0"/>
    <x v="3"/>
    <s v="Sharp 1540cs Digital Laser Copier"/>
    <n v="879.98400000000004"/>
    <n v="2"/>
    <n v="329.99400000000003"/>
    <x v="1"/>
    <x v="2"/>
    <x v="4"/>
    <n v="0.375"/>
  </r>
  <r>
    <s v="CA-2014-105984"/>
    <x v="282"/>
    <d v="2014-11-24T00:00:00"/>
    <x v="3"/>
    <s v="MY-18295"/>
    <s v="Muhammed Yedwab"/>
    <x v="1"/>
    <s v="United States"/>
    <x v="16"/>
    <x v="9"/>
    <x v="2"/>
    <s v="TEC-PH-10000560"/>
    <x v="0"/>
    <x v="0"/>
    <s v="Samsung Galaxy S III - 16GB - pebble blue (T-Mobile)"/>
    <n v="1049.97"/>
    <n v="5"/>
    <n v="-209.994"/>
    <x v="7"/>
    <x v="0"/>
    <x v="6"/>
    <n v="-0.2"/>
  </r>
  <r>
    <s v="CA-2014-126760"/>
    <x v="455"/>
    <d v="2014-08-02T00:00:00"/>
    <x v="0"/>
    <s v="KM-16720"/>
    <s v="Kunst Miller"/>
    <x v="0"/>
    <s v="United States"/>
    <x v="120"/>
    <x v="36"/>
    <x v="0"/>
    <s v="TEC-PH-10001363"/>
    <x v="0"/>
    <x v="0"/>
    <s v="Apple iPhone 5S"/>
    <n v="911.98400000000004"/>
    <n v="2"/>
    <n v="113.998"/>
    <x v="5"/>
    <x v="0"/>
    <x v="10"/>
    <n v="0.125"/>
  </r>
  <r>
    <s v="CA-2014-126760"/>
    <x v="455"/>
    <d v="2014-08-02T00:00:00"/>
    <x v="0"/>
    <s v="KM-16720"/>
    <s v="Kunst Miller"/>
    <x v="0"/>
    <s v="United States"/>
    <x v="120"/>
    <x v="36"/>
    <x v="0"/>
    <s v="TEC-AC-10004814"/>
    <x v="0"/>
    <x v="1"/>
    <s v="Logitech Illuminated Ultrathin Keyboard with Backlighting"/>
    <n v="170.97"/>
    <n v="3"/>
    <n v="70.097700000000003"/>
    <x v="5"/>
    <x v="0"/>
    <x v="10"/>
    <n v="0.41"/>
  </r>
  <r>
    <s v="CA-2017-161053"/>
    <x v="240"/>
    <d v="2017-09-23T00:00:00"/>
    <x v="2"/>
    <s v="JE-15745"/>
    <s v="Joel Eaton"/>
    <x v="0"/>
    <s v="United States"/>
    <x v="190"/>
    <x v="32"/>
    <x v="3"/>
    <s v="TEC-AC-10004633"/>
    <x v="0"/>
    <x v="1"/>
    <s v="Verbatim 25 GB 6x Blu-ray Single Layer Recordable Disc, 3/Pack"/>
    <n v="34.950000000000003"/>
    <n v="5"/>
    <n v="15.378"/>
    <x v="4"/>
    <x v="3"/>
    <x v="4"/>
    <n v="0.44"/>
  </r>
  <r>
    <s v="US-2017-105389"/>
    <x v="179"/>
    <d v="2017-10-28T00:00:00"/>
    <x v="1"/>
    <s v="DM-13015"/>
    <s v="Darrin Martin"/>
    <x v="0"/>
    <s v="United States"/>
    <x v="21"/>
    <x v="1"/>
    <x v="1"/>
    <s v="TEC-PH-10002824"/>
    <x v="0"/>
    <x v="0"/>
    <s v="Jabra SPEAK 410 Multidevice Speakerphone"/>
    <n v="823.96"/>
    <n v="5"/>
    <n v="51.497500000000002"/>
    <x v="0"/>
    <x v="3"/>
    <x v="7"/>
    <n v="6.25E-2"/>
  </r>
  <r>
    <s v="CA-2014-140816"/>
    <x v="456"/>
    <d v="2014-12-20T00:00:00"/>
    <x v="3"/>
    <s v="TC-21295"/>
    <s v="Toby Carlisle"/>
    <x v="0"/>
    <s v="United States"/>
    <x v="199"/>
    <x v="7"/>
    <x v="0"/>
    <s v="TEC-AC-10001539"/>
    <x v="0"/>
    <x v="1"/>
    <s v="Logitech G430 Surround Sound Gaming Headset with Dolby 7.1 Technology"/>
    <n v="447.94400000000002"/>
    <n v="7"/>
    <n v="89.588800000000006"/>
    <x v="7"/>
    <x v="0"/>
    <x v="3"/>
    <n v="0.2"/>
  </r>
  <r>
    <s v="CA-2017-154039"/>
    <x v="457"/>
    <d v="2017-02-22T00:00:00"/>
    <x v="0"/>
    <s v="JK-16120"/>
    <s v="Julie Kriz"/>
    <x v="2"/>
    <s v="United States"/>
    <x v="11"/>
    <x v="2"/>
    <x v="1"/>
    <s v="TEC-PH-10002789"/>
    <x v="0"/>
    <x v="0"/>
    <s v="LG Exalt"/>
    <n v="124.792"/>
    <n v="1"/>
    <n v="10.9193"/>
    <x v="0"/>
    <x v="3"/>
    <x v="8"/>
    <n v="8.7499999999999994E-2"/>
  </r>
  <r>
    <s v="CA-2014-124709"/>
    <x v="458"/>
    <d v="2014-07-29T00:00:00"/>
    <x v="1"/>
    <s v="GW-14605"/>
    <s v="Giulietta Weimer"/>
    <x v="0"/>
    <s v="United States"/>
    <x v="1"/>
    <x v="0"/>
    <x v="0"/>
    <s v="TEC-AC-10002842"/>
    <x v="0"/>
    <x v="1"/>
    <s v="WD My Passport Ultra 2TB Portable External Hard Drive"/>
    <n v="238"/>
    <n v="2"/>
    <n v="38.08"/>
    <x v="2"/>
    <x v="0"/>
    <x v="10"/>
    <n v="0.16"/>
  </r>
  <r>
    <s v="CA-2017-146360"/>
    <x v="459"/>
    <d v="2017-04-25T00:00:00"/>
    <x v="1"/>
    <s v="SC-20305"/>
    <s v="Sean Christensen"/>
    <x v="0"/>
    <s v="United States"/>
    <x v="200"/>
    <x v="21"/>
    <x v="1"/>
    <s v="TEC-AC-10003590"/>
    <x v="0"/>
    <x v="1"/>
    <s v="TRENDnet 56K USB 2.0 Phone, Internet and Fax Modem"/>
    <n v="155.34"/>
    <n v="6"/>
    <n v="55.922400000000003"/>
    <x v="2"/>
    <x v="3"/>
    <x v="9"/>
    <n v="0.36"/>
  </r>
  <r>
    <s v="CA-2015-132486"/>
    <x v="460"/>
    <d v="2015-10-27T00:00:00"/>
    <x v="1"/>
    <s v="JF-15355"/>
    <s v="Jay Fein"/>
    <x v="0"/>
    <s v="United States"/>
    <x v="30"/>
    <x v="0"/>
    <x v="0"/>
    <s v="TEC-AC-10000710"/>
    <x v="0"/>
    <x v="1"/>
    <s v="Maxell DVD-RAM Discs"/>
    <n v="148.32"/>
    <n v="9"/>
    <n v="63.7776"/>
    <x v="1"/>
    <x v="2"/>
    <x v="7"/>
    <n v="0.43"/>
  </r>
  <r>
    <s v="CA-2016-136231"/>
    <x v="182"/>
    <d v="2016-09-07T00:00:00"/>
    <x v="1"/>
    <s v="DM-13015"/>
    <s v="Darrin Martin"/>
    <x v="0"/>
    <s v="United States"/>
    <x v="201"/>
    <x v="44"/>
    <x v="3"/>
    <s v="TEC-PH-10002660"/>
    <x v="0"/>
    <x v="0"/>
    <s v="Nortel Networks T7316 E Nt8 B27"/>
    <n v="108.78400000000001"/>
    <n v="2"/>
    <n v="6.7990000000000004"/>
    <x v="2"/>
    <x v="1"/>
    <x v="4"/>
    <n v="6.25E-2"/>
  </r>
  <r>
    <s v="CA-2016-167759"/>
    <x v="380"/>
    <d v="2016-03-08T00:00:00"/>
    <x v="1"/>
    <s v="CC-12670"/>
    <s v="Craig Carreira"/>
    <x v="0"/>
    <s v="United States"/>
    <x v="202"/>
    <x v="21"/>
    <x v="1"/>
    <s v="TEC-PH-10003171"/>
    <x v="0"/>
    <x v="0"/>
    <s v="Plantronics Encore H101 Dual Earpieces Headset"/>
    <n v="134.85"/>
    <n v="3"/>
    <n v="37.758000000000003"/>
    <x v="0"/>
    <x v="1"/>
    <x v="5"/>
    <n v="0.28000000000000003"/>
  </r>
  <r>
    <s v="CA-2014-100895"/>
    <x v="461"/>
    <d v="2014-06-06T00:00:00"/>
    <x v="0"/>
    <s v="SV-20785"/>
    <s v="Stewart Visinsky"/>
    <x v="0"/>
    <s v="United States"/>
    <x v="91"/>
    <x v="31"/>
    <x v="3"/>
    <s v="TEC-PH-10001425"/>
    <x v="0"/>
    <x v="0"/>
    <s v="Mophie Juice Pack Helium for iPhone"/>
    <n v="239.97"/>
    <n v="3"/>
    <n v="67.191599999999994"/>
    <x v="1"/>
    <x v="0"/>
    <x v="0"/>
    <n v="0.28000000000000003"/>
  </r>
  <r>
    <s v="US-2016-163881"/>
    <x v="195"/>
    <d v="2016-11-30T00:00:00"/>
    <x v="0"/>
    <s v="SP-20860"/>
    <s v="Sung Pak"/>
    <x v="1"/>
    <s v="United States"/>
    <x v="0"/>
    <x v="0"/>
    <x v="0"/>
    <s v="TEC-AC-10003033"/>
    <x v="0"/>
    <x v="1"/>
    <s v="Plantronics CS510 - Over-the-Head monaural Wireless Headset System"/>
    <n v="659.9"/>
    <n v="2"/>
    <n v="217.767"/>
    <x v="3"/>
    <x v="1"/>
    <x v="6"/>
    <n v="0.33"/>
  </r>
  <r>
    <s v="US-2016-163881"/>
    <x v="195"/>
    <d v="2016-11-30T00:00:00"/>
    <x v="0"/>
    <s v="SP-20860"/>
    <s v="Sung Pak"/>
    <x v="1"/>
    <s v="United States"/>
    <x v="0"/>
    <x v="0"/>
    <x v="0"/>
    <s v="TEC-AC-10000420"/>
    <x v="0"/>
    <x v="1"/>
    <s v="Logitech G500s Laser Gaming Mouse with Adjustable Weight Tuning"/>
    <n v="559.91999999999996"/>
    <n v="8"/>
    <n v="190.37280000000001"/>
    <x v="3"/>
    <x v="1"/>
    <x v="6"/>
    <n v="0.34"/>
  </r>
  <r>
    <s v="US-2016-144547"/>
    <x v="437"/>
    <d v="2016-11-14T00:00:00"/>
    <x v="0"/>
    <s v="MS-17770"/>
    <s v="Maxwell Schwartz"/>
    <x v="0"/>
    <s v="United States"/>
    <x v="3"/>
    <x v="1"/>
    <x v="1"/>
    <s v="TEC-AC-10004901"/>
    <x v="0"/>
    <x v="1"/>
    <s v="Kensington SlimBlade Notebook Wireless Mouse with Nano Receiver "/>
    <n v="279.94400000000002"/>
    <n v="7"/>
    <n v="48.990200000000002"/>
    <x v="1"/>
    <x v="1"/>
    <x v="6"/>
    <n v="0.17499999999999999"/>
  </r>
  <r>
    <s v="CA-2017-110212"/>
    <x v="462"/>
    <d v="2017-05-05T00:00:00"/>
    <x v="0"/>
    <s v="SJ-20125"/>
    <s v="Sanjit Jacobs"/>
    <x v="2"/>
    <s v="United States"/>
    <x v="203"/>
    <x v="32"/>
    <x v="3"/>
    <s v="TEC-AC-10002331"/>
    <x v="0"/>
    <x v="1"/>
    <s v="Maxell 74 Minute CDR, 10/Pack"/>
    <n v="48.9"/>
    <n v="5"/>
    <n v="18.093"/>
    <x v="1"/>
    <x v="3"/>
    <x v="11"/>
    <n v="0.37"/>
  </r>
  <r>
    <s v="CA-2017-157980"/>
    <x v="82"/>
    <d v="2017-12-09T00:00:00"/>
    <x v="2"/>
    <s v="SH-20395"/>
    <s v="Shahid Hopkins"/>
    <x v="0"/>
    <s v="United States"/>
    <x v="86"/>
    <x v="9"/>
    <x v="2"/>
    <s v="TEC-AC-10002567"/>
    <x v="0"/>
    <x v="1"/>
    <s v="Logitech G602 Wireless Gaming Mouse"/>
    <n v="127.98399999999999"/>
    <n v="2"/>
    <n v="25.596800000000002"/>
    <x v="2"/>
    <x v="3"/>
    <x v="3"/>
    <n v="0.2"/>
  </r>
  <r>
    <s v="CA-2015-151043"/>
    <x v="305"/>
    <d v="2015-11-20T00:00:00"/>
    <x v="0"/>
    <s v="MG-17680"/>
    <s v="Maureen Gastineau"/>
    <x v="2"/>
    <s v="United States"/>
    <x v="20"/>
    <x v="12"/>
    <x v="2"/>
    <s v="TEC-AC-10001090"/>
    <x v="0"/>
    <x v="1"/>
    <s v="Micro Innovations Wireless Classic Keyboard with Mouse"/>
    <n v="47.984000000000002"/>
    <n v="2"/>
    <n v="-1.1996"/>
    <x v="3"/>
    <x v="2"/>
    <x v="6"/>
    <n v="-2.5000000000000001E-2"/>
  </r>
  <r>
    <s v="CA-2015-167010"/>
    <x v="463"/>
    <d v="2015-04-10T00:00:00"/>
    <x v="0"/>
    <s v="VT-21700"/>
    <s v="Valerie Takahito"/>
    <x v="2"/>
    <s v="United States"/>
    <x v="20"/>
    <x v="12"/>
    <x v="2"/>
    <s v="TEC-PH-10000347"/>
    <x v="0"/>
    <x v="0"/>
    <s v="Cush Cases Heavy Duty Rugged Cover Case for Samsung Galaxy S5 - Purple"/>
    <n v="14.85"/>
    <n v="5"/>
    <n v="-3.2174999999999998"/>
    <x v="0"/>
    <x v="2"/>
    <x v="9"/>
    <n v="-0.21666666666666701"/>
  </r>
  <r>
    <s v="CA-2015-167010"/>
    <x v="463"/>
    <d v="2015-04-10T00:00:00"/>
    <x v="0"/>
    <s v="VT-21700"/>
    <s v="Valerie Takahito"/>
    <x v="2"/>
    <s v="United States"/>
    <x v="20"/>
    <x v="12"/>
    <x v="2"/>
    <s v="TEC-PH-10002844"/>
    <x v="0"/>
    <x v="0"/>
    <s v="Speck Products Candyshell Flip Case"/>
    <n v="41.988"/>
    <n v="2"/>
    <n v="-9.7972000000000001"/>
    <x v="0"/>
    <x v="2"/>
    <x v="9"/>
    <n v="-0.233333333333333"/>
  </r>
  <r>
    <s v="CA-2017-126788"/>
    <x v="464"/>
    <d v="2017-06-06T00:00:00"/>
    <x v="2"/>
    <s v="AB-10105"/>
    <s v="Adrian Barton"/>
    <x v="0"/>
    <s v="United States"/>
    <x v="204"/>
    <x v="1"/>
    <x v="1"/>
    <s v="TEC-PH-10001619"/>
    <x v="0"/>
    <x v="0"/>
    <s v="LG G3"/>
    <n v="470.37599999999998"/>
    <n v="3"/>
    <n v="52.917299999999997"/>
    <x v="4"/>
    <x v="3"/>
    <x v="0"/>
    <n v="0.1125"/>
  </r>
  <r>
    <s v="CA-2016-110044"/>
    <x v="465"/>
    <d v="2016-07-02T00:00:00"/>
    <x v="1"/>
    <s v="RF-19735"/>
    <s v="Roland Fjeld"/>
    <x v="0"/>
    <s v="United States"/>
    <x v="11"/>
    <x v="2"/>
    <x v="1"/>
    <s v="TEC-PH-10001299"/>
    <x v="0"/>
    <x v="0"/>
    <s v="Polycom CX300 Desktop Phone USB VoIP phone"/>
    <n v="359.976"/>
    <n v="3"/>
    <n v="35.997599999999998"/>
    <x v="1"/>
    <x v="1"/>
    <x v="0"/>
    <n v="0.1"/>
  </r>
  <r>
    <s v="CA-2016-132094"/>
    <x v="204"/>
    <d v="2016-09-02T00:00:00"/>
    <x v="0"/>
    <s v="VG-21805"/>
    <s v="Vivek Grady"/>
    <x v="1"/>
    <s v="United States"/>
    <x v="20"/>
    <x v="12"/>
    <x v="2"/>
    <s v="TEC-AC-10001109"/>
    <x v="0"/>
    <x v="1"/>
    <s v="Logitech Trackman Marble Mouse"/>
    <n v="47.984000000000002"/>
    <n v="2"/>
    <n v="13.195600000000001"/>
    <x v="5"/>
    <x v="1"/>
    <x v="1"/>
    <n v="0.27500000000000002"/>
  </r>
  <r>
    <s v="CA-2017-123001"/>
    <x v="130"/>
    <d v="2017-09-08T00:00:00"/>
    <x v="0"/>
    <s v="AW-10840"/>
    <s v="Anthony Witt"/>
    <x v="0"/>
    <s v="United States"/>
    <x v="205"/>
    <x v="0"/>
    <x v="0"/>
    <s v="TEC-PH-10003484"/>
    <x v="0"/>
    <x v="0"/>
    <s v="Ooma Telo VoIP Home Phone System"/>
    <n v="201.584"/>
    <n v="2"/>
    <n v="12.599"/>
    <x v="3"/>
    <x v="3"/>
    <x v="4"/>
    <n v="6.25E-2"/>
  </r>
  <r>
    <s v="US-2016-151862"/>
    <x v="154"/>
    <d v="2016-03-08T00:00:00"/>
    <x v="0"/>
    <s v="ON-18715"/>
    <s v="Odella Nelson"/>
    <x v="1"/>
    <s v="United States"/>
    <x v="52"/>
    <x v="7"/>
    <x v="0"/>
    <s v="TEC-PH-10003535"/>
    <x v="0"/>
    <x v="0"/>
    <s v="RCA ViSYS 25423RE1 Corded phone"/>
    <n v="159.98400000000001"/>
    <n v="2"/>
    <n v="13.9986"/>
    <x v="5"/>
    <x v="1"/>
    <x v="5"/>
    <n v="8.7499999999999994E-2"/>
  </r>
  <r>
    <s v="CA-2015-113901"/>
    <x v="466"/>
    <d v="2015-10-24T00:00:00"/>
    <x v="0"/>
    <s v="NH-18610"/>
    <s v="Nicole Hansen"/>
    <x v="1"/>
    <s v="United States"/>
    <x v="77"/>
    <x v="14"/>
    <x v="1"/>
    <s v="TEC-PH-10002564"/>
    <x v="0"/>
    <x v="0"/>
    <s v="OtterBox Defender Series Case - Samsung Galaxy S4"/>
    <n v="149.94999999999999"/>
    <n v="5"/>
    <n v="44.984999999999999"/>
    <x v="0"/>
    <x v="2"/>
    <x v="7"/>
    <n v="0.3"/>
  </r>
  <r>
    <s v="CA-2017-101308"/>
    <x v="388"/>
    <d v="2017-10-07T00:00:00"/>
    <x v="0"/>
    <s v="FG-14260"/>
    <s v="Frank Gastineau"/>
    <x v="2"/>
    <s v="United States"/>
    <x v="45"/>
    <x v="17"/>
    <x v="0"/>
    <s v="TEC-PH-10003800"/>
    <x v="0"/>
    <x v="0"/>
    <s v="i.Sound Portable Power - 8000 mAh"/>
    <n v="84.784000000000006"/>
    <n v="2"/>
    <n v="-20.136199999999999"/>
    <x v="0"/>
    <x v="3"/>
    <x v="7"/>
    <n v="-0.23749999999999999"/>
  </r>
  <r>
    <s v="CA-2016-135265"/>
    <x v="467"/>
    <d v="2016-07-09T00:00:00"/>
    <x v="1"/>
    <s v="CC-12370"/>
    <s v="Christopher Conant"/>
    <x v="0"/>
    <s v="United States"/>
    <x v="0"/>
    <x v="0"/>
    <x v="0"/>
    <s v="TEC-CO-10003763"/>
    <x v="0"/>
    <x v="3"/>
    <s v="Canon PC1060 Personal Laser Copier"/>
    <n v="2799.96"/>
    <n v="5"/>
    <n v="944.98649999999998"/>
    <x v="2"/>
    <x v="1"/>
    <x v="10"/>
    <n v="0.33750000000000002"/>
  </r>
  <r>
    <s v="CA-2015-105627"/>
    <x v="468"/>
    <d v="2015-03-12T00:00:00"/>
    <x v="0"/>
    <s v="DK-12895"/>
    <s v="Dana Kaydos"/>
    <x v="0"/>
    <s v="United States"/>
    <x v="123"/>
    <x v="10"/>
    <x v="1"/>
    <s v="TEC-PH-10003012"/>
    <x v="0"/>
    <x v="0"/>
    <s v="Nortel Meridian M3904 Professional Digital phone"/>
    <n v="769.95"/>
    <n v="5"/>
    <n v="223.28550000000001"/>
    <x v="1"/>
    <x v="2"/>
    <x v="5"/>
    <n v="0.28999999999999998"/>
  </r>
  <r>
    <s v="CA-2014-116834"/>
    <x v="469"/>
    <d v="2014-10-16T00:00:00"/>
    <x v="0"/>
    <s v="Dp-13240"/>
    <s v="Dean percer"/>
    <x v="2"/>
    <s v="United States"/>
    <x v="45"/>
    <x v="17"/>
    <x v="0"/>
    <s v="TEC-AC-10002942"/>
    <x v="0"/>
    <x v="1"/>
    <s v="WD My Passport Ultra 1TB Portable External Hard Drive"/>
    <n v="345"/>
    <n v="5"/>
    <n v="58.65"/>
    <x v="0"/>
    <x v="0"/>
    <x v="7"/>
    <n v="0.17"/>
  </r>
  <r>
    <s v="CA-2016-145730"/>
    <x v="380"/>
    <d v="2016-03-08T00:00:00"/>
    <x v="0"/>
    <s v="CC-12220"/>
    <s v="Chris Cortes"/>
    <x v="0"/>
    <s v="United States"/>
    <x v="21"/>
    <x v="1"/>
    <x v="1"/>
    <s v="TEC-MA-10001016"/>
    <x v="0"/>
    <x v="2"/>
    <s v="Canon PC170 Desktop Personal Copier"/>
    <n v="287.91000000000003"/>
    <n v="3"/>
    <n v="33.589500000000001"/>
    <x v="0"/>
    <x v="1"/>
    <x v="5"/>
    <n v="0.116666666666667"/>
  </r>
  <r>
    <s v="US-2015-168732"/>
    <x v="470"/>
    <d v="2015-12-16T00:00:00"/>
    <x v="0"/>
    <s v="KM-16660"/>
    <s v="Khloe Miller"/>
    <x v="0"/>
    <s v="United States"/>
    <x v="91"/>
    <x v="31"/>
    <x v="3"/>
    <s v="TEC-AC-10001553"/>
    <x v="0"/>
    <x v="1"/>
    <s v="Memorex 25GB 6X Branded Blu-Ray Recordable Disc, 15/Pack"/>
    <n v="101.94"/>
    <n v="6"/>
    <n v="21.407399999999999"/>
    <x v="3"/>
    <x v="2"/>
    <x v="3"/>
    <n v="0.21"/>
  </r>
  <r>
    <s v="CA-2015-165624"/>
    <x v="471"/>
    <d v="2015-08-28T00:00:00"/>
    <x v="0"/>
    <s v="FH-14350"/>
    <s v="Fred Harton"/>
    <x v="0"/>
    <s v="United States"/>
    <x v="144"/>
    <x v="31"/>
    <x v="3"/>
    <s v="TEC-AC-10004568"/>
    <x v="0"/>
    <x v="1"/>
    <s v="Maxell LTO Ultrium - 800 GB"/>
    <n v="251.91"/>
    <n v="9"/>
    <n v="47.862900000000003"/>
    <x v="0"/>
    <x v="2"/>
    <x v="1"/>
    <n v="0.19"/>
  </r>
  <r>
    <s v="CA-2014-154963"/>
    <x v="60"/>
    <d v="2014-06-27T00:00:00"/>
    <x v="0"/>
    <s v="AA-10645"/>
    <s v="Anna Andreadi"/>
    <x v="0"/>
    <s v="United States"/>
    <x v="97"/>
    <x v="12"/>
    <x v="2"/>
    <s v="TEC-PH-10004093"/>
    <x v="0"/>
    <x v="0"/>
    <s v="Panasonic Kx-TS550"/>
    <n v="82.781999999999996"/>
    <n v="3"/>
    <n v="-15.1767"/>
    <x v="0"/>
    <x v="0"/>
    <x v="0"/>
    <n v="-0.18333333333333299"/>
  </r>
  <r>
    <s v="CA-2017-130764"/>
    <x v="396"/>
    <d v="2017-10-28T00:00:00"/>
    <x v="2"/>
    <s v="JO-15145"/>
    <s v="Jack O'Briant"/>
    <x v="1"/>
    <s v="United States"/>
    <x v="1"/>
    <x v="0"/>
    <x v="0"/>
    <s v="TEC-PH-10003215"/>
    <x v="0"/>
    <x v="0"/>
    <s v="Jackery Bar Premium Fast-charging Portable Charger"/>
    <n v="95.84"/>
    <n v="4"/>
    <n v="34.741999999999997"/>
    <x v="4"/>
    <x v="3"/>
    <x v="7"/>
    <n v="0.36249999999999999"/>
  </r>
  <r>
    <s v="CA-2017-139311"/>
    <x v="472"/>
    <d v="2017-08-13T00:00:00"/>
    <x v="2"/>
    <s v="SF-20965"/>
    <s v="Sylvia Foulston"/>
    <x v="1"/>
    <s v="United States"/>
    <x v="206"/>
    <x v="1"/>
    <x v="1"/>
    <s v="TEC-PH-10001557"/>
    <x v="0"/>
    <x v="0"/>
    <s v="Pyle PMP37LED"/>
    <n v="153.584"/>
    <n v="2"/>
    <n v="13.438599999999999"/>
    <x v="2"/>
    <x v="3"/>
    <x v="1"/>
    <n v="8.7499999999999994E-2"/>
  </r>
  <r>
    <s v="CA-2017-124296"/>
    <x v="473"/>
    <d v="2017-12-28T00:00:00"/>
    <x v="0"/>
    <s v="CS-12355"/>
    <s v="Christine Sundaresam"/>
    <x v="0"/>
    <s v="United States"/>
    <x v="207"/>
    <x v="13"/>
    <x v="3"/>
    <s v="TEC-MA-10003183"/>
    <x v="0"/>
    <x v="2"/>
    <s v="DYMO CardScan Personal V9 Business Card Scanner"/>
    <n v="479.97"/>
    <n v="3"/>
    <n v="239.98500000000001"/>
    <x v="1"/>
    <x v="3"/>
    <x v="3"/>
    <n v="0.5"/>
  </r>
  <r>
    <s v="CA-2016-169957"/>
    <x v="474"/>
    <d v="2016-09-30T00:00:00"/>
    <x v="0"/>
    <s v="SN-20710"/>
    <s v="Steve Nguyen"/>
    <x v="2"/>
    <s v="United States"/>
    <x v="208"/>
    <x v="17"/>
    <x v="0"/>
    <s v="TEC-AC-10003063"/>
    <x v="0"/>
    <x v="1"/>
    <s v="Micro Innovations USB RF Wireless Keyboard with Mouse"/>
    <n v="100"/>
    <n v="4"/>
    <n v="21"/>
    <x v="1"/>
    <x v="1"/>
    <x v="4"/>
    <n v="0.21"/>
  </r>
  <r>
    <s v="US-2016-108777"/>
    <x v="475"/>
    <d v="2016-12-12T00:00:00"/>
    <x v="3"/>
    <s v="JM-15655"/>
    <s v="Jim Mitchum"/>
    <x v="1"/>
    <s v="United States"/>
    <x v="103"/>
    <x v="9"/>
    <x v="2"/>
    <s v="TEC-AC-10002567"/>
    <x v="0"/>
    <x v="1"/>
    <s v="Logitech G602 Wireless Gaming Mouse"/>
    <n v="383.952"/>
    <n v="6"/>
    <n v="76.790400000000005"/>
    <x v="7"/>
    <x v="1"/>
    <x v="3"/>
    <n v="0.2"/>
  </r>
  <r>
    <s v="CA-2014-110786"/>
    <x v="106"/>
    <d v="2015-01-02T00:00:00"/>
    <x v="0"/>
    <s v="AJ-10795"/>
    <s v="Anthony Johnson"/>
    <x v="1"/>
    <s v="United States"/>
    <x v="1"/>
    <x v="0"/>
    <x v="0"/>
    <s v="TEC-MA-10003183"/>
    <x v="0"/>
    <x v="2"/>
    <s v="DYMO CardScan Personal V9 Business Card Scanner"/>
    <n v="767.952"/>
    <n v="6"/>
    <n v="287.98200000000003"/>
    <x v="1"/>
    <x v="0"/>
    <x v="3"/>
    <n v="0.375"/>
  </r>
  <r>
    <s v="CA-2014-110786"/>
    <x v="106"/>
    <d v="2015-01-02T00:00:00"/>
    <x v="0"/>
    <s v="AJ-10795"/>
    <s v="Anthony Johnson"/>
    <x v="1"/>
    <s v="United States"/>
    <x v="1"/>
    <x v="0"/>
    <x v="0"/>
    <s v="TEC-PH-10001425"/>
    <x v="0"/>
    <x v="0"/>
    <s v="Mophie Juice Pack Helium for iPhone"/>
    <n v="191.976"/>
    <n v="3"/>
    <n v="19.197600000000001"/>
    <x v="1"/>
    <x v="0"/>
    <x v="3"/>
    <n v="0.1"/>
  </r>
  <r>
    <s v="US-2015-166520"/>
    <x v="476"/>
    <d v="2015-07-19T00:00:00"/>
    <x v="2"/>
    <s v="KE-16420"/>
    <s v="Katrina Edelman"/>
    <x v="1"/>
    <s v="United States"/>
    <x v="7"/>
    <x v="5"/>
    <x v="2"/>
    <s v="TEC-AC-10001990"/>
    <x v="0"/>
    <x v="1"/>
    <s v="Kensington Orbit Wireless Mobile Trackball for PC and Mac"/>
    <n v="599.9"/>
    <n v="10"/>
    <n v="191.96799999999999"/>
    <x v="6"/>
    <x v="2"/>
    <x v="10"/>
    <n v="0.32"/>
  </r>
  <r>
    <s v="CA-2015-124058"/>
    <x v="477"/>
    <d v="2015-11-24T00:00:00"/>
    <x v="0"/>
    <s v="LC-16885"/>
    <s v="Lena Creighton"/>
    <x v="0"/>
    <s v="United States"/>
    <x v="89"/>
    <x v="0"/>
    <x v="0"/>
    <s v="TEC-PH-10004774"/>
    <x v="0"/>
    <x v="0"/>
    <s v="Gear Head AU3700S Headset"/>
    <n v="72.744"/>
    <n v="7"/>
    <n v="-15.4581"/>
    <x v="1"/>
    <x v="2"/>
    <x v="6"/>
    <n v="-0.21249999999999999"/>
  </r>
  <r>
    <s v="CA-2016-129196"/>
    <x v="196"/>
    <d v="2016-11-07T00:00:00"/>
    <x v="0"/>
    <s v="XP-21865"/>
    <s v="Xylona Preis"/>
    <x v="0"/>
    <s v="United States"/>
    <x v="11"/>
    <x v="2"/>
    <x v="1"/>
    <s v="TEC-AC-10002473"/>
    <x v="0"/>
    <x v="1"/>
    <s v="Maxell 4.7GB DVD-R"/>
    <n v="68.111999999999995"/>
    <n v="3"/>
    <n v="17.8794"/>
    <x v="3"/>
    <x v="1"/>
    <x v="6"/>
    <n v="0.26250000000000001"/>
  </r>
  <r>
    <s v="US-2016-122182"/>
    <x v="478"/>
    <d v="2016-03-14T00:00:00"/>
    <x v="0"/>
    <s v="BD-11770"/>
    <s v="Bryan Davis"/>
    <x v="0"/>
    <s v="United States"/>
    <x v="20"/>
    <x v="12"/>
    <x v="2"/>
    <s v="TEC-AC-10002800"/>
    <x v="0"/>
    <x v="1"/>
    <s v="Plantronics Audio 478 Stereo USB Headset"/>
    <n v="39.991999999999997"/>
    <n v="1"/>
    <n v="7.4984999999999999"/>
    <x v="1"/>
    <x v="1"/>
    <x v="5"/>
    <n v="0.1875"/>
  </r>
  <r>
    <s v="CA-2014-102673"/>
    <x v="113"/>
    <d v="2014-11-05T00:00:00"/>
    <x v="0"/>
    <s v="KH-16630"/>
    <s v="Ken Heidel"/>
    <x v="1"/>
    <s v="United States"/>
    <x v="13"/>
    <x v="8"/>
    <x v="3"/>
    <s v="TEC-PH-10004434"/>
    <x v="0"/>
    <x v="0"/>
    <s v="Cisco IP Phone 7961G VoIP phone - Dark gray"/>
    <n v="978.84"/>
    <n v="9"/>
    <n v="110.1195"/>
    <x v="1"/>
    <x v="0"/>
    <x v="6"/>
    <n v="0.1125"/>
  </r>
  <r>
    <s v="CA-2015-156104"/>
    <x v="157"/>
    <d v="2015-12-08T00:00:00"/>
    <x v="1"/>
    <s v="NP-18685"/>
    <s v="Nora Pelletier"/>
    <x v="2"/>
    <s v="United States"/>
    <x v="209"/>
    <x v="21"/>
    <x v="1"/>
    <s v="TEC-CO-10002095"/>
    <x v="0"/>
    <x v="3"/>
    <s v="Hewlett Packard 610 Color Digital Copier / Printer"/>
    <n v="999.98"/>
    <n v="2"/>
    <n v="449.99099999999999"/>
    <x v="2"/>
    <x v="2"/>
    <x v="3"/>
    <n v="0.45"/>
  </r>
  <r>
    <s v="US-2015-164308"/>
    <x v="479"/>
    <d v="2015-09-27T00:00:00"/>
    <x v="2"/>
    <s v="SC-20680"/>
    <s v="Steve Carroll"/>
    <x v="2"/>
    <s v="United States"/>
    <x v="210"/>
    <x v="11"/>
    <x v="1"/>
    <s v="TEC-PH-10004120"/>
    <x v="0"/>
    <x v="0"/>
    <s v="AT&amp;T 1080 Phone"/>
    <n v="821.94"/>
    <n v="6"/>
    <n v="213.70439999999999"/>
    <x v="6"/>
    <x v="2"/>
    <x v="4"/>
    <n v="0.26"/>
  </r>
  <r>
    <s v="CA-2015-165414"/>
    <x v="144"/>
    <d v="2015-12-24T00:00:00"/>
    <x v="2"/>
    <s v="LS-17245"/>
    <s v="Lynn Smith"/>
    <x v="0"/>
    <s v="United States"/>
    <x v="42"/>
    <x v="8"/>
    <x v="3"/>
    <s v="TEC-PH-10002293"/>
    <x v="0"/>
    <x v="0"/>
    <s v="Anker 36W 4-Port USB Wall Charger Travel Power Adapter for iPhone 5s 5c 5"/>
    <n v="47.975999999999999"/>
    <n v="3"/>
    <n v="4.7976000000000001"/>
    <x v="6"/>
    <x v="2"/>
    <x v="3"/>
    <n v="0.1"/>
  </r>
  <r>
    <s v="CA-2016-111913"/>
    <x v="480"/>
    <d v="2016-08-06T00:00:00"/>
    <x v="1"/>
    <s v="LC-16930"/>
    <s v="Linda Cazamias"/>
    <x v="1"/>
    <s v="United States"/>
    <x v="211"/>
    <x v="0"/>
    <x v="0"/>
    <s v="TEC-PH-10002275"/>
    <x v="0"/>
    <x v="0"/>
    <s v="Mitel 5320 IP Phone VoIP phone"/>
    <n v="302.38400000000001"/>
    <n v="2"/>
    <n v="30.238399999999999"/>
    <x v="2"/>
    <x v="1"/>
    <x v="1"/>
    <n v="0.1"/>
  </r>
  <r>
    <s v="CA-2015-102491"/>
    <x v="385"/>
    <d v="2015-08-28T00:00:00"/>
    <x v="0"/>
    <s v="KW-16435"/>
    <s v="Katrina Willman"/>
    <x v="0"/>
    <s v="United States"/>
    <x v="74"/>
    <x v="27"/>
    <x v="3"/>
    <s v="TEC-MA-10000864"/>
    <x v="0"/>
    <x v="2"/>
    <s v="Cisco 9971 IP Video Phone Charcoal"/>
    <n v="3080"/>
    <n v="7"/>
    <n v="1416.8"/>
    <x v="1"/>
    <x v="2"/>
    <x v="1"/>
    <n v="0.46"/>
  </r>
  <r>
    <s v="CA-2015-102491"/>
    <x v="385"/>
    <d v="2015-08-28T00:00:00"/>
    <x v="0"/>
    <s v="KW-16435"/>
    <s v="Katrina Willman"/>
    <x v="0"/>
    <s v="United States"/>
    <x v="74"/>
    <x v="27"/>
    <x v="3"/>
    <s v="TEC-AC-10003289"/>
    <x v="0"/>
    <x v="1"/>
    <s v="Anker Ultra-Slim Mini Bluetooth 3.0 Wireless Keyboard"/>
    <n v="79.959999999999994"/>
    <n v="4"/>
    <n v="18.390799999999999"/>
    <x v="1"/>
    <x v="2"/>
    <x v="1"/>
    <n v="0.23"/>
  </r>
  <r>
    <s v="CA-2015-102491"/>
    <x v="385"/>
    <d v="2015-08-28T00:00:00"/>
    <x v="0"/>
    <s v="KW-16435"/>
    <s v="Katrina Willman"/>
    <x v="0"/>
    <s v="United States"/>
    <x v="74"/>
    <x v="27"/>
    <x v="3"/>
    <s v="TEC-PH-10001619"/>
    <x v="0"/>
    <x v="0"/>
    <s v="LG G3"/>
    <n v="587.97"/>
    <n v="3"/>
    <n v="170.51130000000001"/>
    <x v="1"/>
    <x v="2"/>
    <x v="1"/>
    <n v="0.28999999999999998"/>
  </r>
  <r>
    <s v="US-2017-155999"/>
    <x v="350"/>
    <d v="2017-08-13T00:00:00"/>
    <x v="0"/>
    <s v="JK-15370"/>
    <s v="Jay Kimmel"/>
    <x v="0"/>
    <s v="United States"/>
    <x v="30"/>
    <x v="0"/>
    <x v="0"/>
    <s v="TEC-PH-10000439"/>
    <x v="0"/>
    <x v="0"/>
    <s v="GE DSL Phone Line Filter"/>
    <n v="159.96"/>
    <n v="5"/>
    <n v="17.9955"/>
    <x v="3"/>
    <x v="3"/>
    <x v="1"/>
    <n v="0.1125"/>
  </r>
  <r>
    <s v="CA-2015-153717"/>
    <x v="481"/>
    <d v="2016-01-01T00:00:00"/>
    <x v="0"/>
    <s v="DL-13495"/>
    <s v="Dionis Lloyd"/>
    <x v="1"/>
    <s v="United States"/>
    <x v="77"/>
    <x v="14"/>
    <x v="1"/>
    <s v="TEC-PH-10002923"/>
    <x v="0"/>
    <x v="0"/>
    <s v="Logitech B530 USB Headset - headset - Full size, Binaural"/>
    <n v="73.98"/>
    <n v="2"/>
    <n v="19.974599999999999"/>
    <x v="5"/>
    <x v="2"/>
    <x v="3"/>
    <n v="0.27"/>
  </r>
  <r>
    <s v="CA-2015-116687"/>
    <x v="482"/>
    <d v="2015-05-07T00:00:00"/>
    <x v="0"/>
    <s v="NC-18625"/>
    <s v="Noah Childs"/>
    <x v="1"/>
    <s v="United States"/>
    <x v="3"/>
    <x v="1"/>
    <x v="1"/>
    <s v="TEC-PH-10001750"/>
    <x v="0"/>
    <x v="0"/>
    <s v="Samsung Rugby III"/>
    <n v="158.376"/>
    <n v="3"/>
    <n v="13.857900000000001"/>
    <x v="0"/>
    <x v="2"/>
    <x v="11"/>
    <n v="8.7499999999999994E-2"/>
  </r>
  <r>
    <s v="CA-2017-117394"/>
    <x v="210"/>
    <d v="2017-09-10T00:00:00"/>
    <x v="0"/>
    <s v="MM-17920"/>
    <s v="Michael Moore"/>
    <x v="0"/>
    <s v="United States"/>
    <x v="20"/>
    <x v="12"/>
    <x v="2"/>
    <s v="TEC-AC-10000199"/>
    <x v="0"/>
    <x v="1"/>
    <s v="Kingston Digital DataTraveler 8GB USB 2.0"/>
    <n v="19.04"/>
    <n v="4"/>
    <n v="-1.4279999999999999"/>
    <x v="3"/>
    <x v="3"/>
    <x v="4"/>
    <n v="-7.4999999999999997E-2"/>
  </r>
  <r>
    <s v="CA-2014-127299"/>
    <x v="38"/>
    <d v="2014-09-24T00:00:00"/>
    <x v="0"/>
    <s v="JL-15835"/>
    <s v="John Lee"/>
    <x v="0"/>
    <s v="United States"/>
    <x v="13"/>
    <x v="8"/>
    <x v="3"/>
    <s v="TEC-MA-10001127"/>
    <x v="0"/>
    <x v="2"/>
    <s v="HP Designjet T520 Inkjet Large Format Printer - 24&quot; Color"/>
    <n v="2624.9850000000001"/>
    <n v="3"/>
    <n v="-944.99459999999999"/>
    <x v="0"/>
    <x v="0"/>
    <x v="4"/>
    <n v="-0.36"/>
  </r>
  <r>
    <s v="CA-2014-128839"/>
    <x v="24"/>
    <d v="2014-09-13T00:00:00"/>
    <x v="0"/>
    <s v="TT-21070"/>
    <s v="Ted Trevino"/>
    <x v="0"/>
    <s v="United States"/>
    <x v="134"/>
    <x v="23"/>
    <x v="3"/>
    <s v="TEC-MA-10000029"/>
    <x v="0"/>
    <x v="2"/>
    <s v="Epson WorkForce WF-2530 All-in-One Printer, Copier Scanner"/>
    <n v="209.97"/>
    <n v="3"/>
    <n v="90.287099999999995"/>
    <x v="0"/>
    <x v="0"/>
    <x v="4"/>
    <n v="0.43"/>
  </r>
  <r>
    <s v="CA-2017-106068"/>
    <x v="179"/>
    <d v="2017-10-28T00:00:00"/>
    <x v="0"/>
    <s v="RB-19330"/>
    <s v="Randy Bradley"/>
    <x v="0"/>
    <s v="United States"/>
    <x v="65"/>
    <x v="1"/>
    <x v="1"/>
    <s v="TEC-AC-10002942"/>
    <x v="0"/>
    <x v="1"/>
    <s v="WD My Passport Ultra 1TB Portable External Hard Drive"/>
    <n v="55.2"/>
    <n v="1"/>
    <n v="-2.0699999999999998"/>
    <x v="0"/>
    <x v="3"/>
    <x v="7"/>
    <n v="-3.7499999999999999E-2"/>
  </r>
  <r>
    <s v="CA-2015-101091"/>
    <x v="483"/>
    <d v="2015-12-09T00:00:00"/>
    <x v="1"/>
    <s v="SW-20245"/>
    <s v="Scot Wooten"/>
    <x v="0"/>
    <s v="United States"/>
    <x v="20"/>
    <x v="12"/>
    <x v="2"/>
    <s v="TEC-AC-10003280"/>
    <x v="0"/>
    <x v="1"/>
    <s v="Belkin F8E887 USB Wired Ergonomic Keyboard"/>
    <n v="47.984000000000002"/>
    <n v="2"/>
    <n v="0.5998"/>
    <x v="1"/>
    <x v="2"/>
    <x v="3"/>
    <n v="1.2500000000000001E-2"/>
  </r>
  <r>
    <s v="CA-2017-115546"/>
    <x v="116"/>
    <d v="2017-05-18T00:00:00"/>
    <x v="0"/>
    <s v="AH-10465"/>
    <s v="Amy Hunt"/>
    <x v="0"/>
    <s v="United States"/>
    <x v="7"/>
    <x v="5"/>
    <x v="2"/>
    <s v="TEC-PH-10002834"/>
    <x v="0"/>
    <x v="0"/>
    <s v="Google Nexus 5"/>
    <n v="539.97"/>
    <n v="3"/>
    <n v="134.99250000000001"/>
    <x v="1"/>
    <x v="3"/>
    <x v="11"/>
    <n v="0.25"/>
  </r>
  <r>
    <s v="US-2017-106131"/>
    <x v="169"/>
    <d v="2017-01-16T00:00:00"/>
    <x v="2"/>
    <s v="TP-21565"/>
    <s v="Tracy Poddar"/>
    <x v="1"/>
    <s v="United States"/>
    <x v="12"/>
    <x v="7"/>
    <x v="0"/>
    <s v="TEC-AC-10003027"/>
    <x v="0"/>
    <x v="1"/>
    <s v="Imation 8GB Mini TravelDrive USB 2.0 Flash Drive"/>
    <n v="169.06399999999999"/>
    <n v="7"/>
    <n v="-14.793100000000001"/>
    <x v="2"/>
    <x v="3"/>
    <x v="2"/>
    <n v="-8.7499999999999994E-2"/>
  </r>
  <r>
    <s v="CA-2014-128846"/>
    <x v="484"/>
    <d v="2014-04-12T00:00:00"/>
    <x v="0"/>
    <s v="RS-19765"/>
    <s v="Roland Schwarz"/>
    <x v="1"/>
    <s v="United States"/>
    <x v="135"/>
    <x v="42"/>
    <x v="3"/>
    <s v="TEC-PH-10003273"/>
    <x v="0"/>
    <x v="0"/>
    <s v="AT&amp;T TR1909W"/>
    <n v="629.95000000000005"/>
    <n v="5"/>
    <n v="163.78700000000001"/>
    <x v="0"/>
    <x v="0"/>
    <x v="9"/>
    <n v="0.26"/>
  </r>
  <r>
    <s v="US-2017-136868"/>
    <x v="485"/>
    <d v="2017-10-12T00:00:00"/>
    <x v="0"/>
    <s v="CR-12820"/>
    <s v="Cyra Reiten"/>
    <x v="2"/>
    <s v="United States"/>
    <x v="7"/>
    <x v="5"/>
    <x v="2"/>
    <s v="TEC-AC-10001539"/>
    <x v="0"/>
    <x v="1"/>
    <s v="Logitech G430 Surround Sound Gaming Headset with Dolby 7.1 Technology"/>
    <n v="319.95999999999998"/>
    <n v="4"/>
    <n v="115.18559999999999"/>
    <x v="3"/>
    <x v="3"/>
    <x v="7"/>
    <n v="0.36"/>
  </r>
  <r>
    <s v="CA-2016-111493"/>
    <x v="486"/>
    <d v="2016-10-22T00:00:00"/>
    <x v="2"/>
    <s v="CM-12160"/>
    <s v="Charles McCrossin"/>
    <x v="0"/>
    <s v="United States"/>
    <x v="212"/>
    <x v="33"/>
    <x v="2"/>
    <s v="TEC-AC-10004510"/>
    <x v="0"/>
    <x v="1"/>
    <s v="Logitech Desktop MK120 Mouse and keyboard Combo"/>
    <n v="98.16"/>
    <n v="6"/>
    <n v="9.8160000000000007"/>
    <x v="4"/>
    <x v="1"/>
    <x v="7"/>
    <n v="0.1"/>
  </r>
  <r>
    <s v="CA-2017-166709"/>
    <x v="487"/>
    <d v="2017-11-22T00:00:00"/>
    <x v="0"/>
    <s v="HL-15040"/>
    <s v="Hunter Lopez"/>
    <x v="0"/>
    <s v="United States"/>
    <x v="129"/>
    <x v="4"/>
    <x v="2"/>
    <s v="TEC-CO-10004722"/>
    <x v="0"/>
    <x v="3"/>
    <s v="Canon imageCLASS 2200 Advanced Copier"/>
    <n v="10499.97"/>
    <n v="3"/>
    <n v="5039.9856"/>
    <x v="0"/>
    <x v="3"/>
    <x v="6"/>
    <n v="0.48"/>
  </r>
  <r>
    <s v="CA-2015-150875"/>
    <x v="359"/>
    <d v="2015-11-20T00:00:00"/>
    <x v="0"/>
    <s v="HK-14890"/>
    <s v="Heather Kirkland"/>
    <x v="1"/>
    <s v="United States"/>
    <x v="213"/>
    <x v="45"/>
    <x v="0"/>
    <s v="TEC-PH-10001254"/>
    <x v="0"/>
    <x v="0"/>
    <s v="Jabra BIZ 2300 Duo QD Duo Corded Headset"/>
    <n v="304.77600000000001"/>
    <n v="3"/>
    <n v="22.8582"/>
    <x v="1"/>
    <x v="2"/>
    <x v="6"/>
    <n v="7.4999999999999997E-2"/>
  </r>
  <r>
    <s v="CA-2015-143105"/>
    <x v="470"/>
    <d v="2015-12-10T00:00:00"/>
    <x v="3"/>
    <s v="MA-17560"/>
    <s v="Matt Abelman"/>
    <x v="2"/>
    <s v="United States"/>
    <x v="7"/>
    <x v="5"/>
    <x v="2"/>
    <s v="TEC-CO-10002095"/>
    <x v="0"/>
    <x v="3"/>
    <s v="Hewlett Packard 610 Color Digital Copier / Printer"/>
    <n v="799.98400000000004"/>
    <n v="2"/>
    <n v="249.995"/>
    <x v="7"/>
    <x v="2"/>
    <x v="3"/>
    <n v="0.3125"/>
  </r>
  <r>
    <s v="CA-2017-149881"/>
    <x v="488"/>
    <d v="2017-04-03T00:00:00"/>
    <x v="2"/>
    <s v="NC-18535"/>
    <s v="Nick Crebassa"/>
    <x v="1"/>
    <s v="United States"/>
    <x v="1"/>
    <x v="0"/>
    <x v="0"/>
    <s v="TEC-MA-10000418"/>
    <x v="0"/>
    <x v="2"/>
    <s v="Cubify CubeX 3D Printer Double Head Print"/>
    <n v="4799.9840000000004"/>
    <n v="2"/>
    <n v="359.99880000000002"/>
    <x v="2"/>
    <x v="3"/>
    <x v="9"/>
    <n v="7.4999999999999997E-2"/>
  </r>
  <r>
    <s v="CA-2017-134565"/>
    <x v="489"/>
    <d v="2017-06-13T00:00:00"/>
    <x v="1"/>
    <s v="TB-21400"/>
    <s v="Tom Boeckenhauer"/>
    <x v="0"/>
    <s v="United States"/>
    <x v="45"/>
    <x v="17"/>
    <x v="0"/>
    <s v="TEC-MA-10001570"/>
    <x v="0"/>
    <x v="2"/>
    <s v="Cisco Desktop Collaboration Experience DX650 IP Video Phone"/>
    <n v="385.8"/>
    <n v="5"/>
    <n v="130.20750000000001"/>
    <x v="2"/>
    <x v="3"/>
    <x v="0"/>
    <n v="0.33750000000000002"/>
  </r>
  <r>
    <s v="CA-2016-159142"/>
    <x v="490"/>
    <d v="2016-04-05T00:00:00"/>
    <x v="2"/>
    <s v="ME-17320"/>
    <s v="Maria Etezadi"/>
    <x v="2"/>
    <s v="United States"/>
    <x v="84"/>
    <x v="23"/>
    <x v="3"/>
    <s v="TEC-PH-10001448"/>
    <x v="0"/>
    <x v="0"/>
    <s v="Anker Astro 15000mAh USB Portable Charger"/>
    <n v="149.97"/>
    <n v="3"/>
    <n v="5.9988000000000001"/>
    <x v="4"/>
    <x v="1"/>
    <x v="9"/>
    <n v="0.04"/>
  </r>
  <r>
    <s v="CA-2014-138436"/>
    <x v="491"/>
    <d v="2014-03-30T00:00:00"/>
    <x v="0"/>
    <s v="JD-15895"/>
    <s v="Jonathan Doherty"/>
    <x v="1"/>
    <s v="United States"/>
    <x v="0"/>
    <x v="0"/>
    <x v="0"/>
    <s v="TEC-AC-10002323"/>
    <x v="0"/>
    <x v="1"/>
    <s v="SanDisk Ultra 32 GB MicroSDHC Class 10 Memory Card"/>
    <n v="66.3"/>
    <n v="3"/>
    <n v="8.6189999999999998"/>
    <x v="1"/>
    <x v="0"/>
    <x v="5"/>
    <n v="0.13"/>
  </r>
  <r>
    <s v="CA-2015-155068"/>
    <x v="460"/>
    <d v="2015-10-23T00:00:00"/>
    <x v="3"/>
    <s v="RA-19285"/>
    <s v="Ralph Arnett"/>
    <x v="0"/>
    <s v="United States"/>
    <x v="175"/>
    <x v="15"/>
    <x v="3"/>
    <s v="TEC-PH-10004897"/>
    <x v="0"/>
    <x v="0"/>
    <s v="Mediabridge Sport Armband iPhone 5s"/>
    <n v="55.944000000000003"/>
    <n v="7"/>
    <n v="-13.2867"/>
    <x v="7"/>
    <x v="2"/>
    <x v="7"/>
    <n v="-0.23749999999999999"/>
  </r>
  <r>
    <s v="CA-2015-155068"/>
    <x v="460"/>
    <d v="2015-10-23T00:00:00"/>
    <x v="3"/>
    <s v="RA-19285"/>
    <s v="Ralph Arnett"/>
    <x v="0"/>
    <s v="United States"/>
    <x v="175"/>
    <x v="15"/>
    <x v="3"/>
    <s v="TEC-PH-10004924"/>
    <x v="0"/>
    <x v="0"/>
    <s v="SKILCRAFT Telephone Shoulder Rest, 2&quot; x 6.5&quot; x 2.5&quot;, Black"/>
    <n v="11.824"/>
    <n v="2"/>
    <n v="1.0346"/>
    <x v="7"/>
    <x v="2"/>
    <x v="7"/>
    <n v="8.7499999999999994E-2"/>
  </r>
  <r>
    <s v="CA-2017-158344"/>
    <x v="350"/>
    <d v="2017-08-11T00:00:00"/>
    <x v="0"/>
    <s v="CC-12475"/>
    <s v="Cindy Chapman"/>
    <x v="0"/>
    <s v="United States"/>
    <x v="214"/>
    <x v="3"/>
    <x v="1"/>
    <s v="TEC-AC-10002006"/>
    <x v="0"/>
    <x v="1"/>
    <s v="Memorex Micro Travel Drive 16 GB"/>
    <n v="63.96"/>
    <n v="4"/>
    <n v="19.8276"/>
    <x v="1"/>
    <x v="3"/>
    <x v="1"/>
    <n v="0.31"/>
  </r>
  <r>
    <s v="US-2016-131611"/>
    <x v="355"/>
    <d v="2016-11-09T00:00:00"/>
    <x v="0"/>
    <s v="EP-13915"/>
    <s v="Emily Phan"/>
    <x v="0"/>
    <s v="United States"/>
    <x v="3"/>
    <x v="1"/>
    <x v="1"/>
    <s v="TEC-AC-10004001"/>
    <x v="0"/>
    <x v="1"/>
    <s v="Logitech Wireless Headset H600 Over-The-Head Design"/>
    <n v="171.96"/>
    <n v="5"/>
    <n v="45.139499999999998"/>
    <x v="1"/>
    <x v="1"/>
    <x v="6"/>
    <n v="0.26250000000000001"/>
  </r>
  <r>
    <s v="US-2017-158505"/>
    <x v="492"/>
    <d v="2017-07-21T00:00:00"/>
    <x v="3"/>
    <s v="SF-20200"/>
    <s v="Sarah Foster"/>
    <x v="0"/>
    <s v="United States"/>
    <x v="215"/>
    <x v="34"/>
    <x v="0"/>
    <s v="TEC-PH-10004071"/>
    <x v="0"/>
    <x v="0"/>
    <s v="PayAnywhere Card Reader"/>
    <n v="71.927999999999997"/>
    <n v="9"/>
    <n v="6.2937000000000003"/>
    <x v="7"/>
    <x v="3"/>
    <x v="10"/>
    <n v="8.7499999999999994E-2"/>
  </r>
  <r>
    <s v="US-2016-107440"/>
    <x v="493"/>
    <d v="2016-04-20T00:00:00"/>
    <x v="0"/>
    <s v="BS-11365"/>
    <s v="Bill Shonely"/>
    <x v="1"/>
    <s v="United States"/>
    <x v="95"/>
    <x v="26"/>
    <x v="2"/>
    <s v="TEC-MA-10001047"/>
    <x v="0"/>
    <x v="2"/>
    <s v="3D Systems Cube Printer, 2nd Generation, Magenta"/>
    <n v="9099.93"/>
    <n v="7"/>
    <n v="2365.9818"/>
    <x v="1"/>
    <x v="1"/>
    <x v="9"/>
    <n v="0.26"/>
  </r>
  <r>
    <s v="CA-2015-105690"/>
    <x v="494"/>
    <d v="2015-11-26T00:00:00"/>
    <x v="1"/>
    <s v="CA-11965"/>
    <s v="Carol Adams"/>
    <x v="1"/>
    <s v="United States"/>
    <x v="216"/>
    <x v="1"/>
    <x v="1"/>
    <s v="TEC-CO-10001571"/>
    <x v="0"/>
    <x v="3"/>
    <s v="Sharp 1540cs Digital Laser Copier"/>
    <n v="439.99200000000002"/>
    <n v="1"/>
    <n v="164.99700000000001"/>
    <x v="0"/>
    <x v="2"/>
    <x v="6"/>
    <n v="0.375"/>
  </r>
  <r>
    <s v="CA-2017-130967"/>
    <x v="177"/>
    <d v="2017-03-16T00:00:00"/>
    <x v="0"/>
    <s v="EB-13870"/>
    <s v="Emily Burns"/>
    <x v="0"/>
    <s v="United States"/>
    <x v="20"/>
    <x v="12"/>
    <x v="2"/>
    <s v="TEC-PH-10004896"/>
    <x v="0"/>
    <x v="0"/>
    <s v="Nokia Lumia 521 (T-Mobile)"/>
    <n v="53.981999999999999"/>
    <n v="3"/>
    <n v="-10.7964"/>
    <x v="3"/>
    <x v="3"/>
    <x v="5"/>
    <n v="-0.2"/>
  </r>
  <r>
    <s v="CA-2017-129021"/>
    <x v="495"/>
    <d v="2017-08-26T00:00:00"/>
    <x v="1"/>
    <s v="PO-18850"/>
    <s v="Patrick O'Brill"/>
    <x v="0"/>
    <s v="United States"/>
    <x v="156"/>
    <x v="15"/>
    <x v="3"/>
    <s v="TEC-PH-10001459"/>
    <x v="0"/>
    <x v="0"/>
    <s v="Samsung Galaxy Mega 6.3"/>
    <n v="4367.8959999999997"/>
    <n v="13"/>
    <n v="327.59219999999999"/>
    <x v="6"/>
    <x v="3"/>
    <x v="1"/>
    <n v="7.4999999999999997E-2"/>
  </r>
  <r>
    <s v="CA-2014-162278"/>
    <x v="496"/>
    <d v="2014-10-30T00:00:00"/>
    <x v="1"/>
    <s v="AH-10585"/>
    <s v="Angele Hood"/>
    <x v="0"/>
    <s v="United States"/>
    <x v="45"/>
    <x v="17"/>
    <x v="0"/>
    <s v="TEC-PH-10000526"/>
    <x v="0"/>
    <x v="0"/>
    <s v="Vtech CS6719"/>
    <n v="383.96"/>
    <n v="5"/>
    <n v="38.396000000000001"/>
    <x v="1"/>
    <x v="0"/>
    <x v="7"/>
    <n v="0.1"/>
  </r>
  <r>
    <s v="CA-2014-125829"/>
    <x v="44"/>
    <d v="2014-11-11T00:00:00"/>
    <x v="0"/>
    <s v="WB-21850"/>
    <s v="William Brown"/>
    <x v="0"/>
    <s v="United States"/>
    <x v="0"/>
    <x v="0"/>
    <x v="0"/>
    <s v="TEC-PH-10001079"/>
    <x v="0"/>
    <x v="0"/>
    <s v="Polycom SoundPoint Pro SE-225 Corded phone"/>
    <n v="666.34400000000005"/>
    <n v="7"/>
    <n v="66.634399999999999"/>
    <x v="5"/>
    <x v="0"/>
    <x v="6"/>
    <n v="0.1"/>
  </r>
  <r>
    <s v="CA-2014-125829"/>
    <x v="44"/>
    <d v="2014-11-11T00:00:00"/>
    <x v="0"/>
    <s v="WB-21850"/>
    <s v="William Brown"/>
    <x v="0"/>
    <s v="United States"/>
    <x v="0"/>
    <x v="0"/>
    <x v="0"/>
    <s v="TEC-MA-10003246"/>
    <x v="0"/>
    <x v="2"/>
    <s v="Hewlett-Packard Deskjet D4360 Printer"/>
    <n v="447.96800000000002"/>
    <n v="4"/>
    <n v="139.99"/>
    <x v="5"/>
    <x v="0"/>
    <x v="6"/>
    <n v="0.3125"/>
  </r>
  <r>
    <s v="CA-2014-152345"/>
    <x v="106"/>
    <d v="2015-01-03T00:00:00"/>
    <x v="1"/>
    <s v="ST-20530"/>
    <s v="Shui Tom"/>
    <x v="0"/>
    <s v="United States"/>
    <x v="150"/>
    <x v="29"/>
    <x v="0"/>
    <s v="TEC-PH-10004897"/>
    <x v="0"/>
    <x v="0"/>
    <s v="Mediabridge Sport Armband iPhone 5s"/>
    <n v="23.975999999999999"/>
    <n v="3"/>
    <n v="-5.6943000000000001"/>
    <x v="0"/>
    <x v="0"/>
    <x v="3"/>
    <n v="-0.23749999999999999"/>
  </r>
  <r>
    <s v="US-2015-147662"/>
    <x v="497"/>
    <d v="2015-02-19T00:00:00"/>
    <x v="0"/>
    <s v="KB-16315"/>
    <s v="Karl Braun"/>
    <x v="0"/>
    <s v="United States"/>
    <x v="217"/>
    <x v="9"/>
    <x v="2"/>
    <s v="TEC-PH-10002834"/>
    <x v="0"/>
    <x v="0"/>
    <s v="Google Nexus 5"/>
    <n v="323.98200000000003"/>
    <n v="3"/>
    <n v="-80.995500000000007"/>
    <x v="0"/>
    <x v="2"/>
    <x v="8"/>
    <n v="-0.25"/>
  </r>
  <r>
    <s v="US-2015-147662"/>
    <x v="497"/>
    <d v="2015-02-19T00:00:00"/>
    <x v="0"/>
    <s v="KB-16315"/>
    <s v="Karl Braun"/>
    <x v="0"/>
    <s v="United States"/>
    <x v="217"/>
    <x v="9"/>
    <x v="2"/>
    <s v="TEC-AC-10003280"/>
    <x v="0"/>
    <x v="1"/>
    <s v="Belkin F8E887 USB Wired Ergonomic Keyboard"/>
    <n v="71.975999999999999"/>
    <n v="3"/>
    <n v="0.89970000000000006"/>
    <x v="0"/>
    <x v="2"/>
    <x v="8"/>
    <n v="1.2500000000000001E-2"/>
  </r>
  <r>
    <s v="CA-2017-107909"/>
    <x v="498"/>
    <d v="2017-09-06T00:00:00"/>
    <x v="0"/>
    <s v="SS-20875"/>
    <s v="Sung Shariari"/>
    <x v="0"/>
    <s v="United States"/>
    <x v="218"/>
    <x v="17"/>
    <x v="0"/>
    <s v="TEC-AC-10001998"/>
    <x v="0"/>
    <x v="1"/>
    <s v="Logitech LS21 Speaker System - PC Multimedia - 2.1-CH - Wired"/>
    <n v="19.989999999999998"/>
    <n v="1"/>
    <n v="6.7965999999999998"/>
    <x v="0"/>
    <x v="3"/>
    <x v="4"/>
    <n v="0.34"/>
  </r>
  <r>
    <s v="CA-2015-112375"/>
    <x v="144"/>
    <d v="2015-12-27T00:00:00"/>
    <x v="0"/>
    <s v="RD-19720"/>
    <s v="Roger Demir"/>
    <x v="0"/>
    <s v="United States"/>
    <x v="219"/>
    <x v="15"/>
    <x v="3"/>
    <s v="TEC-AC-10003237"/>
    <x v="0"/>
    <x v="1"/>
    <s v="Memorex Micro Travel Drive 4 GB"/>
    <n v="50.88"/>
    <n v="6"/>
    <n v="14.628"/>
    <x v="3"/>
    <x v="2"/>
    <x v="3"/>
    <n v="0.28749999999999998"/>
  </r>
  <r>
    <s v="CA-2015-125234"/>
    <x v="54"/>
    <d v="2015-12-01T00:00:00"/>
    <x v="0"/>
    <s v="SN-20710"/>
    <s v="Steve Nguyen"/>
    <x v="2"/>
    <s v="United States"/>
    <x v="0"/>
    <x v="0"/>
    <x v="0"/>
    <s v="TEC-AC-10000158"/>
    <x v="0"/>
    <x v="1"/>
    <s v="Sony 64GB Class 10 Micro SDHC R40 Memory Card"/>
    <n v="107.97"/>
    <n v="3"/>
    <n v="22.6737"/>
    <x v="1"/>
    <x v="2"/>
    <x v="6"/>
    <n v="0.21"/>
  </r>
  <r>
    <s v="CA-2017-105410"/>
    <x v="499"/>
    <d v="2017-03-22T00:00:00"/>
    <x v="2"/>
    <s v="ND-18370"/>
    <s v="Natalie DeCherney"/>
    <x v="0"/>
    <s v="United States"/>
    <x v="1"/>
    <x v="0"/>
    <x v="0"/>
    <s v="TEC-PH-10000038"/>
    <x v="0"/>
    <x v="0"/>
    <s v="Jawbone MINI JAMBOX Wireless Bluetooth Speaker"/>
    <n v="657.50400000000002"/>
    <n v="6"/>
    <n v="-131.5008"/>
    <x v="6"/>
    <x v="3"/>
    <x v="5"/>
    <n v="-0.2"/>
  </r>
  <r>
    <s v="CA-2017-105410"/>
    <x v="499"/>
    <d v="2017-03-22T00:00:00"/>
    <x v="2"/>
    <s v="ND-18370"/>
    <s v="Natalie DeCherney"/>
    <x v="0"/>
    <s v="United States"/>
    <x v="1"/>
    <x v="0"/>
    <x v="0"/>
    <s v="TEC-AC-10001552"/>
    <x v="0"/>
    <x v="1"/>
    <s v="Logitech K350 2.4Ghz Wireless Keyboard"/>
    <n v="99.54"/>
    <n v="2"/>
    <n v="10.949400000000001"/>
    <x v="6"/>
    <x v="3"/>
    <x v="5"/>
    <n v="0.11"/>
  </r>
  <r>
    <s v="CA-2017-105410"/>
    <x v="499"/>
    <d v="2017-03-22T00:00:00"/>
    <x v="2"/>
    <s v="ND-18370"/>
    <s v="Natalie DeCherney"/>
    <x v="0"/>
    <s v="United States"/>
    <x v="1"/>
    <x v="0"/>
    <x v="0"/>
    <s v="TEC-AC-10002926"/>
    <x v="0"/>
    <x v="1"/>
    <s v="Logitech Wireless Marathon Mouse M705"/>
    <n v="199.96"/>
    <n v="4"/>
    <n v="85.982799999999997"/>
    <x v="6"/>
    <x v="3"/>
    <x v="5"/>
    <n v="0.43"/>
  </r>
  <r>
    <s v="US-2017-100482"/>
    <x v="269"/>
    <d v="2017-04-15T00:00:00"/>
    <x v="0"/>
    <s v="JL-15130"/>
    <s v="Jack Lebron"/>
    <x v="0"/>
    <s v="United States"/>
    <x v="192"/>
    <x v="9"/>
    <x v="2"/>
    <s v="TEC-AC-10003441"/>
    <x v="0"/>
    <x v="1"/>
    <s v="Kingston Digital DataTraveler 32GB USB 2.0"/>
    <n v="27.12"/>
    <n v="2"/>
    <n v="-4.7460000000000004"/>
    <x v="1"/>
    <x v="3"/>
    <x v="9"/>
    <n v="-0.17499999999999999"/>
  </r>
  <r>
    <s v="CA-2017-107748"/>
    <x v="184"/>
    <d v="2017-12-12T00:00:00"/>
    <x v="1"/>
    <s v="AG-10330"/>
    <s v="Alex Grayson"/>
    <x v="0"/>
    <s v="United States"/>
    <x v="220"/>
    <x v="0"/>
    <x v="0"/>
    <s v="TEC-PH-10003215"/>
    <x v="0"/>
    <x v="0"/>
    <s v="Jackery Bar Premium Fast-charging Portable Charger"/>
    <n v="95.84"/>
    <n v="4"/>
    <n v="34.741999999999997"/>
    <x v="2"/>
    <x v="3"/>
    <x v="3"/>
    <n v="0.36249999999999999"/>
  </r>
  <r>
    <s v="US-2017-163195"/>
    <x v="457"/>
    <d v="2017-02-21T00:00:00"/>
    <x v="1"/>
    <s v="LL-16840"/>
    <s v="Lauren Leatherbury"/>
    <x v="0"/>
    <s v="United States"/>
    <x v="207"/>
    <x v="13"/>
    <x v="3"/>
    <s v="TEC-PH-10003875"/>
    <x v="0"/>
    <x v="0"/>
    <s v="KLD Oscar II Style Snap-on Ultra Thin Side Flip Synthetic Leather Cover Case for HTC One HTC M7"/>
    <n v="29.16"/>
    <n v="3"/>
    <n v="8.4564000000000004"/>
    <x v="1"/>
    <x v="3"/>
    <x v="8"/>
    <n v="0.28999999999999998"/>
  </r>
  <r>
    <s v="US-2017-169320"/>
    <x v="500"/>
    <d v="2017-07-25T00:00:00"/>
    <x v="1"/>
    <s v="LH-16900"/>
    <s v="Lena Hernandez"/>
    <x v="0"/>
    <s v="United States"/>
    <x v="221"/>
    <x v="21"/>
    <x v="1"/>
    <s v="TEC-AC-10002550"/>
    <x v="0"/>
    <x v="1"/>
    <s v="Memorex 25GB 6X Branded Blu-Ray Recordable Disc, 30/Pack"/>
    <n v="159.75"/>
    <n v="5"/>
    <n v="11.182499999999999"/>
    <x v="2"/>
    <x v="3"/>
    <x v="10"/>
    <n v="7.0000000000000007E-2"/>
  </r>
  <r>
    <s v="US-2015-122784"/>
    <x v="248"/>
    <d v="2015-07-27T00:00:00"/>
    <x v="0"/>
    <s v="RA-19915"/>
    <s v="Russell Applegate"/>
    <x v="0"/>
    <s v="United States"/>
    <x v="222"/>
    <x v="2"/>
    <x v="1"/>
    <s v="TEC-PH-10001557"/>
    <x v="0"/>
    <x v="0"/>
    <s v="Pyle PMP37LED"/>
    <n v="153.584"/>
    <n v="2"/>
    <n v="13.438599999999999"/>
    <x v="5"/>
    <x v="2"/>
    <x v="10"/>
    <n v="8.7499999999999994E-2"/>
  </r>
  <r>
    <s v="CA-2017-111556"/>
    <x v="501"/>
    <d v="2017-11-22T00:00:00"/>
    <x v="2"/>
    <s v="CD-11920"/>
    <s v="Carlos Daly"/>
    <x v="0"/>
    <s v="United States"/>
    <x v="7"/>
    <x v="5"/>
    <x v="2"/>
    <s v="TEC-PH-10001459"/>
    <x v="0"/>
    <x v="0"/>
    <s v="Samsung Galaxy Mega 6.3"/>
    <n v="1259.97"/>
    <n v="3"/>
    <n v="327.59219999999999"/>
    <x v="2"/>
    <x v="3"/>
    <x v="6"/>
    <n v="0.26"/>
  </r>
  <r>
    <s v="CA-2016-108868"/>
    <x v="58"/>
    <d v="2016-09-12T00:00:00"/>
    <x v="0"/>
    <s v="KB-16585"/>
    <s v="Ken Black"/>
    <x v="1"/>
    <s v="United States"/>
    <x v="26"/>
    <x v="1"/>
    <x v="1"/>
    <s v="TEC-PH-10000923"/>
    <x v="0"/>
    <x v="0"/>
    <s v="Belkin SportFit Armband For iPhone 5s/5c, Fuchsia"/>
    <n v="59.96"/>
    <n v="5"/>
    <n v="21.735499999999998"/>
    <x v="1"/>
    <x v="1"/>
    <x v="4"/>
    <n v="0.36249999999999999"/>
  </r>
  <r>
    <s v="CA-2016-148740"/>
    <x v="254"/>
    <d v="2016-11-19T00:00:00"/>
    <x v="0"/>
    <s v="AH-10690"/>
    <s v="Anna Häberlin"/>
    <x v="1"/>
    <s v="United States"/>
    <x v="30"/>
    <x v="0"/>
    <x v="0"/>
    <s v="TEC-PH-10002549"/>
    <x v="0"/>
    <x v="0"/>
    <s v="Polycom SoundPoint IP 450 VoIP phone"/>
    <n v="361.37599999999998"/>
    <n v="2"/>
    <n v="27.103200000000001"/>
    <x v="1"/>
    <x v="1"/>
    <x v="6"/>
    <n v="7.4999999999999997E-2"/>
  </r>
  <r>
    <s v="CA-2015-164336"/>
    <x v="502"/>
    <d v="2015-07-10T00:00:00"/>
    <x v="0"/>
    <s v="MW-18220"/>
    <s v="Mitch Webber"/>
    <x v="0"/>
    <s v="United States"/>
    <x v="20"/>
    <x v="12"/>
    <x v="2"/>
    <s v="TEC-AC-10002345"/>
    <x v="0"/>
    <x v="1"/>
    <s v="HP Standard 104 key PS/2 Keyboard"/>
    <n v="34.799999999999997"/>
    <n v="3"/>
    <n v="2.1749999999999998"/>
    <x v="0"/>
    <x v="2"/>
    <x v="10"/>
    <n v="6.25E-2"/>
  </r>
  <r>
    <s v="CA-2014-130624"/>
    <x v="99"/>
    <d v="2014-06-24T00:00:00"/>
    <x v="2"/>
    <s v="TB-21280"/>
    <s v="Toby Braunhardt"/>
    <x v="0"/>
    <s v="United States"/>
    <x v="7"/>
    <x v="5"/>
    <x v="2"/>
    <s v="TEC-PH-10003963"/>
    <x v="0"/>
    <x v="0"/>
    <s v="GE 2-Jack Phone Line Splitter"/>
    <n v="617.97"/>
    <n v="3"/>
    <n v="160.6722"/>
    <x v="6"/>
    <x v="0"/>
    <x v="0"/>
    <n v="0.26"/>
  </r>
  <r>
    <s v="CA-2014-153983"/>
    <x v="503"/>
    <d v="2014-12-06T00:00:00"/>
    <x v="0"/>
    <s v="AH-10210"/>
    <s v="Alan Hwang"/>
    <x v="0"/>
    <s v="United States"/>
    <x v="1"/>
    <x v="0"/>
    <x v="0"/>
    <s v="TEC-PH-10004586"/>
    <x v="0"/>
    <x v="0"/>
    <s v="Wilson SignalBoost 841262 DB PRO Amplifier Kit"/>
    <n v="575.91999999999996"/>
    <n v="2"/>
    <n v="71.989999999999995"/>
    <x v="5"/>
    <x v="0"/>
    <x v="6"/>
    <n v="0.125"/>
  </r>
  <r>
    <s v="CA-2017-159464"/>
    <x v="361"/>
    <d v="2017-05-19T00:00:00"/>
    <x v="2"/>
    <s v="TB-21355"/>
    <s v="Todd Boyes"/>
    <x v="1"/>
    <s v="United States"/>
    <x v="223"/>
    <x v="31"/>
    <x v="3"/>
    <s v="TEC-PH-10002185"/>
    <x v="0"/>
    <x v="0"/>
    <s v="QVS USB Car Charger 2-Port 2.1Amp for iPod/iPhone/iPad/iPad 2/iPad 3"/>
    <n v="34.75"/>
    <n v="5"/>
    <n v="15.637499999999999"/>
    <x v="4"/>
    <x v="3"/>
    <x v="11"/>
    <n v="0.45"/>
  </r>
  <r>
    <s v="CA-2017-159464"/>
    <x v="361"/>
    <d v="2017-05-19T00:00:00"/>
    <x v="2"/>
    <s v="TB-21355"/>
    <s v="Todd Boyes"/>
    <x v="1"/>
    <s v="United States"/>
    <x v="223"/>
    <x v="31"/>
    <x v="3"/>
    <s v="TEC-PH-10002350"/>
    <x v="0"/>
    <x v="0"/>
    <s v="Apple EarPods with Remote and Mic"/>
    <n v="55.98"/>
    <n v="2"/>
    <n v="15.6744"/>
    <x v="4"/>
    <x v="3"/>
    <x v="11"/>
    <n v="0.28000000000000003"/>
  </r>
  <r>
    <s v="US-2016-111290"/>
    <x v="504"/>
    <d v="2016-07-26T00:00:00"/>
    <x v="0"/>
    <s v="DK-13375"/>
    <s v="Dennis Kane"/>
    <x v="0"/>
    <s v="United States"/>
    <x v="224"/>
    <x v="14"/>
    <x v="1"/>
    <s v="TEC-AC-10004975"/>
    <x v="0"/>
    <x v="1"/>
    <s v="Plantronics Audio 995 Wireless Stereo Headset"/>
    <n v="109.95"/>
    <n v="1"/>
    <n v="36.283499999999997"/>
    <x v="1"/>
    <x v="1"/>
    <x v="10"/>
    <n v="0.33"/>
  </r>
  <r>
    <s v="US-2017-125717"/>
    <x v="505"/>
    <d v="2017-10-01T00:00:00"/>
    <x v="2"/>
    <s v="DS-13030"/>
    <s v="Darrin Sayre"/>
    <x v="2"/>
    <s v="United States"/>
    <x v="12"/>
    <x v="7"/>
    <x v="0"/>
    <s v="TEC-AC-10003657"/>
    <x v="0"/>
    <x v="1"/>
    <s v="Lenovo 17-Key USB Numeric Keypad"/>
    <n v="54.384"/>
    <n v="2"/>
    <n v="1.3595999999999999"/>
    <x v="6"/>
    <x v="3"/>
    <x v="4"/>
    <n v="2.5000000000000001E-2"/>
  </r>
  <r>
    <s v="CA-2017-121300"/>
    <x v="140"/>
    <d v="2017-09-29T00:00:00"/>
    <x v="3"/>
    <s v="MG-17680"/>
    <s v="Maureen Gastineau"/>
    <x v="2"/>
    <s v="United States"/>
    <x v="225"/>
    <x v="9"/>
    <x v="2"/>
    <s v="TEC-AC-10004571"/>
    <x v="0"/>
    <x v="1"/>
    <s v="Logitech G700s Rechargeable Gaming Mouse"/>
    <n v="239.976"/>
    <n v="3"/>
    <n v="65.993399999999994"/>
    <x v="7"/>
    <x v="3"/>
    <x v="4"/>
    <n v="0.27500000000000002"/>
  </r>
  <r>
    <s v="CA-2014-150798"/>
    <x v="390"/>
    <d v="2014-12-03T00:00:00"/>
    <x v="1"/>
    <s v="JK-15730"/>
    <s v="Joe Kamberova"/>
    <x v="0"/>
    <s v="United States"/>
    <x v="16"/>
    <x v="9"/>
    <x v="2"/>
    <s v="TEC-CO-10001571"/>
    <x v="0"/>
    <x v="3"/>
    <s v="Sharp 1540cs Digital Laser Copier"/>
    <n v="659.98800000000006"/>
    <n v="2"/>
    <n v="109.998"/>
    <x v="2"/>
    <x v="0"/>
    <x v="3"/>
    <n v="0.16666666666666699"/>
  </r>
  <r>
    <s v="US-2014-138247"/>
    <x v="506"/>
    <d v="2014-12-29T00:00:00"/>
    <x v="0"/>
    <s v="BF-11170"/>
    <s v="Ben Ferrer"/>
    <x v="2"/>
    <s v="United States"/>
    <x v="0"/>
    <x v="0"/>
    <x v="0"/>
    <s v="TEC-PH-10000213"/>
    <x v="0"/>
    <x v="0"/>
    <s v="Seidio BD2-HK3IPH5-BK DILEX Case and Holster Combo for Apple iPhone 5/5s - Black"/>
    <n v="173.65600000000001"/>
    <n v="7"/>
    <n v="17.365600000000001"/>
    <x v="0"/>
    <x v="0"/>
    <x v="3"/>
    <n v="0.1"/>
  </r>
  <r>
    <s v="US-2014-138247"/>
    <x v="506"/>
    <d v="2014-12-29T00:00:00"/>
    <x v="0"/>
    <s v="BF-11170"/>
    <s v="Ben Ferrer"/>
    <x v="2"/>
    <s v="United States"/>
    <x v="0"/>
    <x v="0"/>
    <x v="0"/>
    <s v="TEC-AC-10004708"/>
    <x v="0"/>
    <x v="1"/>
    <s v="Sony 32GB Class 10 Micro SDHC R40 Memory Card"/>
    <n v="62.85"/>
    <n v="3"/>
    <n v="13.198499999999999"/>
    <x v="0"/>
    <x v="0"/>
    <x v="3"/>
    <n v="0.21"/>
  </r>
  <r>
    <s v="US-2014-138247"/>
    <x v="506"/>
    <d v="2014-12-29T00:00:00"/>
    <x v="0"/>
    <s v="BF-11170"/>
    <s v="Ben Ferrer"/>
    <x v="2"/>
    <s v="United States"/>
    <x v="0"/>
    <x v="0"/>
    <x v="0"/>
    <s v="TEC-PH-10001530"/>
    <x v="0"/>
    <x v="0"/>
    <s v="Cisco Unified IP Phone 7945G VoIP phone"/>
    <n v="818.37599999999998"/>
    <n v="3"/>
    <n v="51.148499999999999"/>
    <x v="0"/>
    <x v="0"/>
    <x v="3"/>
    <n v="6.25E-2"/>
  </r>
  <r>
    <s v="CA-2014-109491"/>
    <x v="507"/>
    <d v="2014-02-26T00:00:00"/>
    <x v="0"/>
    <s v="LC-16930"/>
    <s v="Linda Cazamias"/>
    <x v="1"/>
    <s v="United States"/>
    <x v="184"/>
    <x v="21"/>
    <x v="1"/>
    <s v="TEC-AC-10001284"/>
    <x v="0"/>
    <x v="1"/>
    <s v="Enermax Briskie RF Wireless Keyboard and Mouse Combo"/>
    <n v="62.31"/>
    <n v="3"/>
    <n v="22.4316"/>
    <x v="3"/>
    <x v="0"/>
    <x v="8"/>
    <n v="0.36"/>
  </r>
  <r>
    <s v="US-2017-105046"/>
    <x v="508"/>
    <d v="2017-07-23T00:00:00"/>
    <x v="0"/>
    <s v="BE-11335"/>
    <s v="Bill Eplett"/>
    <x v="2"/>
    <s v="United States"/>
    <x v="226"/>
    <x v="5"/>
    <x v="2"/>
    <s v="TEC-PH-10004536"/>
    <x v="0"/>
    <x v="0"/>
    <s v="Avaya 5420 Digital phone"/>
    <n v="269.98"/>
    <n v="2"/>
    <n v="67.495000000000005"/>
    <x v="3"/>
    <x v="3"/>
    <x v="10"/>
    <n v="0.25"/>
  </r>
  <r>
    <s v="CA-2017-152856"/>
    <x v="381"/>
    <d v="2017-09-10T00:00:00"/>
    <x v="1"/>
    <s v="RS-19765"/>
    <s v="Roland Schwarz"/>
    <x v="1"/>
    <s v="United States"/>
    <x v="142"/>
    <x v="9"/>
    <x v="2"/>
    <s v="TEC-AC-10004864"/>
    <x v="0"/>
    <x v="1"/>
    <s v="Memorex Micro Travel Drive 32 GB"/>
    <n v="116.83199999999999"/>
    <n v="4"/>
    <n v="33.589199999999998"/>
    <x v="2"/>
    <x v="3"/>
    <x v="4"/>
    <n v="0.28749999999999998"/>
  </r>
  <r>
    <s v="CA-2015-104129"/>
    <x v="509"/>
    <d v="2015-03-02T00:00:00"/>
    <x v="0"/>
    <s v="ES-14080"/>
    <s v="Erin Smith"/>
    <x v="1"/>
    <s v="United States"/>
    <x v="227"/>
    <x v="41"/>
    <x v="2"/>
    <s v="TEC-PH-10003800"/>
    <x v="0"/>
    <x v="0"/>
    <s v="i.Sound Portable Power - 8000 mAh"/>
    <n v="105.98"/>
    <n v="2"/>
    <n v="1.0598000000000001"/>
    <x v="6"/>
    <x v="2"/>
    <x v="8"/>
    <n v="0.01"/>
  </r>
  <r>
    <s v="CA-2015-126557"/>
    <x v="510"/>
    <d v="2015-07-17T00:00:00"/>
    <x v="1"/>
    <s v="RL-19615"/>
    <s v="Rob Lucas"/>
    <x v="0"/>
    <s v="United States"/>
    <x v="11"/>
    <x v="2"/>
    <x v="1"/>
    <s v="TEC-PH-10003505"/>
    <x v="0"/>
    <x v="0"/>
    <s v="Geemarc AmpliPOWER60"/>
    <n v="148.47999999999999"/>
    <n v="2"/>
    <n v="16.704000000000001"/>
    <x v="0"/>
    <x v="2"/>
    <x v="10"/>
    <n v="0.1125"/>
  </r>
  <r>
    <s v="CA-2015-126557"/>
    <x v="510"/>
    <d v="2015-07-17T00:00:00"/>
    <x v="1"/>
    <s v="RL-19615"/>
    <s v="Rob Lucas"/>
    <x v="0"/>
    <s v="United States"/>
    <x v="11"/>
    <x v="2"/>
    <x v="1"/>
    <s v="TEC-PH-10000526"/>
    <x v="0"/>
    <x v="0"/>
    <s v="Vtech CS6719"/>
    <n v="537.54399999999998"/>
    <n v="7"/>
    <n v="53.754399999999997"/>
    <x v="0"/>
    <x v="2"/>
    <x v="10"/>
    <n v="0.1"/>
  </r>
  <r>
    <s v="CA-2015-126557"/>
    <x v="510"/>
    <d v="2015-07-17T00:00:00"/>
    <x v="1"/>
    <s v="RL-19615"/>
    <s v="Rob Lucas"/>
    <x v="0"/>
    <s v="United States"/>
    <x v="11"/>
    <x v="2"/>
    <x v="1"/>
    <s v="TEC-PH-10003963"/>
    <x v="0"/>
    <x v="0"/>
    <s v="GE 2-Jack Phone Line Splitter"/>
    <n v="659.16800000000001"/>
    <n v="4"/>
    <n v="49.437600000000003"/>
    <x v="0"/>
    <x v="2"/>
    <x v="10"/>
    <n v="7.4999999999999997E-2"/>
  </r>
  <r>
    <s v="CA-2015-118871"/>
    <x v="416"/>
    <d v="2015-12-09T00:00:00"/>
    <x v="1"/>
    <s v="HM-14860"/>
    <s v="Harry Marie"/>
    <x v="1"/>
    <s v="United States"/>
    <x v="0"/>
    <x v="0"/>
    <x v="0"/>
    <s v="TEC-PH-10000193"/>
    <x v="0"/>
    <x v="0"/>
    <s v="Jensen SMPS-640 - speaker phone"/>
    <n v="110.352"/>
    <n v="3"/>
    <n v="8.2764000000000006"/>
    <x v="0"/>
    <x v="2"/>
    <x v="3"/>
    <n v="7.4999999999999997E-2"/>
  </r>
  <r>
    <s v="CA-2017-126662"/>
    <x v="508"/>
    <d v="2017-07-21T00:00:00"/>
    <x v="0"/>
    <s v="AB-10255"/>
    <s v="Alejandro Ballentine"/>
    <x v="2"/>
    <s v="United States"/>
    <x v="0"/>
    <x v="0"/>
    <x v="0"/>
    <s v="TEC-CO-10004202"/>
    <x v="0"/>
    <x v="3"/>
    <s v="Brother DCP1000 Digital 3 in 1 Multifunction Machine"/>
    <n v="479.98399999999998"/>
    <n v="2"/>
    <n v="89.997"/>
    <x v="1"/>
    <x v="3"/>
    <x v="10"/>
    <n v="0.1875"/>
  </r>
  <r>
    <s v="CA-2016-139395"/>
    <x v="475"/>
    <d v="2016-12-18T00:00:00"/>
    <x v="0"/>
    <s v="MG-17650"/>
    <s v="Matthew Grinstein"/>
    <x v="2"/>
    <s v="United States"/>
    <x v="61"/>
    <x v="14"/>
    <x v="1"/>
    <s v="TEC-PH-10002103"/>
    <x v="0"/>
    <x v="0"/>
    <s v="Jabra SPEAK 410"/>
    <n v="657.93"/>
    <n v="7"/>
    <n v="184.22040000000001"/>
    <x v="3"/>
    <x v="1"/>
    <x v="3"/>
    <n v="0.28000000000000003"/>
  </r>
  <r>
    <s v="CA-2015-164427"/>
    <x v="142"/>
    <d v="2015-08-06T00:00:00"/>
    <x v="0"/>
    <s v="AR-10405"/>
    <s v="Allen Rosenblatt"/>
    <x v="1"/>
    <s v="United States"/>
    <x v="228"/>
    <x v="22"/>
    <x v="3"/>
    <s v="TEC-AC-10004469"/>
    <x v="0"/>
    <x v="1"/>
    <s v="Microsoft Sculpt Comfort Mouse"/>
    <n v="239.7"/>
    <n v="6"/>
    <n v="105.468"/>
    <x v="3"/>
    <x v="2"/>
    <x v="10"/>
    <n v="0.44"/>
  </r>
  <r>
    <s v="CA-2016-129868"/>
    <x v="411"/>
    <d v="2016-12-31T00:00:00"/>
    <x v="0"/>
    <s v="MC-18130"/>
    <s v="Mike Caudle"/>
    <x v="1"/>
    <s v="United States"/>
    <x v="0"/>
    <x v="0"/>
    <x v="0"/>
    <s v="TEC-PH-10002275"/>
    <x v="0"/>
    <x v="0"/>
    <s v="Mitel 5320 IP Phone VoIP phone"/>
    <n v="302.38400000000001"/>
    <n v="2"/>
    <n v="30.238399999999999"/>
    <x v="0"/>
    <x v="1"/>
    <x v="3"/>
    <n v="0.1"/>
  </r>
  <r>
    <s v="US-2015-113327"/>
    <x v="511"/>
    <d v="2015-05-29T00:00:00"/>
    <x v="1"/>
    <s v="BF-11170"/>
    <s v="Ben Ferrer"/>
    <x v="2"/>
    <s v="United States"/>
    <x v="42"/>
    <x v="8"/>
    <x v="3"/>
    <s v="TEC-AC-10003628"/>
    <x v="0"/>
    <x v="1"/>
    <s v="Logitech 910-002974 M325 Wireless Mouse for Web Scrolling"/>
    <n v="167.94399999999999"/>
    <n v="7"/>
    <n v="50.383200000000002"/>
    <x v="6"/>
    <x v="2"/>
    <x v="11"/>
    <n v="0.3"/>
  </r>
  <r>
    <s v="CA-2015-135020"/>
    <x v="512"/>
    <d v="2015-06-02T00:00:00"/>
    <x v="0"/>
    <s v="MS-17770"/>
    <s v="Maxwell Schwartz"/>
    <x v="0"/>
    <s v="United States"/>
    <x v="10"/>
    <x v="5"/>
    <x v="2"/>
    <s v="TEC-PH-10004093"/>
    <x v="0"/>
    <x v="0"/>
    <s v="Panasonic Kx-TS550"/>
    <n v="45.99"/>
    <n v="1"/>
    <n v="13.3371"/>
    <x v="0"/>
    <x v="2"/>
    <x v="11"/>
    <n v="0.28999999999999998"/>
  </r>
  <r>
    <s v="CA-2015-159863"/>
    <x v="161"/>
    <d v="2015-09-07T00:00:00"/>
    <x v="1"/>
    <s v="DS-13180"/>
    <s v="David Smith"/>
    <x v="1"/>
    <s v="United States"/>
    <x v="3"/>
    <x v="1"/>
    <x v="1"/>
    <s v="TEC-AC-10000109"/>
    <x v="0"/>
    <x v="1"/>
    <s v="Sony Micro Vault Click 16 GB USB 2.0 Flash Drive"/>
    <n v="134.376"/>
    <n v="3"/>
    <n v="6.7187999999999999"/>
    <x v="6"/>
    <x v="2"/>
    <x v="4"/>
    <n v="0.05"/>
  </r>
  <r>
    <s v="CA-2015-117800"/>
    <x v="199"/>
    <d v="2015-09-26T00:00:00"/>
    <x v="0"/>
    <s v="TH-21550"/>
    <s v="Tracy Hopkins"/>
    <x v="2"/>
    <s v="United States"/>
    <x v="112"/>
    <x v="35"/>
    <x v="2"/>
    <s v="TEC-PH-10002415"/>
    <x v="0"/>
    <x v="0"/>
    <s v="Polycom VoiceStation 500 Conference phone"/>
    <n v="589.9"/>
    <n v="2"/>
    <n v="147.47499999999999"/>
    <x v="0"/>
    <x v="2"/>
    <x v="4"/>
    <n v="0.25"/>
  </r>
  <r>
    <s v="CA-2017-145219"/>
    <x v="473"/>
    <d v="2017-12-25T00:00:00"/>
    <x v="2"/>
    <s v="RM-19675"/>
    <s v="Robert Marley"/>
    <x v="2"/>
    <s v="United States"/>
    <x v="0"/>
    <x v="0"/>
    <x v="0"/>
    <s v="TEC-CO-10001449"/>
    <x v="0"/>
    <x v="3"/>
    <s v="Hewlett Packard LaserJet 3310 Copier"/>
    <n v="2879.9520000000002"/>
    <n v="6"/>
    <n v="1007.9832"/>
    <x v="4"/>
    <x v="3"/>
    <x v="3"/>
    <n v="0.35"/>
  </r>
  <r>
    <s v="CA-2016-102162"/>
    <x v="36"/>
    <d v="2016-09-16T00:00:00"/>
    <x v="0"/>
    <s v="JF-15565"/>
    <s v="Jill Fjeld"/>
    <x v="0"/>
    <s v="United States"/>
    <x v="229"/>
    <x v="23"/>
    <x v="3"/>
    <s v="TEC-CO-10001943"/>
    <x v="0"/>
    <x v="3"/>
    <s v="Canon PC-428 Personal Copier"/>
    <n v="1599.92"/>
    <n v="8"/>
    <n v="751.9624"/>
    <x v="0"/>
    <x v="1"/>
    <x v="4"/>
    <n v="0.47"/>
  </r>
  <r>
    <s v="CA-2015-147501"/>
    <x v="513"/>
    <d v="2015-08-06T00:00:00"/>
    <x v="0"/>
    <s v="Co-12640"/>
    <s v="Corey-Lock"/>
    <x v="0"/>
    <s v="United States"/>
    <x v="45"/>
    <x v="17"/>
    <x v="0"/>
    <s v="TEC-MA-10001972"/>
    <x v="0"/>
    <x v="2"/>
    <s v="Okidata C331dn Printer"/>
    <n v="558.4"/>
    <n v="2"/>
    <n v="41.88"/>
    <x v="1"/>
    <x v="2"/>
    <x v="1"/>
    <n v="7.4999999999999997E-2"/>
  </r>
  <r>
    <s v="CA-2015-112130"/>
    <x v="514"/>
    <d v="2015-05-07T00:00:00"/>
    <x v="0"/>
    <s v="SV-20785"/>
    <s v="Stewart Visinsky"/>
    <x v="0"/>
    <s v="United States"/>
    <x v="20"/>
    <x v="12"/>
    <x v="2"/>
    <s v="TEC-AC-10001542"/>
    <x v="0"/>
    <x v="1"/>
    <s v="SanDisk Cruzer 16 GB USB Flash Drive"/>
    <n v="27.552"/>
    <n v="3"/>
    <n v="-0.34439999999999998"/>
    <x v="1"/>
    <x v="2"/>
    <x v="11"/>
    <n v="-1.2500000000000001E-2"/>
  </r>
  <r>
    <s v="CA-2016-116547"/>
    <x v="515"/>
    <d v="2016-01-17T00:00:00"/>
    <x v="0"/>
    <s v="KB-16585"/>
    <s v="Ken Black"/>
    <x v="1"/>
    <s v="United States"/>
    <x v="45"/>
    <x v="17"/>
    <x v="0"/>
    <s v="TEC-AC-10002335"/>
    <x v="0"/>
    <x v="1"/>
    <s v="Logitech Media Keyboard K200"/>
    <n v="69.98"/>
    <n v="2"/>
    <n v="13.296200000000001"/>
    <x v="5"/>
    <x v="1"/>
    <x v="2"/>
    <n v="0.19"/>
  </r>
  <r>
    <s v="CA-2016-133550"/>
    <x v="516"/>
    <d v="2016-08-06T00:00:00"/>
    <x v="0"/>
    <s v="KL-16645"/>
    <s v="Ken Lonsdale"/>
    <x v="0"/>
    <s v="United States"/>
    <x v="77"/>
    <x v="14"/>
    <x v="1"/>
    <s v="TEC-PH-10004042"/>
    <x v="0"/>
    <x v="0"/>
    <s v="ClearOne Communications CHAT 70 OC Speaker Phone"/>
    <n v="635.96"/>
    <n v="4"/>
    <n v="165.34960000000001"/>
    <x v="3"/>
    <x v="1"/>
    <x v="10"/>
    <n v="0.26"/>
  </r>
  <r>
    <s v="CA-2016-133550"/>
    <x v="516"/>
    <d v="2016-08-06T00:00:00"/>
    <x v="0"/>
    <s v="KL-16645"/>
    <s v="Ken Lonsdale"/>
    <x v="0"/>
    <s v="United States"/>
    <x v="77"/>
    <x v="14"/>
    <x v="1"/>
    <s v="TEC-PH-10001079"/>
    <x v="0"/>
    <x v="0"/>
    <s v="Polycom SoundPoint Pro SE-225 Corded phone"/>
    <n v="118.99"/>
    <n v="1"/>
    <n v="33.3172"/>
    <x v="3"/>
    <x v="1"/>
    <x v="10"/>
    <n v="0.28000000000000003"/>
  </r>
  <r>
    <s v="CA-2014-114510"/>
    <x v="517"/>
    <d v="2014-03-19T00:00:00"/>
    <x v="0"/>
    <s v="JF-15295"/>
    <s v="Jason Fortune-"/>
    <x v="0"/>
    <s v="United States"/>
    <x v="230"/>
    <x v="34"/>
    <x v="0"/>
    <s v="TEC-AC-10004877"/>
    <x v="0"/>
    <x v="1"/>
    <s v="Imation 30456 USB Flash Drive 8GB"/>
    <n v="82.8"/>
    <n v="12"/>
    <n v="6.6239999999999997"/>
    <x v="0"/>
    <x v="0"/>
    <x v="5"/>
    <n v="0.08"/>
  </r>
  <r>
    <s v="CA-2016-127698"/>
    <x v="167"/>
    <d v="2016-12-01T00:00:00"/>
    <x v="3"/>
    <s v="MV-18190"/>
    <s v="Mike Vittorini"/>
    <x v="0"/>
    <s v="United States"/>
    <x v="125"/>
    <x v="8"/>
    <x v="3"/>
    <s v="TEC-PH-10003811"/>
    <x v="0"/>
    <x v="0"/>
    <s v="Jabra Supreme Plus Driver Edition Headset"/>
    <n v="863.928"/>
    <n v="9"/>
    <n v="86.392799999999994"/>
    <x v="7"/>
    <x v="1"/>
    <x v="3"/>
    <n v="0.1"/>
  </r>
  <r>
    <s v="CA-2016-101987"/>
    <x v="429"/>
    <d v="2016-06-30T00:00:00"/>
    <x v="0"/>
    <s v="HL-15040"/>
    <s v="Hunter Lopez"/>
    <x v="0"/>
    <s v="United States"/>
    <x v="184"/>
    <x v="21"/>
    <x v="1"/>
    <s v="TEC-PH-10001305"/>
    <x v="0"/>
    <x v="0"/>
    <s v="Panasonic KX TS208W Corded phone"/>
    <n v="440.91"/>
    <n v="9"/>
    <n v="123.45480000000001"/>
    <x v="3"/>
    <x v="1"/>
    <x v="0"/>
    <n v="0.28000000000000003"/>
  </r>
  <r>
    <s v="CA-2014-138681"/>
    <x v="456"/>
    <d v="2014-12-22T00:00:00"/>
    <x v="2"/>
    <s v="CT-11995"/>
    <s v="Carol Triggs"/>
    <x v="0"/>
    <s v="United States"/>
    <x v="35"/>
    <x v="6"/>
    <x v="0"/>
    <s v="TEC-AC-10003628"/>
    <x v="0"/>
    <x v="1"/>
    <s v="Logitech 910-002974 M325 Wireless Mouse for Web Scrolling"/>
    <n v="71.975999999999999"/>
    <n v="3"/>
    <n v="21.5928"/>
    <x v="2"/>
    <x v="0"/>
    <x v="3"/>
    <n v="0.3"/>
  </r>
  <r>
    <s v="CA-2017-138149"/>
    <x v="518"/>
    <d v="2017-06-30T00:00:00"/>
    <x v="2"/>
    <s v="WB-21850"/>
    <s v="William Brown"/>
    <x v="0"/>
    <s v="United States"/>
    <x v="0"/>
    <x v="0"/>
    <x v="0"/>
    <s v="TEC-AC-10001284"/>
    <x v="0"/>
    <x v="1"/>
    <s v="Enermax Briskie RF Wireless Keyboard and Mouse Combo"/>
    <n v="62.31"/>
    <n v="3"/>
    <n v="22.4316"/>
    <x v="4"/>
    <x v="3"/>
    <x v="0"/>
    <n v="0.36"/>
  </r>
  <r>
    <s v="CA-2017-121643"/>
    <x v="361"/>
    <d v="2017-05-20T00:00:00"/>
    <x v="2"/>
    <s v="AB-10105"/>
    <s v="Adrian Barton"/>
    <x v="0"/>
    <s v="United States"/>
    <x v="32"/>
    <x v="16"/>
    <x v="0"/>
    <s v="TEC-PH-10002200"/>
    <x v="0"/>
    <x v="0"/>
    <s v="Aastra 6757i CT Wireless VoIP phone"/>
    <n v="344.70400000000001"/>
    <n v="2"/>
    <n v="38.779200000000003"/>
    <x v="2"/>
    <x v="3"/>
    <x v="11"/>
    <n v="0.1125"/>
  </r>
  <r>
    <s v="US-2015-122910"/>
    <x v="519"/>
    <d v="2015-05-16T00:00:00"/>
    <x v="0"/>
    <s v="LT-16765"/>
    <s v="Larry Tron"/>
    <x v="0"/>
    <s v="United States"/>
    <x v="39"/>
    <x v="7"/>
    <x v="0"/>
    <s v="TEC-PH-10000441"/>
    <x v="0"/>
    <x v="0"/>
    <s v="VTech DS6151"/>
    <n v="201.584"/>
    <n v="2"/>
    <n v="20.1584"/>
    <x v="1"/>
    <x v="2"/>
    <x v="11"/>
    <n v="0.1"/>
  </r>
  <r>
    <s v="CA-2016-124681"/>
    <x v="520"/>
    <d v="2016-07-23T00:00:00"/>
    <x v="1"/>
    <s v="SV-20935"/>
    <s v="Susan Vittorini"/>
    <x v="0"/>
    <s v="United States"/>
    <x v="26"/>
    <x v="1"/>
    <x v="1"/>
    <s v="TEC-AC-10000487"/>
    <x v="0"/>
    <x v="1"/>
    <s v="SanDisk Cruzer 4 GB USB Flash Drive"/>
    <n v="15.576000000000001"/>
    <n v="3"/>
    <n v="3.3098999999999998"/>
    <x v="0"/>
    <x v="1"/>
    <x v="10"/>
    <n v="0.21249999999999999"/>
  </r>
  <r>
    <s v="US-2015-103996"/>
    <x v="521"/>
    <d v="2015-03-31T00:00:00"/>
    <x v="1"/>
    <s v="RB-19435"/>
    <s v="Richard Bierner"/>
    <x v="0"/>
    <s v="United States"/>
    <x v="30"/>
    <x v="0"/>
    <x v="0"/>
    <s v="TEC-AC-10003116"/>
    <x v="0"/>
    <x v="1"/>
    <s v="Memorex Froggy Flash Drive 8 GB"/>
    <n v="53.25"/>
    <n v="3"/>
    <n v="20.767499999999998"/>
    <x v="2"/>
    <x v="2"/>
    <x v="5"/>
    <n v="0.39"/>
  </r>
  <r>
    <s v="CA-2015-155054"/>
    <x v="441"/>
    <d v="2015-06-19T00:00:00"/>
    <x v="0"/>
    <s v="PS-19045"/>
    <s v="Penelope Sewall"/>
    <x v="2"/>
    <s v="United States"/>
    <x v="231"/>
    <x v="39"/>
    <x v="2"/>
    <s v="TEC-AC-10003657"/>
    <x v="0"/>
    <x v="1"/>
    <s v="Lenovo 17-Key USB Numeric Keypad"/>
    <n v="67.98"/>
    <n v="2"/>
    <n v="14.9556"/>
    <x v="3"/>
    <x v="2"/>
    <x v="0"/>
    <n v="0.22"/>
  </r>
  <r>
    <s v="CA-2016-127649"/>
    <x v="522"/>
    <d v="2016-10-09T00:00:00"/>
    <x v="2"/>
    <s v="DL-13495"/>
    <s v="Dionis Lloyd"/>
    <x v="1"/>
    <s v="United States"/>
    <x v="232"/>
    <x v="17"/>
    <x v="0"/>
    <s v="TEC-MA-10001972"/>
    <x v="0"/>
    <x v="2"/>
    <s v="Okidata C331dn Printer"/>
    <n v="837.6"/>
    <n v="3"/>
    <n v="62.82"/>
    <x v="2"/>
    <x v="1"/>
    <x v="7"/>
    <n v="7.4999999999999997E-2"/>
  </r>
  <r>
    <s v="CA-2016-159989"/>
    <x v="446"/>
    <d v="2016-12-13T00:00:00"/>
    <x v="0"/>
    <s v="EB-13870"/>
    <s v="Emily Burns"/>
    <x v="0"/>
    <s v="United States"/>
    <x v="17"/>
    <x v="44"/>
    <x v="3"/>
    <s v="TEC-PH-10000169"/>
    <x v="0"/>
    <x v="0"/>
    <s v="ARKON Windshield Dashboard Air Vent Car Mount Holder"/>
    <n v="40.68"/>
    <n v="3"/>
    <n v="-9.1530000000000005"/>
    <x v="1"/>
    <x v="1"/>
    <x v="3"/>
    <n v="-0.22500000000000001"/>
  </r>
  <r>
    <s v="US-2015-167220"/>
    <x v="523"/>
    <d v="2015-12-16T00:00:00"/>
    <x v="0"/>
    <s v="JB-15925"/>
    <s v="Joni Blumstein"/>
    <x v="0"/>
    <s v="United States"/>
    <x v="65"/>
    <x v="1"/>
    <x v="1"/>
    <s v="TEC-AC-10002018"/>
    <x v="0"/>
    <x v="1"/>
    <s v="AmazonBasics 3-Button USB Wired Mouse"/>
    <n v="22.367999999999999"/>
    <n v="4"/>
    <n v="6.4307999999999996"/>
    <x v="1"/>
    <x v="2"/>
    <x v="3"/>
    <n v="0.28749999999999998"/>
  </r>
  <r>
    <s v="CA-2014-121573"/>
    <x v="524"/>
    <d v="2014-11-07T00:00:00"/>
    <x v="0"/>
    <s v="SG-20605"/>
    <s v="Speros Goranitis"/>
    <x v="0"/>
    <s v="United States"/>
    <x v="7"/>
    <x v="5"/>
    <x v="2"/>
    <s v="TEC-PH-10000984"/>
    <x v="0"/>
    <x v="0"/>
    <s v="Panasonic KX-TG9471B"/>
    <n v="783.96"/>
    <n v="4"/>
    <n v="219.50880000000001"/>
    <x v="1"/>
    <x v="0"/>
    <x v="6"/>
    <n v="0.28000000000000003"/>
  </r>
  <r>
    <s v="CA-2015-123155"/>
    <x v="525"/>
    <d v="2015-03-12T00:00:00"/>
    <x v="2"/>
    <s v="NS-18640"/>
    <s v="Noel Staavos"/>
    <x v="1"/>
    <s v="United States"/>
    <x v="21"/>
    <x v="1"/>
    <x v="1"/>
    <s v="TEC-AC-10002473"/>
    <x v="0"/>
    <x v="1"/>
    <s v="Maxell 4.7GB DVD-R"/>
    <n v="113.52"/>
    <n v="5"/>
    <n v="29.798999999999999"/>
    <x v="6"/>
    <x v="2"/>
    <x v="5"/>
    <n v="0.26250000000000001"/>
  </r>
  <r>
    <s v="CA-2015-123155"/>
    <x v="525"/>
    <d v="2015-03-12T00:00:00"/>
    <x v="2"/>
    <s v="NS-18640"/>
    <s v="Noel Staavos"/>
    <x v="1"/>
    <s v="United States"/>
    <x v="21"/>
    <x v="1"/>
    <x v="1"/>
    <s v="TEC-PH-10001809"/>
    <x v="0"/>
    <x v="0"/>
    <s v="Panasonic KX T7736-B Digital phone"/>
    <n v="359.88"/>
    <n v="3"/>
    <n v="22.4925"/>
    <x v="6"/>
    <x v="2"/>
    <x v="5"/>
    <n v="6.25E-2"/>
  </r>
  <r>
    <s v="US-2014-167262"/>
    <x v="274"/>
    <d v="2014-11-03T00:00:00"/>
    <x v="1"/>
    <s v="AC-10450"/>
    <s v="Amy Cox"/>
    <x v="0"/>
    <s v="United States"/>
    <x v="233"/>
    <x v="6"/>
    <x v="0"/>
    <s v="TEC-PH-10000486"/>
    <x v="0"/>
    <x v="0"/>
    <s v="Plantronics HL10 Handset Lifter"/>
    <n v="742.33600000000001"/>
    <n v="8"/>
    <n v="83.512799999999999"/>
    <x v="6"/>
    <x v="0"/>
    <x v="7"/>
    <n v="0.1125"/>
  </r>
  <r>
    <s v="CA-2017-119746"/>
    <x v="16"/>
    <d v="2017-11-27T00:00:00"/>
    <x v="0"/>
    <s v="CM-12385"/>
    <s v="Christopher Martinez"/>
    <x v="0"/>
    <s v="United States"/>
    <x v="11"/>
    <x v="2"/>
    <x v="1"/>
    <s v="TEC-PH-10004447"/>
    <x v="0"/>
    <x v="0"/>
    <s v="Toshiba IPT2010-SD IP Telephone"/>
    <n v="222.38399999999999"/>
    <n v="2"/>
    <n v="16.678799999999999"/>
    <x v="1"/>
    <x v="3"/>
    <x v="6"/>
    <n v="7.4999999999999997E-2"/>
  </r>
  <r>
    <s v="CA-2015-104346"/>
    <x v="271"/>
    <d v="2015-12-16T00:00:00"/>
    <x v="0"/>
    <s v="IM-15070"/>
    <s v="Irene Maddox"/>
    <x v="0"/>
    <s v="United States"/>
    <x v="234"/>
    <x v="7"/>
    <x v="0"/>
    <s v="TEC-AC-10004396"/>
    <x v="0"/>
    <x v="1"/>
    <s v="Logitech Keyboard K120"/>
    <n v="58.08"/>
    <n v="4"/>
    <n v="-6.5339999999999998"/>
    <x v="0"/>
    <x v="2"/>
    <x v="3"/>
    <n v="-0.1125"/>
  </r>
  <r>
    <s v="US-2016-148901"/>
    <x v="526"/>
    <d v="2016-05-19T00:00:00"/>
    <x v="0"/>
    <s v="MK-17905"/>
    <s v="Michael Kennedy"/>
    <x v="1"/>
    <s v="United States"/>
    <x v="42"/>
    <x v="15"/>
    <x v="3"/>
    <s v="TEC-PH-10003988"/>
    <x v="0"/>
    <x v="0"/>
    <s v="LF Elite 3D Dazzle Designer Hard Case Cover, Lf Stylus Pen and Wiper For Apple Iphone 5c Mini Lite"/>
    <n v="43.6"/>
    <n v="5"/>
    <n v="4.3600000000000003"/>
    <x v="0"/>
    <x v="1"/>
    <x v="11"/>
    <n v="0.1"/>
  </r>
  <r>
    <s v="CA-2017-136364"/>
    <x v="527"/>
    <d v="2017-07-17T00:00:00"/>
    <x v="1"/>
    <s v="MH-17455"/>
    <s v="Mark Hamilton"/>
    <x v="0"/>
    <s v="United States"/>
    <x v="20"/>
    <x v="12"/>
    <x v="2"/>
    <s v="TEC-PH-10003885"/>
    <x v="0"/>
    <x v="0"/>
    <s v="Cisco SPA508G"/>
    <n v="39.594000000000001"/>
    <n v="1"/>
    <n v="-7.2588999999999997"/>
    <x v="1"/>
    <x v="3"/>
    <x v="10"/>
    <n v="-0.18333333333333299"/>
  </r>
  <r>
    <s v="CA-2015-151589"/>
    <x v="4"/>
    <d v="2015-12-30T00:00:00"/>
    <x v="2"/>
    <s v="RE-19450"/>
    <s v="Richard Eichhorn"/>
    <x v="0"/>
    <s v="United States"/>
    <x v="235"/>
    <x v="10"/>
    <x v="1"/>
    <s v="TEC-PH-10004345"/>
    <x v="0"/>
    <x v="0"/>
    <s v="Cisco SPA 502G IP Phone"/>
    <n v="239.9"/>
    <n v="2"/>
    <n v="71.97"/>
    <x v="6"/>
    <x v="2"/>
    <x v="3"/>
    <n v="0.3"/>
  </r>
  <r>
    <s v="CA-2016-121370"/>
    <x v="296"/>
    <d v="2016-11-19T00:00:00"/>
    <x v="1"/>
    <s v="EB-14110"/>
    <s v="Eugene Barchas"/>
    <x v="0"/>
    <s v="United States"/>
    <x v="20"/>
    <x v="12"/>
    <x v="2"/>
    <s v="TEC-CO-10004115"/>
    <x v="0"/>
    <x v="3"/>
    <s v="Sharp AL-1530CS Digital Copier"/>
    <n v="1199.9760000000001"/>
    <n v="4"/>
    <n v="179.99639999999999"/>
    <x v="0"/>
    <x v="1"/>
    <x v="6"/>
    <n v="0.15"/>
  </r>
  <r>
    <s v="CA-2015-140025"/>
    <x v="528"/>
    <d v="2015-04-11T00:00:00"/>
    <x v="0"/>
    <s v="PF-19120"/>
    <s v="Peter Fuller"/>
    <x v="0"/>
    <s v="United States"/>
    <x v="21"/>
    <x v="1"/>
    <x v="1"/>
    <s v="TEC-AC-10002402"/>
    <x v="0"/>
    <x v="1"/>
    <s v="Razer Kraken PRO Over Ear PC and Music Headset"/>
    <n v="383.952"/>
    <n v="6"/>
    <n v="47.994"/>
    <x v="1"/>
    <x v="2"/>
    <x v="9"/>
    <n v="0.125"/>
  </r>
  <r>
    <s v="CA-2016-140018"/>
    <x v="428"/>
    <d v="2016-11-26T00:00:00"/>
    <x v="0"/>
    <s v="CK-12205"/>
    <s v="Chloris Kastensmidt"/>
    <x v="0"/>
    <s v="United States"/>
    <x v="16"/>
    <x v="9"/>
    <x v="2"/>
    <s v="TEC-MA-10000752"/>
    <x v="0"/>
    <x v="2"/>
    <s v="Texas Instrument TI-15 Fraction Calculator"/>
    <n v="30.344999999999999"/>
    <n v="7"/>
    <n v="-24.276"/>
    <x v="0"/>
    <x v="1"/>
    <x v="6"/>
    <n v="-0.8"/>
  </r>
  <r>
    <s v="CA-2017-106831"/>
    <x v="529"/>
    <d v="2017-06-03T00:00:00"/>
    <x v="2"/>
    <s v="FH-14350"/>
    <s v="Fred Harton"/>
    <x v="0"/>
    <s v="United States"/>
    <x v="28"/>
    <x v="9"/>
    <x v="2"/>
    <s v="TEC-PH-10001700"/>
    <x v="0"/>
    <x v="0"/>
    <s v="Panasonic KX-TG6844B Expandable Digital Cordless Telephone"/>
    <n v="158.376"/>
    <n v="4"/>
    <n v="-34.314799999999998"/>
    <x v="2"/>
    <x v="3"/>
    <x v="0"/>
    <n v="-0.21666666666666701"/>
  </r>
  <r>
    <s v="CA-2014-164469"/>
    <x v="530"/>
    <d v="2014-06-27T00:00:00"/>
    <x v="1"/>
    <s v="GK-14620"/>
    <s v="Grace Kelly"/>
    <x v="1"/>
    <s v="United States"/>
    <x v="53"/>
    <x v="16"/>
    <x v="0"/>
    <s v="TEC-PH-10002115"/>
    <x v="0"/>
    <x v="0"/>
    <s v="Plantronics 81402"/>
    <n v="263.95999999999998"/>
    <n v="5"/>
    <n v="19.797000000000001"/>
    <x v="2"/>
    <x v="0"/>
    <x v="0"/>
    <n v="7.4999999999999997E-2"/>
  </r>
  <r>
    <s v="CA-2014-138940"/>
    <x v="448"/>
    <d v="2014-04-16T00:00:00"/>
    <x v="1"/>
    <s v="GM-14455"/>
    <s v="Gary Mitchum"/>
    <x v="2"/>
    <s v="United States"/>
    <x v="65"/>
    <x v="1"/>
    <x v="1"/>
    <s v="TEC-PH-10001835"/>
    <x v="0"/>
    <x v="0"/>
    <s v="Jawbone JAMBOX Wireless Bluetooth Speaker"/>
    <n v="758.35199999999998"/>
    <n v="6"/>
    <n v="265.42320000000001"/>
    <x v="0"/>
    <x v="0"/>
    <x v="9"/>
    <n v="0.35"/>
  </r>
  <r>
    <s v="CA-2017-163531"/>
    <x v="127"/>
    <d v="2017-06-30T00:00:00"/>
    <x v="0"/>
    <s v="SC-20725"/>
    <s v="Steven Cartwright"/>
    <x v="0"/>
    <s v="United States"/>
    <x v="7"/>
    <x v="5"/>
    <x v="2"/>
    <s v="TEC-PH-10001425"/>
    <x v="0"/>
    <x v="0"/>
    <s v="Mophie Juice Pack Helium for iPhone"/>
    <n v="239.97"/>
    <n v="3"/>
    <n v="67.191599999999994"/>
    <x v="1"/>
    <x v="3"/>
    <x v="0"/>
    <n v="0.28000000000000003"/>
  </r>
  <r>
    <s v="CA-2017-131366"/>
    <x v="331"/>
    <d v="2017-11-29T00:00:00"/>
    <x v="0"/>
    <s v="SC-20440"/>
    <s v="Shaun Chance"/>
    <x v="1"/>
    <s v="United States"/>
    <x v="192"/>
    <x v="12"/>
    <x v="2"/>
    <s v="TEC-PH-10003437"/>
    <x v="0"/>
    <x v="0"/>
    <s v="Blue Parrot B250XT Professional Grade Wireless Bluetooth Headset with"/>
    <n v="89.988"/>
    <n v="2"/>
    <n v="-14.997999999999999"/>
    <x v="0"/>
    <x v="3"/>
    <x v="6"/>
    <n v="-0.16666666666666699"/>
  </r>
  <r>
    <s v="CA-2014-132864"/>
    <x v="101"/>
    <d v="2014-12-07T00:00:00"/>
    <x v="0"/>
    <s v="KN-16390"/>
    <s v="Katherine Nockton"/>
    <x v="1"/>
    <s v="United States"/>
    <x v="16"/>
    <x v="9"/>
    <x v="2"/>
    <s v="TEC-AC-10001267"/>
    <x v="0"/>
    <x v="1"/>
    <s v="Imation 32GB Pocket Pro USB 3.0 Flash Drive - 32 GB - Black - 1 P ..."/>
    <n v="119.8"/>
    <n v="5"/>
    <n v="29.95"/>
    <x v="0"/>
    <x v="0"/>
    <x v="3"/>
    <n v="0.25"/>
  </r>
  <r>
    <s v="CA-2017-143567"/>
    <x v="531"/>
    <d v="2017-11-05T00:00:00"/>
    <x v="1"/>
    <s v="TB-21175"/>
    <s v="Thomas Boland"/>
    <x v="1"/>
    <s v="United States"/>
    <x v="174"/>
    <x v="27"/>
    <x v="3"/>
    <s v="TEC-AC-10004145"/>
    <x v="0"/>
    <x v="1"/>
    <s v="Logitech diNovo Edge Keyboard"/>
    <n v="2249.91"/>
    <n v="9"/>
    <n v="517.47929999999997"/>
    <x v="6"/>
    <x v="3"/>
    <x v="6"/>
    <n v="0.23"/>
  </r>
  <r>
    <s v="CA-2016-163167"/>
    <x v="532"/>
    <d v="2016-12-01T00:00:00"/>
    <x v="1"/>
    <s v="RF-19345"/>
    <s v="Randy Ferguson"/>
    <x v="1"/>
    <s v="United States"/>
    <x v="236"/>
    <x v="31"/>
    <x v="3"/>
    <s v="TEC-AC-10003441"/>
    <x v="0"/>
    <x v="1"/>
    <s v="Kingston Digital DataTraveler 32GB USB 2.0"/>
    <n v="101.7"/>
    <n v="6"/>
    <n v="6.1020000000000003"/>
    <x v="6"/>
    <x v="1"/>
    <x v="6"/>
    <n v="0.06"/>
  </r>
  <r>
    <s v="CA-2014-133809"/>
    <x v="406"/>
    <d v="2014-11-23T00:00:00"/>
    <x v="1"/>
    <s v="MS-17530"/>
    <s v="MaryBeth Skach"/>
    <x v="0"/>
    <s v="United States"/>
    <x v="141"/>
    <x v="9"/>
    <x v="2"/>
    <s v="TEC-PH-10004875"/>
    <x v="0"/>
    <x v="0"/>
    <s v="PNY Rapid USB Car Charger - Black"/>
    <n v="9.5879999999999992"/>
    <n v="2"/>
    <n v="-2.0773999999999999"/>
    <x v="0"/>
    <x v="0"/>
    <x v="6"/>
    <n v="-0.21666666666666701"/>
  </r>
  <r>
    <s v="CA-2017-127306"/>
    <x v="169"/>
    <d v="2017-01-18T00:00:00"/>
    <x v="0"/>
    <s v="BH-11710"/>
    <s v="Brosina Hoffman"/>
    <x v="0"/>
    <s v="United States"/>
    <x v="201"/>
    <x v="44"/>
    <x v="3"/>
    <s v="TEC-PH-10001924"/>
    <x v="0"/>
    <x v="0"/>
    <s v="iHome FM Clock Radio with Lightning Dock"/>
    <n v="111.98399999999999"/>
    <n v="2"/>
    <n v="6.9989999999999997"/>
    <x v="1"/>
    <x v="3"/>
    <x v="2"/>
    <n v="6.25E-2"/>
  </r>
  <r>
    <s v="CA-2016-160304"/>
    <x v="533"/>
    <d v="2016-01-07T00:00:00"/>
    <x v="0"/>
    <s v="BM-11575"/>
    <s v="Brendan Murry"/>
    <x v="1"/>
    <s v="United States"/>
    <x v="237"/>
    <x v="33"/>
    <x v="2"/>
    <s v="TEC-PH-10000455"/>
    <x v="0"/>
    <x v="0"/>
    <s v="GE 30522EE2"/>
    <n v="231.98"/>
    <n v="2"/>
    <n v="67.274199999999993"/>
    <x v="0"/>
    <x v="1"/>
    <x v="2"/>
    <n v="0.28999999999999998"/>
  </r>
  <r>
    <s v="CA-2017-114055"/>
    <x v="309"/>
    <d v="2017-12-29T00:00:00"/>
    <x v="1"/>
    <s v="MH-18115"/>
    <s v="Mick Hernandez"/>
    <x v="2"/>
    <s v="United States"/>
    <x v="46"/>
    <x v="20"/>
    <x v="3"/>
    <s v="TEC-PH-10002890"/>
    <x v="0"/>
    <x v="0"/>
    <s v="AT&amp;T 17929 Lendline Telephone"/>
    <n v="90.48"/>
    <n v="2"/>
    <n v="23.524799999999999"/>
    <x v="1"/>
    <x v="3"/>
    <x v="3"/>
    <n v="0.26"/>
  </r>
  <r>
    <s v="CA-2015-155124"/>
    <x v="534"/>
    <d v="2015-03-21T00:00:00"/>
    <x v="0"/>
    <s v="KS-16300"/>
    <s v="Karen Seio"/>
    <x v="1"/>
    <s v="United States"/>
    <x v="238"/>
    <x v="34"/>
    <x v="0"/>
    <s v="TEC-PH-10003356"/>
    <x v="0"/>
    <x v="0"/>
    <s v="SmartStand Mobile Device Holder, Assorted Colors"/>
    <n v="16.776"/>
    <n v="3"/>
    <n v="1.6776"/>
    <x v="3"/>
    <x v="2"/>
    <x v="5"/>
    <n v="0.1"/>
  </r>
  <r>
    <s v="CA-2015-153906"/>
    <x v="535"/>
    <d v="2015-03-20T00:00:00"/>
    <x v="0"/>
    <s v="MS-17980"/>
    <s v="Michael Stewart"/>
    <x v="1"/>
    <s v="United States"/>
    <x v="7"/>
    <x v="5"/>
    <x v="2"/>
    <s v="TEC-PH-10001527"/>
    <x v="0"/>
    <x v="0"/>
    <s v="Plantronics MX500i Earset"/>
    <n v="85.9"/>
    <n v="2"/>
    <n v="2.577"/>
    <x v="1"/>
    <x v="2"/>
    <x v="5"/>
    <n v="0.03"/>
  </r>
  <r>
    <s v="CA-2016-166226"/>
    <x v="536"/>
    <d v="2016-11-22T00:00:00"/>
    <x v="0"/>
    <s v="TC-21535"/>
    <s v="Tracy Collins"/>
    <x v="2"/>
    <s v="United States"/>
    <x v="0"/>
    <x v="0"/>
    <x v="0"/>
    <s v="TEC-PH-10003357"/>
    <x v="0"/>
    <x v="0"/>
    <s v="Grandstream GXP2100 Mainstream Business Phone"/>
    <n v="61.192"/>
    <n v="1"/>
    <n v="6.1192000000000002"/>
    <x v="1"/>
    <x v="1"/>
    <x v="6"/>
    <n v="0.1"/>
  </r>
  <r>
    <s v="CA-2015-109708"/>
    <x v="537"/>
    <d v="2015-05-28T00:00:00"/>
    <x v="1"/>
    <s v="CY-12745"/>
    <s v="Craig Yedwab"/>
    <x v="1"/>
    <s v="United States"/>
    <x v="135"/>
    <x v="44"/>
    <x v="3"/>
    <s v="TEC-PH-10001944"/>
    <x v="0"/>
    <x v="0"/>
    <s v="Wi-Ex zBoost YX540 Cellular Phone Signal Booster"/>
    <n v="467.04"/>
    <n v="4"/>
    <n v="58.38"/>
    <x v="6"/>
    <x v="2"/>
    <x v="11"/>
    <n v="0.125"/>
  </r>
  <r>
    <s v="CA-2015-122406"/>
    <x v="513"/>
    <d v="2015-08-05T00:00:00"/>
    <x v="1"/>
    <s v="BE-11455"/>
    <s v="Brad Eason"/>
    <x v="2"/>
    <s v="United States"/>
    <x v="227"/>
    <x v="41"/>
    <x v="2"/>
    <s v="TEC-PH-10001527"/>
    <x v="0"/>
    <x v="0"/>
    <s v="Plantronics MX500i Earset"/>
    <n v="128.85"/>
    <n v="3"/>
    <n v="3.8654999999999999"/>
    <x v="6"/>
    <x v="2"/>
    <x v="1"/>
    <n v="0.03"/>
  </r>
  <r>
    <s v="CA-2015-122406"/>
    <x v="513"/>
    <d v="2015-08-05T00:00:00"/>
    <x v="1"/>
    <s v="BE-11455"/>
    <s v="Brad Eason"/>
    <x v="2"/>
    <s v="United States"/>
    <x v="227"/>
    <x v="41"/>
    <x v="2"/>
    <s v="TEC-AC-10004571"/>
    <x v="0"/>
    <x v="1"/>
    <s v="Logitech G700s Rechargeable Gaming Mouse"/>
    <n v="199.98"/>
    <n v="2"/>
    <n v="83.991600000000005"/>
    <x v="6"/>
    <x v="2"/>
    <x v="1"/>
    <n v="0.42"/>
  </r>
  <r>
    <s v="CA-2015-142202"/>
    <x v="444"/>
    <d v="2015-09-23T00:00:00"/>
    <x v="1"/>
    <s v="JR-16210"/>
    <s v="Justin Ritter"/>
    <x v="1"/>
    <s v="United States"/>
    <x v="42"/>
    <x v="15"/>
    <x v="3"/>
    <s v="TEC-AC-10003198"/>
    <x v="0"/>
    <x v="1"/>
    <s v="Enermax Acrylux Wireless Keyboard"/>
    <n v="717.12"/>
    <n v="9"/>
    <n v="152.38800000000001"/>
    <x v="0"/>
    <x v="2"/>
    <x v="4"/>
    <n v="0.21249999999999999"/>
  </r>
  <r>
    <s v="CA-2015-165050"/>
    <x v="538"/>
    <d v="2015-12-09T00:00:00"/>
    <x v="2"/>
    <s v="AH-10210"/>
    <s v="Alan Hwang"/>
    <x v="0"/>
    <s v="United States"/>
    <x v="7"/>
    <x v="5"/>
    <x v="2"/>
    <s v="TEC-PH-10001336"/>
    <x v="0"/>
    <x v="0"/>
    <s v="Digium D40 VoIP phone"/>
    <n v="773.94"/>
    <n v="6"/>
    <n v="224.4426"/>
    <x v="2"/>
    <x v="2"/>
    <x v="3"/>
    <n v="0.28999999999999998"/>
  </r>
  <r>
    <s v="US-2016-131114"/>
    <x v="446"/>
    <d v="2016-12-13T00:00:00"/>
    <x v="1"/>
    <s v="RW-19630"/>
    <s v="Rob Williams"/>
    <x v="1"/>
    <s v="United States"/>
    <x v="11"/>
    <x v="2"/>
    <x v="1"/>
    <s v="TEC-AC-10000199"/>
    <x v="0"/>
    <x v="1"/>
    <s v="Kingston Digital DataTraveler 8GB USB 2.0"/>
    <n v="19.04"/>
    <n v="4"/>
    <n v="-1.4279999999999999"/>
    <x v="1"/>
    <x v="1"/>
    <x v="3"/>
    <n v="-7.4999999999999997E-2"/>
  </r>
  <r>
    <s v="CA-2017-107321"/>
    <x v="539"/>
    <d v="2017-09-04T00:00:00"/>
    <x v="0"/>
    <s v="AW-10930"/>
    <s v="Arthur Wiediger"/>
    <x v="2"/>
    <s v="United States"/>
    <x v="1"/>
    <x v="0"/>
    <x v="0"/>
    <s v="TEC-PH-10002200"/>
    <x v="0"/>
    <x v="0"/>
    <s v="Aastra 6757i CT Wireless VoIP phone"/>
    <n v="689.40800000000002"/>
    <n v="4"/>
    <n v="77.558400000000006"/>
    <x v="1"/>
    <x v="3"/>
    <x v="1"/>
    <n v="0.1125"/>
  </r>
  <r>
    <s v="CA-2016-129238"/>
    <x v="540"/>
    <d v="2016-02-04T00:00:00"/>
    <x v="0"/>
    <s v="SC-20050"/>
    <s v="Sample Company A"/>
    <x v="2"/>
    <s v="United States"/>
    <x v="0"/>
    <x v="0"/>
    <x v="0"/>
    <s v="TEC-PH-10004120"/>
    <x v="0"/>
    <x v="0"/>
    <s v="AT&amp;T 1080 Phone"/>
    <n v="109.592"/>
    <n v="1"/>
    <n v="8.2194000000000003"/>
    <x v="1"/>
    <x v="1"/>
    <x v="2"/>
    <n v="7.4999999999999997E-2"/>
  </r>
  <r>
    <s v="CA-2017-159688"/>
    <x v="541"/>
    <d v="2017-05-12T00:00:00"/>
    <x v="0"/>
    <s v="AB-10060"/>
    <s v="Adam Bellavance"/>
    <x v="2"/>
    <s v="United States"/>
    <x v="0"/>
    <x v="0"/>
    <x v="0"/>
    <s v="TEC-AC-10000736"/>
    <x v="0"/>
    <x v="1"/>
    <s v="Logitech G600 MMO Gaming Mouse"/>
    <n v="79.989999999999995"/>
    <n v="1"/>
    <n v="28.796399999999998"/>
    <x v="0"/>
    <x v="3"/>
    <x v="11"/>
    <n v="0.36"/>
  </r>
  <r>
    <s v="CA-2014-156006"/>
    <x v="542"/>
    <d v="2014-05-02T00:00:00"/>
    <x v="1"/>
    <s v="TM-21010"/>
    <s v="Tamara Manning"/>
    <x v="0"/>
    <s v="United States"/>
    <x v="61"/>
    <x v="22"/>
    <x v="3"/>
    <s v="TEC-AC-10002550"/>
    <x v="0"/>
    <x v="1"/>
    <s v="Maxell 4.7GB DVD-RW 3/Pack"/>
    <n v="47.79"/>
    <n v="3"/>
    <n v="16.2486"/>
    <x v="2"/>
    <x v="0"/>
    <x v="9"/>
    <n v="0.34"/>
  </r>
  <r>
    <s v="CA-2015-169796"/>
    <x v="543"/>
    <d v="2015-11-14T00:00:00"/>
    <x v="0"/>
    <s v="Dp-13240"/>
    <s v="Dean percer"/>
    <x v="2"/>
    <s v="United States"/>
    <x v="7"/>
    <x v="5"/>
    <x v="2"/>
    <s v="TEC-MA-10000045"/>
    <x v="0"/>
    <x v="2"/>
    <s v="Zebra ZM400 Thermal Label Printer"/>
    <n v="2321.9"/>
    <n v="2"/>
    <n v="1114.5119999999999"/>
    <x v="0"/>
    <x v="2"/>
    <x v="6"/>
    <n v="0.48"/>
  </r>
  <r>
    <s v="CA-2015-102876"/>
    <x v="544"/>
    <d v="2015-09-14T00:00:00"/>
    <x v="0"/>
    <s v="LR-17035"/>
    <s v="Lisa Ryan"/>
    <x v="1"/>
    <s v="United States"/>
    <x v="20"/>
    <x v="12"/>
    <x v="2"/>
    <s v="TEC-PH-10002680"/>
    <x v="0"/>
    <x v="0"/>
    <s v="Samsung Galaxy Note 3"/>
    <n v="791.96400000000006"/>
    <n v="6"/>
    <n v="-131.994"/>
    <x v="5"/>
    <x v="2"/>
    <x v="4"/>
    <n v="-0.16666666666666699"/>
  </r>
  <r>
    <s v="US-2017-160465"/>
    <x v="492"/>
    <d v="2017-07-26T00:00:00"/>
    <x v="0"/>
    <s v="SW-20350"/>
    <s v="Sean Wendt"/>
    <x v="2"/>
    <s v="United States"/>
    <x v="118"/>
    <x v="9"/>
    <x v="2"/>
    <s v="TEC-PH-10004522"/>
    <x v="0"/>
    <x v="0"/>
    <s v="Dexim XPower Skin Super-Thin Power Case for iPhone 5 - Black"/>
    <n v="210.56399999999999"/>
    <n v="6"/>
    <n v="-52.640999999999998"/>
    <x v="0"/>
    <x v="3"/>
    <x v="10"/>
    <n v="-0.25"/>
  </r>
  <r>
    <s v="CA-2014-153850"/>
    <x v="282"/>
    <d v="2014-11-29T00:00:00"/>
    <x v="0"/>
    <s v="TH-21100"/>
    <s v="Thea Hendricks"/>
    <x v="0"/>
    <s v="United States"/>
    <x v="86"/>
    <x v="9"/>
    <x v="2"/>
    <s v="TEC-PH-10002584"/>
    <x v="0"/>
    <x v="0"/>
    <s v="Samsung Galaxy S4"/>
    <n v="1502.376"/>
    <n v="4"/>
    <n v="-250.39599999999999"/>
    <x v="0"/>
    <x v="0"/>
    <x v="6"/>
    <n v="-0.16666666666666699"/>
  </r>
  <r>
    <s v="CA-2014-127558"/>
    <x v="545"/>
    <d v="2014-11-18T00:00:00"/>
    <x v="2"/>
    <s v="SS-20410"/>
    <s v="Shahid Shariari"/>
    <x v="0"/>
    <s v="United States"/>
    <x v="0"/>
    <x v="0"/>
    <x v="0"/>
    <s v="TEC-AC-10003832"/>
    <x v="0"/>
    <x v="1"/>
    <s v="Logitech P710e Mobile Speakerphone"/>
    <n v="772.47"/>
    <n v="3"/>
    <n v="146.76929999999999"/>
    <x v="6"/>
    <x v="0"/>
    <x v="6"/>
    <n v="0.19"/>
  </r>
  <r>
    <s v="CA-2016-133795"/>
    <x v="546"/>
    <d v="2016-12-24T00:00:00"/>
    <x v="0"/>
    <s v="JE-15475"/>
    <s v="Jeremy Ellison"/>
    <x v="0"/>
    <s v="United States"/>
    <x v="30"/>
    <x v="0"/>
    <x v="0"/>
    <s v="TEC-AC-10001465"/>
    <x v="0"/>
    <x v="1"/>
    <s v="SanDisk Cruzer 64 GB USB Flash Drive"/>
    <n v="72.64"/>
    <n v="2"/>
    <n v="21.792000000000002"/>
    <x v="3"/>
    <x v="1"/>
    <x v="3"/>
    <n v="0.3"/>
  </r>
  <r>
    <s v="CA-2016-133795"/>
    <x v="546"/>
    <d v="2016-12-24T00:00:00"/>
    <x v="0"/>
    <s v="JE-15475"/>
    <s v="Jeremy Ellison"/>
    <x v="0"/>
    <s v="United States"/>
    <x v="30"/>
    <x v="0"/>
    <x v="0"/>
    <s v="TEC-AC-10003832"/>
    <x v="0"/>
    <x v="1"/>
    <s v="Logitech P710e Mobile Speakerphone"/>
    <n v="772.47"/>
    <n v="3"/>
    <n v="146.76929999999999"/>
    <x v="3"/>
    <x v="1"/>
    <x v="3"/>
    <n v="0.19"/>
  </r>
  <r>
    <s v="US-2017-130953"/>
    <x v="235"/>
    <d v="2017-08-03T00:00:00"/>
    <x v="0"/>
    <s v="RF-19735"/>
    <s v="Roland Fjeld"/>
    <x v="0"/>
    <s v="United States"/>
    <x v="133"/>
    <x v="11"/>
    <x v="1"/>
    <s v="TEC-PH-10003012"/>
    <x v="0"/>
    <x v="0"/>
    <s v="Nortel Meridian M3904 Professional Digital phone"/>
    <n v="461.97"/>
    <n v="3"/>
    <n v="133.97130000000001"/>
    <x v="0"/>
    <x v="3"/>
    <x v="10"/>
    <n v="0.28999999999999998"/>
  </r>
  <r>
    <s v="CA-2014-151792"/>
    <x v="547"/>
    <d v="2014-09-07T00:00:00"/>
    <x v="1"/>
    <s v="CV-12295"/>
    <s v="Christina VanderZanden"/>
    <x v="0"/>
    <s v="United States"/>
    <x v="11"/>
    <x v="2"/>
    <x v="1"/>
    <s v="TEC-AC-10001606"/>
    <x v="0"/>
    <x v="1"/>
    <s v="Logitech Wireless Performance Mouse MX for PC and Mac"/>
    <n v="239.976"/>
    <n v="3"/>
    <n v="53.994599999999998"/>
    <x v="0"/>
    <x v="0"/>
    <x v="4"/>
    <n v="0.22500000000000001"/>
  </r>
  <r>
    <s v="CA-2014-169803"/>
    <x v="197"/>
    <d v="2014-04-12T00:00:00"/>
    <x v="0"/>
    <s v="SC-20260"/>
    <s v="Scott Cohen"/>
    <x v="1"/>
    <s v="United States"/>
    <x v="45"/>
    <x v="17"/>
    <x v="0"/>
    <s v="TEC-AC-10003441"/>
    <x v="0"/>
    <x v="1"/>
    <s v="Kingston Digital DataTraveler 32GB USB 2.0"/>
    <n v="33.9"/>
    <n v="2"/>
    <n v="2.0339999999999998"/>
    <x v="3"/>
    <x v="0"/>
    <x v="9"/>
    <n v="0.06"/>
  </r>
  <r>
    <s v="CA-2017-141719"/>
    <x v="487"/>
    <d v="2017-11-21T00:00:00"/>
    <x v="1"/>
    <s v="EG-13900"/>
    <s v="Emily Grady"/>
    <x v="0"/>
    <s v="United States"/>
    <x v="4"/>
    <x v="2"/>
    <x v="1"/>
    <s v="TEC-AC-10003610"/>
    <x v="0"/>
    <x v="1"/>
    <s v="Logitech Illuminated - Keyboard"/>
    <n v="239.96"/>
    <n v="5"/>
    <n v="83.986000000000004"/>
    <x v="1"/>
    <x v="3"/>
    <x v="6"/>
    <n v="0.35"/>
  </r>
  <r>
    <s v="CA-2015-136469"/>
    <x v="548"/>
    <d v="2015-07-12T00:00:00"/>
    <x v="2"/>
    <s v="TS-21370"/>
    <s v="Todd Sumrall"/>
    <x v="1"/>
    <s v="United States"/>
    <x v="15"/>
    <x v="4"/>
    <x v="2"/>
    <s v="TEC-PH-10001817"/>
    <x v="0"/>
    <x v="0"/>
    <s v="Wilson Electronics DB Pro Signal Booster"/>
    <n v="716"/>
    <n v="2"/>
    <n v="193.32"/>
    <x v="4"/>
    <x v="2"/>
    <x v="10"/>
    <n v="0.27"/>
  </r>
  <r>
    <s v="US-2014-104759"/>
    <x v="549"/>
    <d v="2014-04-04T00:00:00"/>
    <x v="0"/>
    <s v="DD-13570"/>
    <s v="Dorothy Dickinson"/>
    <x v="0"/>
    <s v="United States"/>
    <x v="11"/>
    <x v="2"/>
    <x v="1"/>
    <s v="TEC-AC-10004901"/>
    <x v="0"/>
    <x v="1"/>
    <s v="Kensington SlimBlade Notebook Wireless Mouse with Nano Receiver "/>
    <n v="79.983999999999995"/>
    <n v="2"/>
    <n v="13.997199999999999"/>
    <x v="1"/>
    <x v="0"/>
    <x v="5"/>
    <n v="0.17499999999999999"/>
  </r>
  <r>
    <s v="CA-2015-141243"/>
    <x v="550"/>
    <d v="2015-01-08T00:00:00"/>
    <x v="1"/>
    <s v="AH-10465"/>
    <s v="Amy Hunt"/>
    <x v="0"/>
    <s v="United States"/>
    <x v="26"/>
    <x v="1"/>
    <x v="1"/>
    <s v="TEC-AC-10003198"/>
    <x v="0"/>
    <x v="1"/>
    <s v="Enermax Acrylux Wireless Keyboard"/>
    <n v="398.4"/>
    <n v="5"/>
    <n v="84.66"/>
    <x v="0"/>
    <x v="2"/>
    <x v="2"/>
    <n v="0.21249999999999999"/>
  </r>
  <r>
    <s v="CA-2016-109722"/>
    <x v="20"/>
    <d v="2016-12-07T00:00:00"/>
    <x v="1"/>
    <s v="TP-21130"/>
    <s v="Theone Pippenger"/>
    <x v="0"/>
    <s v="United States"/>
    <x v="239"/>
    <x v="27"/>
    <x v="3"/>
    <s v="TEC-PH-10000560"/>
    <x v="0"/>
    <x v="0"/>
    <s v="Samsung Galaxy S III - 16GB - pebble blue (T-Mobile)"/>
    <n v="699.98"/>
    <n v="2"/>
    <n v="195.99440000000001"/>
    <x v="2"/>
    <x v="1"/>
    <x v="3"/>
    <n v="0.28000000000000003"/>
  </r>
  <r>
    <s v="CA-2015-136798"/>
    <x v="551"/>
    <d v="2015-05-12T00:00:00"/>
    <x v="0"/>
    <s v="DL-12925"/>
    <s v="Daniel Lacy"/>
    <x v="0"/>
    <s v="United States"/>
    <x v="240"/>
    <x v="3"/>
    <x v="1"/>
    <s v="TEC-PH-10000441"/>
    <x v="0"/>
    <x v="0"/>
    <s v="VTech DS6151"/>
    <n v="377.97"/>
    <n v="3"/>
    <n v="105.83159999999999"/>
    <x v="1"/>
    <x v="2"/>
    <x v="11"/>
    <n v="0.28000000000000003"/>
  </r>
  <r>
    <s v="CA-2017-122196"/>
    <x v="240"/>
    <d v="2017-09-24T00:00:00"/>
    <x v="2"/>
    <s v="CA-12265"/>
    <s v="Christina Anderson"/>
    <x v="0"/>
    <s v="United States"/>
    <x v="15"/>
    <x v="4"/>
    <x v="2"/>
    <s v="TEC-PH-10004977"/>
    <x v="0"/>
    <x v="0"/>
    <s v="GE 30524EE4"/>
    <n v="391.98"/>
    <n v="2"/>
    <n v="113.6742"/>
    <x v="2"/>
    <x v="3"/>
    <x v="4"/>
    <n v="0.28999999999999998"/>
  </r>
  <r>
    <s v="CA-2017-142090"/>
    <x v="449"/>
    <d v="2017-12-07T00:00:00"/>
    <x v="0"/>
    <s v="SC-20380"/>
    <s v="Shahid Collister"/>
    <x v="0"/>
    <s v="United States"/>
    <x v="60"/>
    <x v="8"/>
    <x v="3"/>
    <s v="TEC-AC-10002001"/>
    <x v="0"/>
    <x v="1"/>
    <s v="Logitech Wireless Gaming Headset G930"/>
    <n v="383.976"/>
    <n v="3"/>
    <n v="81.594899999999996"/>
    <x v="5"/>
    <x v="3"/>
    <x v="6"/>
    <n v="0.21249999999999999"/>
  </r>
  <r>
    <s v="CA-2014-124478"/>
    <x v="86"/>
    <d v="2014-08-12T00:00:00"/>
    <x v="0"/>
    <s v="MA-17560"/>
    <s v="Matt Abelman"/>
    <x v="2"/>
    <s v="United States"/>
    <x v="241"/>
    <x v="14"/>
    <x v="1"/>
    <s v="TEC-CO-10001571"/>
    <x v="0"/>
    <x v="3"/>
    <s v="Sharp 1540cs Digital Laser Copier"/>
    <n v="549.99"/>
    <n v="1"/>
    <n v="274.995"/>
    <x v="1"/>
    <x v="0"/>
    <x v="1"/>
    <n v="0.5"/>
  </r>
  <r>
    <s v="CA-2014-124478"/>
    <x v="86"/>
    <d v="2014-08-12T00:00:00"/>
    <x v="0"/>
    <s v="MA-17560"/>
    <s v="Matt Abelman"/>
    <x v="2"/>
    <s v="United States"/>
    <x v="241"/>
    <x v="14"/>
    <x v="1"/>
    <s v="TEC-PH-10001128"/>
    <x v="0"/>
    <x v="0"/>
    <s v="Motorola Droid Maxx"/>
    <n v="299.98"/>
    <n v="2"/>
    <n v="83.994399999999999"/>
    <x v="1"/>
    <x v="0"/>
    <x v="1"/>
    <n v="0.28000000000000003"/>
  </r>
  <r>
    <s v="CA-2016-155138"/>
    <x v="58"/>
    <d v="2016-09-12T00:00:00"/>
    <x v="0"/>
    <s v="JM-15580"/>
    <s v="Jill Matthias"/>
    <x v="0"/>
    <s v="United States"/>
    <x v="23"/>
    <x v="8"/>
    <x v="3"/>
    <s v="TEC-AC-10004209"/>
    <x v="0"/>
    <x v="1"/>
    <s v="Memorex Froggy Flash Drive 4 GB"/>
    <n v="35.167999999999999"/>
    <n v="4"/>
    <n v="8.3523999999999994"/>
    <x v="1"/>
    <x v="1"/>
    <x v="4"/>
    <n v="0.23749999999999999"/>
  </r>
  <r>
    <s v="CA-2015-109001"/>
    <x v="299"/>
    <d v="2015-03-09T00:00:00"/>
    <x v="0"/>
    <s v="KN-16390"/>
    <s v="Katherine Nockton"/>
    <x v="1"/>
    <s v="United States"/>
    <x v="20"/>
    <x v="12"/>
    <x v="2"/>
    <s v="TEC-PH-10000562"/>
    <x v="0"/>
    <x v="0"/>
    <s v="Samsung Convoy 3"/>
    <n v="466.15800000000002"/>
    <n v="7"/>
    <n v="-93.2316"/>
    <x v="1"/>
    <x v="2"/>
    <x v="5"/>
    <n v="-0.2"/>
  </r>
  <r>
    <s v="CA-2015-109001"/>
    <x v="299"/>
    <d v="2015-03-09T00:00:00"/>
    <x v="0"/>
    <s v="KN-16390"/>
    <s v="Katherine Nockton"/>
    <x v="1"/>
    <s v="United States"/>
    <x v="20"/>
    <x v="12"/>
    <x v="2"/>
    <s v="TEC-AC-10001101"/>
    <x v="0"/>
    <x v="1"/>
    <s v="Sony 16GB Class 10 Micro SDHC R40 Memory Card"/>
    <n v="10.311999999999999"/>
    <n v="1"/>
    <n v="-1.2889999999999999"/>
    <x v="1"/>
    <x v="2"/>
    <x v="5"/>
    <n v="-0.125"/>
  </r>
  <r>
    <s v="US-2014-140452"/>
    <x v="552"/>
    <d v="2014-12-10T00:00:00"/>
    <x v="0"/>
    <s v="BK-11260"/>
    <s v="Berenike Kampe"/>
    <x v="0"/>
    <s v="United States"/>
    <x v="11"/>
    <x v="2"/>
    <x v="1"/>
    <s v="TEC-PH-10000307"/>
    <x v="0"/>
    <x v="0"/>
    <s v="Shocksock Galaxy S4 Armband"/>
    <n v="35.04"/>
    <n v="4"/>
    <n v="-7.008"/>
    <x v="1"/>
    <x v="0"/>
    <x v="3"/>
    <n v="-0.2"/>
  </r>
  <r>
    <s v="CA-2015-167374"/>
    <x v="553"/>
    <d v="2015-03-30T00:00:00"/>
    <x v="1"/>
    <s v="GM-14500"/>
    <s v="Gene McClure"/>
    <x v="0"/>
    <s v="United States"/>
    <x v="20"/>
    <x v="12"/>
    <x v="2"/>
    <s v="TEC-AC-10004633"/>
    <x v="0"/>
    <x v="1"/>
    <s v="Verbatim 25 GB 6x Blu-ray Single Layer Recordable Disc, 3/Pack"/>
    <n v="16.776"/>
    <n v="3"/>
    <n v="5.0327999999999999"/>
    <x v="1"/>
    <x v="2"/>
    <x v="5"/>
    <n v="0.3"/>
  </r>
  <r>
    <s v="CA-2015-147102"/>
    <x v="554"/>
    <d v="2015-09-26T00:00:00"/>
    <x v="0"/>
    <s v="NH-18610"/>
    <s v="Nicole Hansen"/>
    <x v="1"/>
    <s v="United States"/>
    <x v="16"/>
    <x v="31"/>
    <x v="3"/>
    <s v="TEC-AC-10000682"/>
    <x v="0"/>
    <x v="1"/>
    <s v="Kensington K72356US Mouse-in-a-Box USB Desktop Mouse"/>
    <n v="66.36"/>
    <n v="4"/>
    <n v="23.225999999999999"/>
    <x v="5"/>
    <x v="2"/>
    <x v="4"/>
    <n v="0.35"/>
  </r>
  <r>
    <s v="CA-2015-127173"/>
    <x v="42"/>
    <d v="2015-10-03T00:00:00"/>
    <x v="0"/>
    <s v="GM-14500"/>
    <s v="Gene McClure"/>
    <x v="0"/>
    <s v="United States"/>
    <x v="242"/>
    <x v="5"/>
    <x v="2"/>
    <s v="TEC-MA-10002859"/>
    <x v="0"/>
    <x v="2"/>
    <s v="Ativa MDM8000 8-Sheet Micro-Cut Shredder"/>
    <n v="629.92999999999995"/>
    <n v="7"/>
    <n v="296.06709999999998"/>
    <x v="5"/>
    <x v="2"/>
    <x v="4"/>
    <n v="0.47"/>
  </r>
  <r>
    <s v="CA-2014-149538"/>
    <x v="555"/>
    <d v="2014-04-08T00:00:00"/>
    <x v="0"/>
    <s v="KB-16585"/>
    <s v="Ken Black"/>
    <x v="1"/>
    <s v="United States"/>
    <x v="207"/>
    <x v="13"/>
    <x v="3"/>
    <s v="TEC-AC-10002926"/>
    <x v="0"/>
    <x v="1"/>
    <s v="Logitech Wireless Marathon Mouse M705"/>
    <n v="99.98"/>
    <n v="2"/>
    <n v="42.991399999999999"/>
    <x v="1"/>
    <x v="0"/>
    <x v="9"/>
    <n v="0.43"/>
  </r>
  <r>
    <s v="CA-2014-160766"/>
    <x v="556"/>
    <d v="2014-09-14T00:00:00"/>
    <x v="3"/>
    <s v="DM-13015"/>
    <s v="Darrin Martin"/>
    <x v="0"/>
    <s v="United States"/>
    <x v="7"/>
    <x v="5"/>
    <x v="2"/>
    <s v="TEC-MA-10003979"/>
    <x v="0"/>
    <x v="2"/>
    <s v="Ativa V4110MDD Micro-Cut Shredder"/>
    <n v="2799.96"/>
    <n v="4"/>
    <n v="1371.9803999999999"/>
    <x v="7"/>
    <x v="0"/>
    <x v="4"/>
    <n v="0.49"/>
  </r>
  <r>
    <s v="CA-2014-160766"/>
    <x v="556"/>
    <d v="2014-09-14T00:00:00"/>
    <x v="3"/>
    <s v="DM-13015"/>
    <s v="Darrin Martin"/>
    <x v="0"/>
    <s v="United States"/>
    <x v="7"/>
    <x v="5"/>
    <x v="2"/>
    <s v="TEC-PH-10001536"/>
    <x v="0"/>
    <x v="0"/>
    <s v="Spigen Samsung Galaxy S5 Case Wallet"/>
    <n v="16.989999999999998"/>
    <n v="1"/>
    <n v="4.4173999999999998"/>
    <x v="7"/>
    <x v="0"/>
    <x v="4"/>
    <n v="0.26"/>
  </r>
  <r>
    <s v="CA-2014-160766"/>
    <x v="556"/>
    <d v="2014-09-14T00:00:00"/>
    <x v="3"/>
    <s v="DM-13015"/>
    <s v="Darrin Martin"/>
    <x v="0"/>
    <s v="United States"/>
    <x v="7"/>
    <x v="5"/>
    <x v="2"/>
    <s v="TEC-PH-10000526"/>
    <x v="0"/>
    <x v="0"/>
    <s v="Vtech CS6719"/>
    <n v="287.97000000000003"/>
    <n v="3"/>
    <n v="80.631600000000006"/>
    <x v="7"/>
    <x v="0"/>
    <x v="4"/>
    <n v="0.28000000000000003"/>
  </r>
  <r>
    <s v="CA-2015-123330"/>
    <x v="557"/>
    <d v="2015-06-27T00:00:00"/>
    <x v="0"/>
    <s v="EP-13915"/>
    <s v="Emily Phan"/>
    <x v="0"/>
    <s v="United States"/>
    <x v="102"/>
    <x v="15"/>
    <x v="3"/>
    <s v="TEC-PH-10001819"/>
    <x v="0"/>
    <x v="0"/>
    <s v="Innergie mMini Combo Duo USB Travel Charging Kit"/>
    <n v="107.976"/>
    <n v="3"/>
    <n v="37.791600000000003"/>
    <x v="3"/>
    <x v="2"/>
    <x v="0"/>
    <n v="0.35"/>
  </r>
  <r>
    <s v="CA-2015-154886"/>
    <x v="294"/>
    <d v="2015-11-12T00:00:00"/>
    <x v="0"/>
    <s v="SW-20455"/>
    <s v="Shaun Weien"/>
    <x v="0"/>
    <s v="United States"/>
    <x v="1"/>
    <x v="0"/>
    <x v="0"/>
    <s v="TEC-AC-10001956"/>
    <x v="0"/>
    <x v="1"/>
    <s v="Microsoft Arc Touch Mouse"/>
    <n v="119.9"/>
    <n v="2"/>
    <n v="43.164000000000001"/>
    <x v="1"/>
    <x v="2"/>
    <x v="6"/>
    <n v="0.36"/>
  </r>
  <r>
    <s v="CA-2014-141796"/>
    <x v="99"/>
    <d v="2014-06-21T00:00:00"/>
    <x v="3"/>
    <s v="JG-15160"/>
    <s v="James Galang"/>
    <x v="0"/>
    <s v="United States"/>
    <x v="113"/>
    <x v="5"/>
    <x v="2"/>
    <s v="TEC-PH-10001578"/>
    <x v="0"/>
    <x v="0"/>
    <s v="Polycom SoundStation2 EX Conference phone"/>
    <n v="1214.8499999999999"/>
    <n v="3"/>
    <n v="352.30650000000003"/>
    <x v="7"/>
    <x v="0"/>
    <x v="0"/>
    <n v="0.28999999999999998"/>
  </r>
  <r>
    <s v="CA-2017-163006"/>
    <x v="558"/>
    <d v="2017-07-04T00:00:00"/>
    <x v="1"/>
    <s v="GH-14410"/>
    <s v="Gary Hansen"/>
    <x v="2"/>
    <s v="United States"/>
    <x v="11"/>
    <x v="2"/>
    <x v="1"/>
    <s v="TEC-PH-10002584"/>
    <x v="0"/>
    <x v="0"/>
    <s v="Samsung Galaxy S4"/>
    <n v="1001.5839999999999"/>
    <n v="2"/>
    <n v="125.19799999999999"/>
    <x v="1"/>
    <x v="3"/>
    <x v="0"/>
    <n v="0.125"/>
  </r>
  <r>
    <s v="CA-2015-156146"/>
    <x v="559"/>
    <d v="2015-10-30T00:00:00"/>
    <x v="1"/>
    <s v="AG-10495"/>
    <s v="Andrew Gjertsen"/>
    <x v="1"/>
    <s v="United States"/>
    <x v="243"/>
    <x v="6"/>
    <x v="0"/>
    <s v="TEC-PH-10001700"/>
    <x v="0"/>
    <x v="0"/>
    <s v="Panasonic KX-TG6844B Expandable Digital Cordless Telephone"/>
    <n v="105.584"/>
    <n v="2"/>
    <n v="9.2385999999999999"/>
    <x v="1"/>
    <x v="2"/>
    <x v="7"/>
    <n v="8.7499999999999994E-2"/>
  </r>
  <r>
    <s v="CA-2015-156146"/>
    <x v="559"/>
    <d v="2015-10-30T00:00:00"/>
    <x v="1"/>
    <s v="AG-10495"/>
    <s v="Andrew Gjertsen"/>
    <x v="1"/>
    <s v="United States"/>
    <x v="243"/>
    <x v="6"/>
    <x v="0"/>
    <s v="TEC-PH-10001527"/>
    <x v="0"/>
    <x v="0"/>
    <s v="Plantronics MX500i Earset"/>
    <n v="68.72"/>
    <n v="2"/>
    <n v="-14.603"/>
    <x v="1"/>
    <x v="2"/>
    <x v="7"/>
    <n v="-0.21249999999999999"/>
  </r>
  <r>
    <s v="US-2015-120502"/>
    <x v="275"/>
    <d v="2015-04-19T00:00:00"/>
    <x v="0"/>
    <s v="BT-11395"/>
    <s v="Bill Tyler"/>
    <x v="1"/>
    <s v="United States"/>
    <x v="0"/>
    <x v="0"/>
    <x v="0"/>
    <s v="TEC-PH-10003645"/>
    <x v="0"/>
    <x v="0"/>
    <s v="Aastra 57i VoIP phone"/>
    <n v="258.57600000000002"/>
    <n v="2"/>
    <n v="19.3932"/>
    <x v="3"/>
    <x v="2"/>
    <x v="9"/>
    <n v="7.4999999999999997E-2"/>
  </r>
  <r>
    <s v="US-2015-154389"/>
    <x v="54"/>
    <d v="2015-12-03T00:00:00"/>
    <x v="0"/>
    <s v="EH-14125"/>
    <s v="Eugene Hildebrand"/>
    <x v="2"/>
    <s v="United States"/>
    <x v="20"/>
    <x v="12"/>
    <x v="2"/>
    <s v="TEC-PH-10002789"/>
    <x v="0"/>
    <x v="0"/>
    <s v="LG Exalt"/>
    <n v="748.75199999999995"/>
    <n v="8"/>
    <n v="-162.2296"/>
    <x v="3"/>
    <x v="2"/>
    <x v="6"/>
    <n v="-0.21666666666666701"/>
  </r>
  <r>
    <s v="CA-2015-115567"/>
    <x v="560"/>
    <d v="2015-09-18T00:00:00"/>
    <x v="0"/>
    <s v="ZC-21910"/>
    <s v="Zuschuss Carroll"/>
    <x v="0"/>
    <s v="United States"/>
    <x v="16"/>
    <x v="21"/>
    <x v="1"/>
    <s v="TEC-AC-10001314"/>
    <x v="0"/>
    <x v="1"/>
    <s v="Case Logic 2.4GHz Wireless Keyboard"/>
    <n v="199.96"/>
    <n v="4"/>
    <n v="15.9968"/>
    <x v="0"/>
    <x v="2"/>
    <x v="4"/>
    <n v="0.08"/>
  </r>
  <r>
    <s v="US-2017-136679"/>
    <x v="90"/>
    <d v="2017-11-18T00:00:00"/>
    <x v="0"/>
    <s v="XP-21865"/>
    <s v="Xylona Preis"/>
    <x v="0"/>
    <s v="United States"/>
    <x v="81"/>
    <x v="1"/>
    <x v="1"/>
    <s v="TEC-AC-10004855"/>
    <x v="0"/>
    <x v="1"/>
    <s v="V7 USB Numeric Keypad"/>
    <n v="167.952"/>
    <n v="6"/>
    <n v="-27.292200000000001"/>
    <x v="1"/>
    <x v="3"/>
    <x v="6"/>
    <n v="-0.16250000000000001"/>
  </r>
  <r>
    <s v="CA-2014-159709"/>
    <x v="561"/>
    <d v="2014-05-15T00:00:00"/>
    <x v="0"/>
    <s v="AI-10855"/>
    <s v="Arianne Irving"/>
    <x v="0"/>
    <s v="United States"/>
    <x v="117"/>
    <x v="17"/>
    <x v="0"/>
    <s v="TEC-PH-10003988"/>
    <x v="0"/>
    <x v="0"/>
    <s v="LF Elite 3D Dazzle Designer Hard Case Cover, Lf Stylus Pen and Wiper For Apple Iphone 5c Mini Lite"/>
    <n v="43.6"/>
    <n v="5"/>
    <n v="4.3600000000000003"/>
    <x v="0"/>
    <x v="0"/>
    <x v="11"/>
    <n v="0.1"/>
  </r>
  <r>
    <s v="CA-2016-103982"/>
    <x v="380"/>
    <d v="2016-03-08T00:00:00"/>
    <x v="0"/>
    <s v="AA-10315"/>
    <s v="Alex Avila"/>
    <x v="0"/>
    <s v="United States"/>
    <x v="244"/>
    <x v="1"/>
    <x v="1"/>
    <s v="TEC-PH-10000895"/>
    <x v="0"/>
    <x v="0"/>
    <s v="Polycom VVX 310 VoIP phone"/>
    <n v="431.976"/>
    <n v="3"/>
    <n v="32.398200000000003"/>
    <x v="0"/>
    <x v="1"/>
    <x v="5"/>
    <n v="7.4999999999999997E-2"/>
  </r>
  <r>
    <s v="CA-2016-103982"/>
    <x v="380"/>
    <d v="2016-03-08T00:00:00"/>
    <x v="0"/>
    <s v="AA-10315"/>
    <s v="Alex Avila"/>
    <x v="0"/>
    <s v="United States"/>
    <x v="244"/>
    <x v="1"/>
    <x v="1"/>
    <s v="TEC-AC-10002857"/>
    <x v="0"/>
    <x v="1"/>
    <s v="Verbatim 25 GB 6x Blu-ray Single Layer Recordable Disc, 1/Pack"/>
    <n v="41.72"/>
    <n v="7"/>
    <n v="5.7365000000000004"/>
    <x v="0"/>
    <x v="1"/>
    <x v="5"/>
    <n v="0.13750000000000001"/>
  </r>
  <r>
    <s v="CA-2017-117401"/>
    <x v="361"/>
    <d v="2017-05-22T00:00:00"/>
    <x v="1"/>
    <s v="PP-18955"/>
    <s v="Paul Prost"/>
    <x v="2"/>
    <s v="United States"/>
    <x v="84"/>
    <x v="18"/>
    <x v="1"/>
    <s v="TEC-PH-10003555"/>
    <x v="0"/>
    <x v="0"/>
    <s v="Motorola HK250 Universal Bluetooth Headset"/>
    <n v="114.95"/>
    <n v="5"/>
    <n v="2.2989999999999999"/>
    <x v="1"/>
    <x v="3"/>
    <x v="11"/>
    <n v="0.02"/>
  </r>
  <r>
    <s v="CA-2014-166744"/>
    <x v="562"/>
    <d v="2014-09-24T00:00:00"/>
    <x v="0"/>
    <s v="DN-13690"/>
    <s v="Duane Noonan"/>
    <x v="0"/>
    <s v="United States"/>
    <x v="135"/>
    <x v="33"/>
    <x v="2"/>
    <s v="TEC-AC-10003628"/>
    <x v="0"/>
    <x v="1"/>
    <s v="Logitech 910-002974 M325 Wireless Mouse for Web Scrolling"/>
    <n v="59.98"/>
    <n v="2"/>
    <n v="26.391200000000001"/>
    <x v="1"/>
    <x v="0"/>
    <x v="4"/>
    <n v="0.44"/>
  </r>
  <r>
    <s v="CA-2016-156265"/>
    <x v="563"/>
    <d v="2016-08-04T00:00:00"/>
    <x v="1"/>
    <s v="BF-11020"/>
    <s v="Barry Französisch"/>
    <x v="1"/>
    <s v="United States"/>
    <x v="0"/>
    <x v="0"/>
    <x v="0"/>
    <s v="TEC-PH-10001918"/>
    <x v="0"/>
    <x v="0"/>
    <s v="Nortel Business Series Terminal T7208 Digital phone"/>
    <n v="333.57600000000002"/>
    <n v="3"/>
    <n v="33.357599999999998"/>
    <x v="2"/>
    <x v="1"/>
    <x v="1"/>
    <n v="0.1"/>
  </r>
  <r>
    <s v="US-2017-110989"/>
    <x v="564"/>
    <d v="2017-11-05T00:00:00"/>
    <x v="1"/>
    <s v="EJ-14155"/>
    <s v="Eva Jacobs"/>
    <x v="0"/>
    <s v="United States"/>
    <x v="45"/>
    <x v="17"/>
    <x v="0"/>
    <s v="TEC-AC-10002345"/>
    <x v="0"/>
    <x v="1"/>
    <s v="HP Standard 104 key PS/2 Keyboard"/>
    <n v="43.5"/>
    <n v="3"/>
    <n v="10.875"/>
    <x v="2"/>
    <x v="3"/>
    <x v="6"/>
    <n v="0.25"/>
  </r>
  <r>
    <s v="US-2016-169369"/>
    <x v="475"/>
    <d v="2016-12-18T00:00:00"/>
    <x v="0"/>
    <s v="EC-14050"/>
    <s v="Erin Creighton"/>
    <x v="0"/>
    <s v="United States"/>
    <x v="16"/>
    <x v="31"/>
    <x v="3"/>
    <s v="TEC-AC-10001314"/>
    <x v="0"/>
    <x v="1"/>
    <s v="Case Logic 2.4GHz Wireless Keyboard"/>
    <n v="249.95"/>
    <n v="5"/>
    <n v="19.995999999999999"/>
    <x v="3"/>
    <x v="1"/>
    <x v="3"/>
    <n v="0.08"/>
  </r>
  <r>
    <s v="CA-2014-105165"/>
    <x v="229"/>
    <d v="2014-09-10T00:00:00"/>
    <x v="2"/>
    <s v="SZ-20035"/>
    <s v="Sam Zeldin"/>
    <x v="2"/>
    <s v="United States"/>
    <x v="3"/>
    <x v="1"/>
    <x v="1"/>
    <s v="TEC-PH-10000675"/>
    <x v="0"/>
    <x v="0"/>
    <s v="Panasonic KX TS3282B Corded phone"/>
    <n v="196.77600000000001"/>
    <n v="3"/>
    <n v="14.7582"/>
    <x v="6"/>
    <x v="0"/>
    <x v="4"/>
    <n v="7.4999999999999997E-2"/>
  </r>
  <r>
    <s v="CA-2014-105165"/>
    <x v="229"/>
    <d v="2014-09-10T00:00:00"/>
    <x v="2"/>
    <s v="SZ-20035"/>
    <s v="Sam Zeldin"/>
    <x v="2"/>
    <s v="United States"/>
    <x v="3"/>
    <x v="1"/>
    <x v="1"/>
    <s v="TEC-AC-10002718"/>
    <x v="0"/>
    <x v="1"/>
    <s v="Belkin Standard 104 key USB Keyboard"/>
    <n v="46.688000000000002"/>
    <n v="4"/>
    <n v="-2.9180000000000001"/>
    <x v="6"/>
    <x v="0"/>
    <x v="4"/>
    <n v="-6.25E-2"/>
  </r>
  <r>
    <s v="US-2017-114657"/>
    <x v="405"/>
    <d v="2017-11-21T00:00:00"/>
    <x v="0"/>
    <s v="MH-18115"/>
    <s v="Mick Hernandez"/>
    <x v="2"/>
    <s v="United States"/>
    <x v="88"/>
    <x v="5"/>
    <x v="2"/>
    <s v="TEC-MA-10003173"/>
    <x v="0"/>
    <x v="2"/>
    <s v="Hewlett-Packard 300S Scientific Calculator"/>
    <n v="52.44"/>
    <n v="4"/>
    <n v="24.122399999999999"/>
    <x v="0"/>
    <x v="3"/>
    <x v="6"/>
    <n v="0.46"/>
  </r>
  <r>
    <s v="CA-2017-147333"/>
    <x v="408"/>
    <d v="2017-12-20T00:00:00"/>
    <x v="0"/>
    <s v="KL-16555"/>
    <s v="Kelly Lampkin"/>
    <x v="1"/>
    <s v="United States"/>
    <x v="190"/>
    <x v="32"/>
    <x v="3"/>
    <s v="TEC-AC-10004469"/>
    <x v="0"/>
    <x v="1"/>
    <s v="Microsoft Sculpt Comfort Mouse"/>
    <n v="159.80000000000001"/>
    <n v="4"/>
    <n v="70.311999999999998"/>
    <x v="3"/>
    <x v="3"/>
    <x v="3"/>
    <n v="0.44"/>
  </r>
  <r>
    <s v="CA-2017-147333"/>
    <x v="408"/>
    <d v="2017-12-20T00:00:00"/>
    <x v="0"/>
    <s v="KL-16555"/>
    <s v="Kelly Lampkin"/>
    <x v="1"/>
    <s v="United States"/>
    <x v="190"/>
    <x v="32"/>
    <x v="3"/>
    <s v="TEC-AC-10003038"/>
    <x v="0"/>
    <x v="1"/>
    <s v="Kingston Digital DataTraveler 16GB USB 2.0"/>
    <n v="44.75"/>
    <n v="5"/>
    <n v="8.5024999999999995"/>
    <x v="3"/>
    <x v="3"/>
    <x v="3"/>
    <n v="0.19"/>
  </r>
  <r>
    <s v="US-2017-104094"/>
    <x v="277"/>
    <d v="2017-09-11T00:00:00"/>
    <x v="0"/>
    <s v="AG-10675"/>
    <s v="Anna Gayman"/>
    <x v="0"/>
    <s v="United States"/>
    <x v="78"/>
    <x v="10"/>
    <x v="1"/>
    <s v="TEC-AC-10002134"/>
    <x v="0"/>
    <x v="1"/>
    <s v="Rosewill 107 Normal Keys USB Wired Standard Keyboard"/>
    <n v="13.48"/>
    <n v="1"/>
    <n v="1.8872"/>
    <x v="1"/>
    <x v="3"/>
    <x v="4"/>
    <n v="0.14000000000000001"/>
  </r>
  <r>
    <s v="CA-2017-108791"/>
    <x v="565"/>
    <d v="2017-07-31T00:00:00"/>
    <x v="0"/>
    <s v="TM-21490"/>
    <s v="Tony Molinari"/>
    <x v="0"/>
    <s v="United States"/>
    <x v="88"/>
    <x v="5"/>
    <x v="2"/>
    <s v="TEC-PH-10002660"/>
    <x v="0"/>
    <x v="0"/>
    <s v="Nortel Networks T7316 E Nt8 B27"/>
    <n v="543.91999999999996"/>
    <n v="8"/>
    <n v="135.97999999999999"/>
    <x v="1"/>
    <x v="3"/>
    <x v="10"/>
    <n v="0.25"/>
  </r>
  <r>
    <s v="CA-2016-113831"/>
    <x v="175"/>
    <d v="2016-06-03T00:00:00"/>
    <x v="0"/>
    <s v="AH-10690"/>
    <s v="Anna Häberlin"/>
    <x v="1"/>
    <s v="United States"/>
    <x v="84"/>
    <x v="23"/>
    <x v="3"/>
    <s v="TEC-AC-10003033"/>
    <x v="0"/>
    <x v="1"/>
    <s v="Plantronics CS510 - Over-the-Head monaural Wireless Headset System"/>
    <n v="1979.7"/>
    <n v="6"/>
    <n v="653.30100000000004"/>
    <x v="1"/>
    <x v="1"/>
    <x v="11"/>
    <n v="0.33"/>
  </r>
  <r>
    <s v="US-2016-168410"/>
    <x v="367"/>
    <d v="2016-02-26T00:00:00"/>
    <x v="0"/>
    <s v="BV-11245"/>
    <s v="Benjamin Venier"/>
    <x v="1"/>
    <s v="United States"/>
    <x v="242"/>
    <x v="5"/>
    <x v="2"/>
    <s v="TEC-PH-10002583"/>
    <x v="0"/>
    <x v="0"/>
    <s v="iOttie HLCRIO102 Car Mount"/>
    <n v="39.979999999999997"/>
    <n v="2"/>
    <n v="1.9990000000000001"/>
    <x v="0"/>
    <x v="1"/>
    <x v="8"/>
    <n v="0.05"/>
  </r>
  <r>
    <s v="CA-2015-120320"/>
    <x v="299"/>
    <d v="2015-03-09T00:00:00"/>
    <x v="0"/>
    <s v="MV-18190"/>
    <s v="Mike Vittorini"/>
    <x v="0"/>
    <s v="United States"/>
    <x v="3"/>
    <x v="1"/>
    <x v="1"/>
    <s v="TEC-PH-10000149"/>
    <x v="0"/>
    <x v="0"/>
    <s v="Cisco SPA525G2 IP Phone - Wireless"/>
    <n v="31.92"/>
    <n v="2"/>
    <n v="2.3940000000000001"/>
    <x v="1"/>
    <x v="2"/>
    <x v="5"/>
    <n v="7.4999999999999997E-2"/>
  </r>
  <r>
    <s v="CA-2015-146486"/>
    <x v="543"/>
    <d v="2015-11-14T00:00:00"/>
    <x v="1"/>
    <s v="DV-13465"/>
    <s v="Dianna Vittorini"/>
    <x v="0"/>
    <s v="United States"/>
    <x v="242"/>
    <x v="5"/>
    <x v="2"/>
    <s v="TEC-AC-10002018"/>
    <x v="0"/>
    <x v="1"/>
    <s v="AmazonBasics 3-Button USB Wired Mouse"/>
    <n v="13.98"/>
    <n v="2"/>
    <n v="6.0114000000000001"/>
    <x v="0"/>
    <x v="2"/>
    <x v="6"/>
    <n v="0.43"/>
  </r>
  <r>
    <s v="CA-2015-146486"/>
    <x v="543"/>
    <d v="2015-11-14T00:00:00"/>
    <x v="1"/>
    <s v="DV-13465"/>
    <s v="Dianna Vittorini"/>
    <x v="0"/>
    <s v="United States"/>
    <x v="242"/>
    <x v="5"/>
    <x v="2"/>
    <s v="TEC-AC-10002637"/>
    <x v="0"/>
    <x v="1"/>
    <s v="Logitech VX Revolution Cordless Laser Mouse for Notebooks (Black)"/>
    <n v="899.95"/>
    <n v="5"/>
    <n v="53.997"/>
    <x v="0"/>
    <x v="2"/>
    <x v="6"/>
    <n v="0.06"/>
  </r>
  <r>
    <s v="US-2014-168501"/>
    <x v="417"/>
    <d v="2014-11-27T00:00:00"/>
    <x v="0"/>
    <s v="JK-15325"/>
    <s v="Jason Klamczynski"/>
    <x v="1"/>
    <s v="United States"/>
    <x v="26"/>
    <x v="1"/>
    <x v="1"/>
    <s v="TEC-PH-10004922"/>
    <x v="0"/>
    <x v="0"/>
    <s v="RCA Visys Integrated PBX 8-Line Router"/>
    <n v="267.95999999999998"/>
    <n v="5"/>
    <n v="16.747499999999999"/>
    <x v="3"/>
    <x v="0"/>
    <x v="6"/>
    <n v="6.25E-2"/>
  </r>
  <r>
    <s v="CA-2015-112053"/>
    <x v="566"/>
    <d v="2015-10-13T00:00:00"/>
    <x v="1"/>
    <s v="SH-20395"/>
    <s v="Shahid Hopkins"/>
    <x v="0"/>
    <s v="United States"/>
    <x v="10"/>
    <x v="5"/>
    <x v="2"/>
    <s v="TEC-AC-10002550"/>
    <x v="0"/>
    <x v="1"/>
    <s v="Memorex 25GB 6X Branded Blu-Ray Recordable Disc, 30/Pack"/>
    <n v="31.95"/>
    <n v="1"/>
    <n v="2.2364999999999999"/>
    <x v="2"/>
    <x v="2"/>
    <x v="7"/>
    <n v="7.0000000000000007E-2"/>
  </r>
  <r>
    <s v="CA-2016-123932"/>
    <x v="149"/>
    <d v="2016-09-12T00:00:00"/>
    <x v="0"/>
    <s v="YC-21895"/>
    <s v="Yoseph Carroll"/>
    <x v="1"/>
    <s v="United States"/>
    <x v="26"/>
    <x v="1"/>
    <x v="1"/>
    <s v="TEC-PH-10002447"/>
    <x v="0"/>
    <x v="0"/>
    <s v="AT&amp;T CL83451 4-Handset Telephone"/>
    <n v="329.584"/>
    <n v="2"/>
    <n v="37.078200000000002"/>
    <x v="3"/>
    <x v="1"/>
    <x v="4"/>
    <n v="0.1125"/>
  </r>
  <r>
    <s v="CA-2014-150490"/>
    <x v="567"/>
    <d v="2014-08-11T00:00:00"/>
    <x v="0"/>
    <s v="SS-20590"/>
    <s v="Sonia Sunley"/>
    <x v="0"/>
    <s v="United States"/>
    <x v="1"/>
    <x v="0"/>
    <x v="0"/>
    <s v="TEC-AC-10004510"/>
    <x v="0"/>
    <x v="1"/>
    <s v="Logitech Desktop MK120 Mouse and keyboard Combo"/>
    <n v="16.36"/>
    <n v="1"/>
    <n v="1.6359999999999999"/>
    <x v="3"/>
    <x v="0"/>
    <x v="1"/>
    <n v="0.1"/>
  </r>
  <r>
    <s v="CA-2016-107790"/>
    <x v="22"/>
    <d v="2016-11-24T00:00:00"/>
    <x v="0"/>
    <s v="EH-13990"/>
    <s v="Erica Hackney"/>
    <x v="0"/>
    <s v="United States"/>
    <x v="3"/>
    <x v="1"/>
    <x v="1"/>
    <s v="TEC-PH-10004539"/>
    <x v="0"/>
    <x v="0"/>
    <s v="Wireless Extenders zBoost YX545 SOHO Signal Booster"/>
    <n v="151.19200000000001"/>
    <n v="1"/>
    <n v="13.2293"/>
    <x v="1"/>
    <x v="1"/>
    <x v="6"/>
    <n v="8.7499999999999994E-2"/>
  </r>
  <r>
    <s v="CA-2017-158071"/>
    <x v="71"/>
    <d v="2017-06-15T00:00:00"/>
    <x v="0"/>
    <s v="BD-11320"/>
    <s v="Bill Donatelli"/>
    <x v="0"/>
    <s v="United States"/>
    <x v="45"/>
    <x v="17"/>
    <x v="0"/>
    <s v="TEC-PH-10002923"/>
    <x v="0"/>
    <x v="0"/>
    <s v="Logitech B530 USB Headset - headset - Full size, Binaural"/>
    <n v="88.775999999999996"/>
    <n v="3"/>
    <n v="7.7679"/>
    <x v="0"/>
    <x v="3"/>
    <x v="0"/>
    <n v="8.7499999999999994E-2"/>
  </r>
  <r>
    <s v="CA-2017-134152"/>
    <x v="378"/>
    <d v="2017-05-31T00:00:00"/>
    <x v="0"/>
    <s v="RP-19855"/>
    <s v="Roy Phan"/>
    <x v="1"/>
    <s v="United States"/>
    <x v="45"/>
    <x v="17"/>
    <x v="0"/>
    <s v="TEC-AC-10004510"/>
    <x v="0"/>
    <x v="1"/>
    <s v="Logitech Desktop MK120 Mouse and keyboard Combo"/>
    <n v="98.16"/>
    <n v="6"/>
    <n v="9.8160000000000007"/>
    <x v="1"/>
    <x v="3"/>
    <x v="11"/>
    <n v="0.1"/>
  </r>
  <r>
    <s v="CA-2016-136021"/>
    <x v="568"/>
    <d v="2016-08-18T00:00:00"/>
    <x v="0"/>
    <s v="JM-15580"/>
    <s v="Jill Matthias"/>
    <x v="0"/>
    <s v="United States"/>
    <x v="0"/>
    <x v="0"/>
    <x v="0"/>
    <s v="TEC-MA-10000423"/>
    <x v="0"/>
    <x v="2"/>
    <s v="Texas Instruments TI-34 Scientific Calculator"/>
    <n v="105.55200000000001"/>
    <n v="6"/>
    <n v="35.623800000000003"/>
    <x v="1"/>
    <x v="1"/>
    <x v="1"/>
    <n v="0.33750000000000002"/>
  </r>
  <r>
    <s v="CA-2017-161410"/>
    <x v="127"/>
    <d v="2017-07-03T00:00:00"/>
    <x v="0"/>
    <s v="CC-12220"/>
    <s v="Chris Cortes"/>
    <x v="0"/>
    <s v="United States"/>
    <x v="20"/>
    <x v="12"/>
    <x v="2"/>
    <s v="TEC-PH-10001760"/>
    <x v="0"/>
    <x v="0"/>
    <s v="Bose SoundLink Bluetooth Speaker"/>
    <n v="358.2"/>
    <n v="3"/>
    <n v="41.79"/>
    <x v="5"/>
    <x v="3"/>
    <x v="0"/>
    <n v="0.116666666666667"/>
  </r>
  <r>
    <s v="CA-2017-161410"/>
    <x v="127"/>
    <d v="2017-07-03T00:00:00"/>
    <x v="0"/>
    <s v="CC-12220"/>
    <s v="Chris Cortes"/>
    <x v="0"/>
    <s v="United States"/>
    <x v="20"/>
    <x v="12"/>
    <x v="2"/>
    <s v="TEC-PH-10000673"/>
    <x v="0"/>
    <x v="0"/>
    <s v="Plantronics Voyager Pro HD - Bluetooth Headset"/>
    <n v="545.91600000000005"/>
    <n v="14"/>
    <n v="72.788799999999995"/>
    <x v="5"/>
    <x v="3"/>
    <x v="0"/>
    <n v="0.133333333333333"/>
  </r>
  <r>
    <s v="CA-2017-164707"/>
    <x v="569"/>
    <d v="2017-02-21T00:00:00"/>
    <x v="1"/>
    <s v="CV-12805"/>
    <s v="Cynthia Voltz"/>
    <x v="1"/>
    <s v="United States"/>
    <x v="0"/>
    <x v="0"/>
    <x v="0"/>
    <s v="TEC-PH-10001924"/>
    <x v="0"/>
    <x v="0"/>
    <s v="iHome FM Clock Radio with Lightning Dock"/>
    <n v="167.976"/>
    <n v="3"/>
    <n v="10.4985"/>
    <x v="6"/>
    <x v="3"/>
    <x v="8"/>
    <n v="6.25E-2"/>
  </r>
  <r>
    <s v="CA-2017-164707"/>
    <x v="569"/>
    <d v="2017-02-21T00:00:00"/>
    <x v="1"/>
    <s v="CV-12805"/>
    <s v="Cynthia Voltz"/>
    <x v="1"/>
    <s v="United States"/>
    <x v="0"/>
    <x v="0"/>
    <x v="0"/>
    <s v="TEC-AC-10004864"/>
    <x v="0"/>
    <x v="1"/>
    <s v="Memorex Micro Travel Drive 32 GB"/>
    <n v="109.53"/>
    <n v="3"/>
    <n v="47.097900000000003"/>
    <x v="6"/>
    <x v="3"/>
    <x v="8"/>
    <n v="0.43"/>
  </r>
  <r>
    <s v="CA-2017-132262"/>
    <x v="570"/>
    <d v="2017-09-23T00:00:00"/>
    <x v="2"/>
    <s v="ML-18265"/>
    <s v="Muhammed Lee"/>
    <x v="0"/>
    <s v="United States"/>
    <x v="45"/>
    <x v="17"/>
    <x v="0"/>
    <s v="TEC-AC-10000158"/>
    <x v="0"/>
    <x v="1"/>
    <s v="Sony 64GB Class 10 Micro SDHC R40 Memory Card"/>
    <n v="71.98"/>
    <n v="2"/>
    <n v="15.1158"/>
    <x v="2"/>
    <x v="3"/>
    <x v="4"/>
    <n v="0.21"/>
  </r>
  <r>
    <s v="CA-2017-132262"/>
    <x v="570"/>
    <d v="2017-09-23T00:00:00"/>
    <x v="2"/>
    <s v="ML-18265"/>
    <s v="Muhammed Lee"/>
    <x v="0"/>
    <s v="United States"/>
    <x v="45"/>
    <x v="17"/>
    <x v="0"/>
    <s v="TEC-AC-10000303"/>
    <x v="0"/>
    <x v="1"/>
    <s v="Logitech M510 Wireless Mouse"/>
    <n v="79.98"/>
    <n v="2"/>
    <n v="26.3934"/>
    <x v="2"/>
    <x v="3"/>
    <x v="4"/>
    <n v="0.33"/>
  </r>
  <r>
    <s v="US-2016-143280"/>
    <x v="571"/>
    <d v="2016-02-26T00:00:00"/>
    <x v="0"/>
    <s v="TZ-21580"/>
    <s v="Tracy Zic"/>
    <x v="0"/>
    <s v="United States"/>
    <x v="0"/>
    <x v="0"/>
    <x v="0"/>
    <s v="TEC-PH-10002398"/>
    <x v="0"/>
    <x v="0"/>
    <s v="AT&amp;T 1070 Corded Phone"/>
    <n v="445.96"/>
    <n v="5"/>
    <n v="55.744999999999997"/>
    <x v="1"/>
    <x v="1"/>
    <x v="8"/>
    <n v="0.125"/>
  </r>
  <r>
    <s v="US-2016-143280"/>
    <x v="571"/>
    <d v="2016-02-26T00:00:00"/>
    <x v="0"/>
    <s v="TZ-21580"/>
    <s v="Tracy Zic"/>
    <x v="0"/>
    <s v="United States"/>
    <x v="0"/>
    <x v="0"/>
    <x v="0"/>
    <s v="TEC-AC-10003399"/>
    <x v="0"/>
    <x v="1"/>
    <s v="Memorex Mini Travel Drive 64 GB USB 2.0 Flash Drive"/>
    <n v="36.24"/>
    <n v="1"/>
    <n v="15.220800000000001"/>
    <x v="1"/>
    <x v="1"/>
    <x v="8"/>
    <n v="0.42"/>
  </r>
  <r>
    <s v="CA-2017-166856"/>
    <x v="572"/>
    <d v="2017-09-22T00:00:00"/>
    <x v="0"/>
    <s v="TS-21505"/>
    <s v="Tony Sayre"/>
    <x v="0"/>
    <s v="United States"/>
    <x v="245"/>
    <x v="29"/>
    <x v="0"/>
    <s v="TEC-AC-10004992"/>
    <x v="0"/>
    <x v="1"/>
    <s v="Kingston Digital DataTraveler 64GB USB 2.0"/>
    <n v="101.34"/>
    <n v="3"/>
    <n v="8.1072000000000006"/>
    <x v="1"/>
    <x v="3"/>
    <x v="4"/>
    <n v="0.08"/>
  </r>
  <r>
    <s v="CA-2016-153157"/>
    <x v="36"/>
    <d v="2016-09-14T00:00:00"/>
    <x v="2"/>
    <s v="TB-21625"/>
    <s v="Trudy Brown"/>
    <x v="0"/>
    <s v="United States"/>
    <x v="246"/>
    <x v="43"/>
    <x v="1"/>
    <s v="TEC-PH-10003171"/>
    <x v="0"/>
    <x v="0"/>
    <s v="Plantronics Encore H101 Dual Earpieces Headset"/>
    <n v="224.75"/>
    <n v="5"/>
    <n v="62.93"/>
    <x v="6"/>
    <x v="1"/>
    <x v="4"/>
    <n v="0.28000000000000003"/>
  </r>
  <r>
    <s v="US-2017-125647"/>
    <x v="262"/>
    <d v="2017-09-28T00:00:00"/>
    <x v="0"/>
    <s v="LC-16870"/>
    <s v="Lena Cacioppo"/>
    <x v="0"/>
    <s v="United States"/>
    <x v="11"/>
    <x v="2"/>
    <x v="1"/>
    <s v="TEC-PH-10004188"/>
    <x v="0"/>
    <x v="0"/>
    <s v="OtterBox Commuter Series Case - Samsung Galaxy S4"/>
    <n v="39.984000000000002"/>
    <n v="2"/>
    <n v="-8.9963999999999995"/>
    <x v="0"/>
    <x v="3"/>
    <x v="4"/>
    <n v="-0.22500000000000001"/>
  </r>
  <r>
    <s v="CA-2015-110877"/>
    <x v="460"/>
    <d v="2015-10-26T00:00:00"/>
    <x v="2"/>
    <s v="JE-15715"/>
    <s v="Joe Elijah"/>
    <x v="0"/>
    <s v="United States"/>
    <x v="3"/>
    <x v="1"/>
    <x v="1"/>
    <s v="TEC-PH-10002103"/>
    <x v="0"/>
    <x v="0"/>
    <s v="Jabra SPEAK 410"/>
    <n v="150.38399999999999"/>
    <n v="2"/>
    <n v="15.038399999999999"/>
    <x v="6"/>
    <x v="2"/>
    <x v="7"/>
    <n v="0.1"/>
  </r>
  <r>
    <s v="US-2016-151827"/>
    <x v="573"/>
    <d v="2016-04-02T00:00:00"/>
    <x v="1"/>
    <s v="CS-11950"/>
    <s v="Carlos Soltero"/>
    <x v="0"/>
    <s v="United States"/>
    <x v="20"/>
    <x v="12"/>
    <x v="2"/>
    <s v="TEC-PH-10002789"/>
    <x v="0"/>
    <x v="0"/>
    <s v="LG Exalt"/>
    <n v="280.78199999999998"/>
    <n v="3"/>
    <n v="-60.836100000000002"/>
    <x v="2"/>
    <x v="1"/>
    <x v="5"/>
    <n v="-0.21666666666666701"/>
  </r>
  <r>
    <s v="US-2016-151827"/>
    <x v="573"/>
    <d v="2016-04-02T00:00:00"/>
    <x v="1"/>
    <s v="CS-11950"/>
    <s v="Carlos Soltero"/>
    <x v="0"/>
    <s v="United States"/>
    <x v="20"/>
    <x v="12"/>
    <x v="2"/>
    <s v="TEC-AC-10003289"/>
    <x v="0"/>
    <x v="1"/>
    <s v="Anker Ultra-Slim Mini Bluetooth 3.0 Wireless Keyboard"/>
    <n v="31.984000000000002"/>
    <n v="2"/>
    <n v="1.1994"/>
    <x v="2"/>
    <x v="1"/>
    <x v="5"/>
    <n v="3.7499999999999999E-2"/>
  </r>
  <r>
    <s v="CA-2016-153598"/>
    <x v="574"/>
    <d v="2016-12-06T00:00:00"/>
    <x v="2"/>
    <s v="NM-18520"/>
    <s v="Neoma Murray"/>
    <x v="0"/>
    <s v="United States"/>
    <x v="0"/>
    <x v="0"/>
    <x v="0"/>
    <s v="TEC-AC-10003870"/>
    <x v="0"/>
    <x v="1"/>
    <s v="Logitech Z-906 Speaker sys - home theater - 5.1-CH"/>
    <n v="1649.95"/>
    <n v="5"/>
    <n v="659.98"/>
    <x v="6"/>
    <x v="1"/>
    <x v="3"/>
    <n v="0.4"/>
  </r>
  <r>
    <s v="CA-2015-160171"/>
    <x v="466"/>
    <d v="2015-10-24T00:00:00"/>
    <x v="0"/>
    <s v="RM-19675"/>
    <s v="Robert Marley"/>
    <x v="2"/>
    <s v="United States"/>
    <x v="0"/>
    <x v="0"/>
    <x v="0"/>
    <s v="TEC-AC-10000892"/>
    <x v="0"/>
    <x v="1"/>
    <s v="NETGEAR N750 Dual Band Wi-Fi Gigabit Router"/>
    <n v="270"/>
    <n v="3"/>
    <n v="97.2"/>
    <x v="0"/>
    <x v="2"/>
    <x v="7"/>
    <n v="0.36"/>
  </r>
  <r>
    <s v="CA-2015-148712"/>
    <x v="352"/>
    <d v="2015-04-23T00:00:00"/>
    <x v="0"/>
    <s v="JM-15535"/>
    <s v="Jessica Myrick"/>
    <x v="0"/>
    <s v="United States"/>
    <x v="7"/>
    <x v="5"/>
    <x v="2"/>
    <s v="TEC-AC-10003198"/>
    <x v="0"/>
    <x v="1"/>
    <s v="Enermax Acrylux Wireless Keyboard"/>
    <n v="99.6"/>
    <n v="1"/>
    <n v="36.851999999999997"/>
    <x v="3"/>
    <x v="2"/>
    <x v="9"/>
    <n v="0.37"/>
  </r>
  <r>
    <s v="US-2016-127425"/>
    <x v="204"/>
    <d v="2016-08-31T00:00:00"/>
    <x v="0"/>
    <s v="DR-12880"/>
    <s v="Dan Reichenbach"/>
    <x v="1"/>
    <s v="United States"/>
    <x v="7"/>
    <x v="5"/>
    <x v="2"/>
    <s v="TEC-PH-10003442"/>
    <x v="0"/>
    <x v="0"/>
    <s v="Samsung Replacement EH64AVFWE Premium Headset"/>
    <n v="33"/>
    <n v="6"/>
    <n v="8.25"/>
    <x v="0"/>
    <x v="1"/>
    <x v="1"/>
    <n v="0.25"/>
  </r>
  <r>
    <s v="US-2016-127425"/>
    <x v="204"/>
    <d v="2016-08-31T00:00:00"/>
    <x v="0"/>
    <s v="DR-12880"/>
    <s v="Dan Reichenbach"/>
    <x v="1"/>
    <s v="United States"/>
    <x v="7"/>
    <x v="5"/>
    <x v="2"/>
    <s v="TEC-AC-10002800"/>
    <x v="0"/>
    <x v="1"/>
    <s v="Plantronics Audio 478 Stereo USB Headset"/>
    <n v="249.95"/>
    <n v="5"/>
    <n v="87.482500000000002"/>
    <x v="0"/>
    <x v="1"/>
    <x v="1"/>
    <n v="0.35"/>
  </r>
  <r>
    <s v="US-2014-119081"/>
    <x v="61"/>
    <d v="2014-09-19T00:00:00"/>
    <x v="0"/>
    <s v="TA-21385"/>
    <s v="Tom Ashbrook"/>
    <x v="2"/>
    <s v="United States"/>
    <x v="247"/>
    <x v="43"/>
    <x v="1"/>
    <s v="TEC-AC-10001542"/>
    <x v="0"/>
    <x v="1"/>
    <s v="SanDisk Cruzer 16 GB USB Flash Drive"/>
    <n v="57.4"/>
    <n v="5"/>
    <n v="10.906000000000001"/>
    <x v="5"/>
    <x v="0"/>
    <x v="4"/>
    <n v="0.19"/>
  </r>
  <r>
    <s v="CA-2017-105487"/>
    <x v="575"/>
    <d v="2017-10-14T00:00:00"/>
    <x v="0"/>
    <s v="CS-12250"/>
    <s v="Chris Selesnick"/>
    <x v="1"/>
    <s v="United States"/>
    <x v="30"/>
    <x v="0"/>
    <x v="0"/>
    <s v="TEC-PH-10001336"/>
    <x v="0"/>
    <x v="0"/>
    <s v="Digium D40 VoIP phone"/>
    <n v="103.19199999999999"/>
    <n v="1"/>
    <n v="11.6091"/>
    <x v="3"/>
    <x v="3"/>
    <x v="7"/>
    <n v="0.1125"/>
  </r>
  <r>
    <s v="CA-2017-105487"/>
    <x v="575"/>
    <d v="2017-10-14T00:00:00"/>
    <x v="0"/>
    <s v="CS-12250"/>
    <s v="Chris Selesnick"/>
    <x v="1"/>
    <s v="United States"/>
    <x v="30"/>
    <x v="0"/>
    <x v="0"/>
    <s v="TEC-AC-10002305"/>
    <x v="0"/>
    <x v="1"/>
    <s v="KeyTronic E03601U1 - Keyboard - Beige"/>
    <n v="36"/>
    <n v="2"/>
    <n v="6.48"/>
    <x v="3"/>
    <x v="3"/>
    <x v="7"/>
    <n v="0.18"/>
  </r>
  <r>
    <s v="CA-2017-105487"/>
    <x v="575"/>
    <d v="2017-10-14T00:00:00"/>
    <x v="0"/>
    <s v="CS-12250"/>
    <s v="Chris Selesnick"/>
    <x v="1"/>
    <s v="United States"/>
    <x v="30"/>
    <x v="0"/>
    <x v="0"/>
    <s v="TEC-AC-10003610"/>
    <x v="0"/>
    <x v="1"/>
    <s v="Logitech Illuminated - Keyboard"/>
    <n v="239.96"/>
    <n v="4"/>
    <n v="115.1808"/>
    <x v="3"/>
    <x v="3"/>
    <x v="7"/>
    <n v="0.48"/>
  </r>
  <r>
    <s v="CA-2017-134495"/>
    <x v="488"/>
    <d v="2017-04-04T00:00:00"/>
    <x v="1"/>
    <s v="BF-11020"/>
    <s v="Barry Französisch"/>
    <x v="1"/>
    <s v="United States"/>
    <x v="42"/>
    <x v="15"/>
    <x v="3"/>
    <s v="TEC-PH-10004897"/>
    <x v="0"/>
    <x v="0"/>
    <s v="Mediabridge Sport Armband iPhone 5s"/>
    <n v="23.975999999999999"/>
    <n v="3"/>
    <n v="-5.6943000000000001"/>
    <x v="6"/>
    <x v="3"/>
    <x v="9"/>
    <n v="-0.23749999999999999"/>
  </r>
  <r>
    <s v="CA-2017-117821"/>
    <x v="576"/>
    <d v="2017-06-16T00:00:00"/>
    <x v="0"/>
    <s v="HG-15025"/>
    <s v="Hunter Glantz"/>
    <x v="0"/>
    <s v="United States"/>
    <x v="142"/>
    <x v="9"/>
    <x v="2"/>
    <s v="TEC-AC-10004469"/>
    <x v="0"/>
    <x v="1"/>
    <s v="Microsoft Sculpt Comfort Mouse"/>
    <n v="63.92"/>
    <n v="2"/>
    <n v="19.175999999999998"/>
    <x v="1"/>
    <x v="3"/>
    <x v="0"/>
    <n v="0.3"/>
  </r>
  <r>
    <s v="CA-2017-164378"/>
    <x v="577"/>
    <d v="2017-07-18T00:00:00"/>
    <x v="1"/>
    <s v="MM-18055"/>
    <s v="Michelle Moray"/>
    <x v="0"/>
    <s v="United States"/>
    <x v="7"/>
    <x v="5"/>
    <x v="2"/>
    <s v="TEC-AC-10004708"/>
    <x v="0"/>
    <x v="1"/>
    <s v="Sony 32GB Class 10 Micro SDHC R40 Memory Card"/>
    <n v="41.9"/>
    <n v="2"/>
    <n v="8.7989999999999995"/>
    <x v="6"/>
    <x v="3"/>
    <x v="10"/>
    <n v="0.21"/>
  </r>
  <r>
    <s v="CA-2017-127782"/>
    <x v="531"/>
    <d v="2017-11-06T00:00:00"/>
    <x v="0"/>
    <s v="TH-21115"/>
    <s v="Thea Hudgings"/>
    <x v="1"/>
    <s v="United States"/>
    <x v="20"/>
    <x v="12"/>
    <x v="2"/>
    <s v="TEC-PH-10001817"/>
    <x v="0"/>
    <x v="0"/>
    <s v="Wilson Electronics DB Pro Signal Booster"/>
    <n v="859.2"/>
    <n v="4"/>
    <n v="-186.16"/>
    <x v="1"/>
    <x v="3"/>
    <x v="6"/>
    <n v="-0.21666666666666701"/>
  </r>
  <r>
    <s v="US-2017-152569"/>
    <x v="135"/>
    <d v="2017-05-20T00:00:00"/>
    <x v="0"/>
    <s v="JD-16015"/>
    <s v="Joy Daniels"/>
    <x v="0"/>
    <s v="United States"/>
    <x v="11"/>
    <x v="2"/>
    <x v="1"/>
    <s v="TEC-PH-10002185"/>
    <x v="0"/>
    <x v="0"/>
    <s v="QVS USB Car Charger 2-Port 2.1Amp for iPod/iPhone/iPad/iPad 2/iPad 3"/>
    <n v="11.12"/>
    <n v="2"/>
    <n v="3.4750000000000001"/>
    <x v="0"/>
    <x v="3"/>
    <x v="11"/>
    <n v="0.3125"/>
  </r>
  <r>
    <s v="CA-2015-103177"/>
    <x v="578"/>
    <d v="2015-06-01T00:00:00"/>
    <x v="2"/>
    <s v="EN-13780"/>
    <s v="Edward Nazzal"/>
    <x v="0"/>
    <s v="United States"/>
    <x v="7"/>
    <x v="5"/>
    <x v="2"/>
    <s v="TEC-PH-10001795"/>
    <x v="0"/>
    <x v="0"/>
    <s v="RCA H5401RE1 DECT 6.0 4-Line Cordless Handset With Caller ID/Call Waiting"/>
    <n v="239.97"/>
    <n v="3"/>
    <n v="2.3997000000000002"/>
    <x v="2"/>
    <x v="2"/>
    <x v="11"/>
    <n v="0.01"/>
  </r>
  <r>
    <s v="CA-2015-103177"/>
    <x v="578"/>
    <d v="2015-06-01T00:00:00"/>
    <x v="2"/>
    <s v="EN-13780"/>
    <s v="Edward Nazzal"/>
    <x v="0"/>
    <s v="United States"/>
    <x v="7"/>
    <x v="5"/>
    <x v="2"/>
    <s v="TEC-PH-10001527"/>
    <x v="0"/>
    <x v="0"/>
    <s v="Plantronics MX500i Earset"/>
    <n v="128.85"/>
    <n v="3"/>
    <n v="3.8654999999999999"/>
    <x v="2"/>
    <x v="2"/>
    <x v="11"/>
    <n v="0.03"/>
  </r>
  <r>
    <s v="US-2016-138408"/>
    <x v="536"/>
    <d v="2016-11-21T00:00:00"/>
    <x v="1"/>
    <s v="KC-16255"/>
    <s v="Karen Carlisle"/>
    <x v="1"/>
    <s v="United States"/>
    <x v="46"/>
    <x v="20"/>
    <x v="3"/>
    <s v="TEC-AC-10003870"/>
    <x v="0"/>
    <x v="1"/>
    <s v="Logitech Z-906 Speaker sys - home theater - 5.1-CH"/>
    <n v="1319.96"/>
    <n v="4"/>
    <n v="527.98400000000004"/>
    <x v="6"/>
    <x v="1"/>
    <x v="6"/>
    <n v="0.4"/>
  </r>
  <r>
    <s v="CA-2017-117667"/>
    <x v="579"/>
    <d v="2017-12-09T00:00:00"/>
    <x v="0"/>
    <s v="MS-17980"/>
    <s v="Michael Stewart"/>
    <x v="1"/>
    <s v="United States"/>
    <x v="20"/>
    <x v="12"/>
    <x v="2"/>
    <s v="TEC-AC-10000580"/>
    <x v="0"/>
    <x v="1"/>
    <s v="Logitech G13 Programmable Gameboard with LCD Display"/>
    <n v="255.96799999999999"/>
    <n v="4"/>
    <n v="-28.796399999999998"/>
    <x v="0"/>
    <x v="3"/>
    <x v="3"/>
    <n v="-0.1125"/>
  </r>
  <r>
    <s v="CA-2015-137106"/>
    <x v="580"/>
    <d v="2015-04-04T00:00:00"/>
    <x v="0"/>
    <s v="SC-20260"/>
    <s v="Scott Cohen"/>
    <x v="1"/>
    <s v="United States"/>
    <x v="42"/>
    <x v="15"/>
    <x v="3"/>
    <s v="TEC-PH-10000011"/>
    <x v="0"/>
    <x v="0"/>
    <s v="PureGear Roll-On Screen Protector"/>
    <n v="79.959999999999994"/>
    <n v="5"/>
    <n v="27.986000000000001"/>
    <x v="1"/>
    <x v="2"/>
    <x v="5"/>
    <n v="0.35"/>
  </r>
  <r>
    <s v="CA-2017-160885"/>
    <x v="581"/>
    <d v="2017-12-06T00:00:00"/>
    <x v="0"/>
    <s v="JK-16090"/>
    <s v="Juliana Krohn"/>
    <x v="0"/>
    <s v="United States"/>
    <x v="70"/>
    <x v="25"/>
    <x v="1"/>
    <s v="TEC-PH-10001795"/>
    <x v="0"/>
    <x v="0"/>
    <s v="ClearOne CHATAttach 160 - speaker phone"/>
    <n v="2479.96"/>
    <n v="4"/>
    <n v="743.98800000000006"/>
    <x v="1"/>
    <x v="3"/>
    <x v="3"/>
    <n v="0.3"/>
  </r>
  <r>
    <s v="US-2016-167472"/>
    <x v="39"/>
    <d v="2016-06-07T00:00:00"/>
    <x v="2"/>
    <s v="CK-12595"/>
    <s v="Clytie Kelty"/>
    <x v="0"/>
    <s v="United States"/>
    <x v="140"/>
    <x v="32"/>
    <x v="3"/>
    <s v="TEC-AC-10001109"/>
    <x v="0"/>
    <x v="1"/>
    <s v="Logitech Trackman Marble Mouse"/>
    <n v="179.94"/>
    <n v="6"/>
    <n v="75.574799999999996"/>
    <x v="4"/>
    <x v="1"/>
    <x v="0"/>
    <n v="0.42"/>
  </r>
  <r>
    <s v="US-2016-167472"/>
    <x v="39"/>
    <d v="2016-06-07T00:00:00"/>
    <x v="2"/>
    <s v="CK-12595"/>
    <s v="Clytie Kelty"/>
    <x v="0"/>
    <s v="United States"/>
    <x v="140"/>
    <x v="32"/>
    <x v="3"/>
    <s v="TEC-AC-10003038"/>
    <x v="0"/>
    <x v="1"/>
    <s v="Kingston Digital DataTraveler 16GB USB 2.0"/>
    <n v="26.85"/>
    <n v="3"/>
    <n v="5.1014999999999997"/>
    <x v="4"/>
    <x v="1"/>
    <x v="0"/>
    <n v="0.19"/>
  </r>
  <r>
    <s v="US-2016-167472"/>
    <x v="39"/>
    <d v="2016-06-07T00:00:00"/>
    <x v="2"/>
    <s v="CK-12595"/>
    <s v="Clytie Kelty"/>
    <x v="0"/>
    <s v="United States"/>
    <x v="140"/>
    <x v="32"/>
    <x v="3"/>
    <s v="TEC-AC-10003174"/>
    <x v="0"/>
    <x v="1"/>
    <s v="Plantronics S12 Corded Telephone Headset System"/>
    <n v="323.37"/>
    <n v="3"/>
    <n v="129.34800000000001"/>
    <x v="4"/>
    <x v="1"/>
    <x v="0"/>
    <n v="0.4"/>
  </r>
  <r>
    <s v="CA-2017-151008"/>
    <x v="277"/>
    <d v="2017-09-08T00:00:00"/>
    <x v="2"/>
    <s v="JM-16195"/>
    <s v="Justin MacKendrick"/>
    <x v="0"/>
    <s v="United States"/>
    <x v="248"/>
    <x v="34"/>
    <x v="0"/>
    <s v="TEC-PH-10002807"/>
    <x v="0"/>
    <x v="0"/>
    <s v="Motorla HX550 Universal Bluetooth Headset"/>
    <n v="126.56"/>
    <n v="4"/>
    <n v="47.46"/>
    <x v="4"/>
    <x v="3"/>
    <x v="4"/>
    <n v="0.375"/>
  </r>
  <r>
    <s v="CA-2014-159800"/>
    <x v="582"/>
    <d v="2014-12-01T00:00:00"/>
    <x v="2"/>
    <s v="SG-20470"/>
    <s v="Sheri Gordon"/>
    <x v="0"/>
    <s v="United States"/>
    <x v="1"/>
    <x v="0"/>
    <x v="0"/>
    <s v="TEC-AC-10003447"/>
    <x v="0"/>
    <x v="1"/>
    <s v="Micropad Numeric Keypads"/>
    <n v="139.93"/>
    <n v="7"/>
    <n v="34.982500000000002"/>
    <x v="6"/>
    <x v="0"/>
    <x v="6"/>
    <n v="0.25"/>
  </r>
  <r>
    <s v="US-2014-159618"/>
    <x v="583"/>
    <d v="2014-11-16T00:00:00"/>
    <x v="0"/>
    <s v="DB-12970"/>
    <s v="Darren Budd"/>
    <x v="1"/>
    <s v="United States"/>
    <x v="3"/>
    <x v="1"/>
    <x v="1"/>
    <s v="TEC-AC-10003832"/>
    <x v="0"/>
    <x v="1"/>
    <s v="Imation 16GB Mini TravelDrive USB 2.0 Flash Drive"/>
    <n v="79.512"/>
    <n v="3"/>
    <n v="20.8719"/>
    <x v="1"/>
    <x v="0"/>
    <x v="6"/>
    <n v="0.26250000000000001"/>
  </r>
  <r>
    <s v="CA-2017-133263"/>
    <x v="187"/>
    <d v="2017-04-02T00:00:00"/>
    <x v="1"/>
    <s v="JE-15610"/>
    <s v="Jim Epp"/>
    <x v="1"/>
    <s v="United States"/>
    <x v="144"/>
    <x v="31"/>
    <x v="3"/>
    <s v="TEC-CO-10001449"/>
    <x v="0"/>
    <x v="3"/>
    <s v="Hewlett Packard LaserJet 3310 Copier"/>
    <n v="2999.95"/>
    <n v="5"/>
    <n v="1439.9760000000001"/>
    <x v="2"/>
    <x v="3"/>
    <x v="5"/>
    <n v="0.48"/>
  </r>
  <r>
    <s v="CA-2017-157966"/>
    <x v="377"/>
    <d v="2017-03-13T00:00:00"/>
    <x v="3"/>
    <s v="SU-20665"/>
    <s v="Stephanie Ulpright"/>
    <x v="2"/>
    <s v="United States"/>
    <x v="11"/>
    <x v="2"/>
    <x v="1"/>
    <s v="TEC-MA-10002109"/>
    <x v="0"/>
    <x v="2"/>
    <s v="HP Officejet Pro 8600 e-All-In-One Printer, Copier, Scanner, Fax"/>
    <n v="209.98599999999999"/>
    <n v="2"/>
    <n v="8.9993999999999996"/>
    <x v="7"/>
    <x v="3"/>
    <x v="5"/>
    <n v="4.2857142857142899E-2"/>
  </r>
  <r>
    <s v="CA-2017-157966"/>
    <x v="377"/>
    <d v="2017-03-13T00:00:00"/>
    <x v="3"/>
    <s v="SU-20665"/>
    <s v="Stephanie Ulpright"/>
    <x v="2"/>
    <s v="United States"/>
    <x v="11"/>
    <x v="2"/>
    <x v="1"/>
    <s v="TEC-CO-10001449"/>
    <x v="0"/>
    <x v="3"/>
    <s v="Hewlett Packard LaserJet 3310 Copier"/>
    <n v="959.98400000000004"/>
    <n v="2"/>
    <n v="335.99439999999998"/>
    <x v="7"/>
    <x v="3"/>
    <x v="5"/>
    <n v="0.35"/>
  </r>
  <r>
    <s v="CA-2017-157966"/>
    <x v="377"/>
    <d v="2017-03-13T00:00:00"/>
    <x v="3"/>
    <s v="SU-20665"/>
    <s v="Stephanie Ulpright"/>
    <x v="2"/>
    <s v="United States"/>
    <x v="11"/>
    <x v="2"/>
    <x v="1"/>
    <s v="TEC-PH-10001527"/>
    <x v="0"/>
    <x v="0"/>
    <s v="Plantronics MX500i Earset"/>
    <n v="34.36"/>
    <n v="1"/>
    <n v="-7.3014999999999999"/>
    <x v="7"/>
    <x v="3"/>
    <x v="5"/>
    <n v="-0.21249999999999999"/>
  </r>
  <r>
    <s v="CA-2014-151162"/>
    <x v="11"/>
    <d v="2014-12-09T00:00:00"/>
    <x v="0"/>
    <s v="EA-14035"/>
    <s v="Erin Ashbrook"/>
    <x v="1"/>
    <s v="United States"/>
    <x v="16"/>
    <x v="9"/>
    <x v="2"/>
    <s v="TEC-PH-10001870"/>
    <x v="0"/>
    <x v="0"/>
    <s v="Lunatik TT5L-002 Taktik Strike Impact Protection System for iPhone 5"/>
    <n v="36.738"/>
    <n v="1"/>
    <n v="-9.1844999999999999"/>
    <x v="1"/>
    <x v="0"/>
    <x v="3"/>
    <n v="-0.25"/>
  </r>
  <r>
    <s v="CA-2014-151162"/>
    <x v="11"/>
    <d v="2014-12-09T00:00:00"/>
    <x v="0"/>
    <s v="EA-14035"/>
    <s v="Erin Ashbrook"/>
    <x v="1"/>
    <s v="United States"/>
    <x v="16"/>
    <x v="9"/>
    <x v="2"/>
    <s v="TEC-PH-10001809"/>
    <x v="0"/>
    <x v="0"/>
    <s v="Panasonic KX T7736-B Digital phone"/>
    <n v="179.94"/>
    <n v="2"/>
    <n v="-44.984999999999999"/>
    <x v="1"/>
    <x v="0"/>
    <x v="3"/>
    <n v="-0.25"/>
  </r>
  <r>
    <s v="CA-2017-105333"/>
    <x v="449"/>
    <d v="2017-12-04T00:00:00"/>
    <x v="0"/>
    <s v="VP-21730"/>
    <s v="Victor Preis"/>
    <x v="2"/>
    <s v="United States"/>
    <x v="7"/>
    <x v="5"/>
    <x v="2"/>
    <s v="TEC-PH-10001468"/>
    <x v="0"/>
    <x v="0"/>
    <s v="Panasonic Business Telephones KX-T7736"/>
    <n v="546.05999999999995"/>
    <n v="3"/>
    <n v="163.81800000000001"/>
    <x v="1"/>
    <x v="3"/>
    <x v="6"/>
    <n v="0.3"/>
  </r>
  <r>
    <s v="CA-2017-160325"/>
    <x v="92"/>
    <d v="2017-09-24T00:00:00"/>
    <x v="3"/>
    <s v="BP-11095"/>
    <s v="Bart Pistole"/>
    <x v="1"/>
    <s v="United States"/>
    <x v="200"/>
    <x v="35"/>
    <x v="2"/>
    <s v="TEC-PH-10000984"/>
    <x v="0"/>
    <x v="0"/>
    <s v="Panasonic KX-TG9471B"/>
    <n v="391.98"/>
    <n v="2"/>
    <n v="109.7544"/>
    <x v="7"/>
    <x v="3"/>
    <x v="4"/>
    <n v="0.28000000000000003"/>
  </r>
  <r>
    <s v="CA-2017-160325"/>
    <x v="92"/>
    <d v="2017-09-24T00:00:00"/>
    <x v="3"/>
    <s v="BP-11095"/>
    <s v="Bart Pistole"/>
    <x v="1"/>
    <s v="United States"/>
    <x v="200"/>
    <x v="35"/>
    <x v="2"/>
    <s v="TEC-PH-10001944"/>
    <x v="0"/>
    <x v="0"/>
    <s v="Wi-Ex zBoost YX540 Cellular Phone Signal Booster"/>
    <n v="437.85"/>
    <n v="3"/>
    <n v="131.35499999999999"/>
    <x v="7"/>
    <x v="3"/>
    <x v="4"/>
    <n v="0.3"/>
  </r>
  <r>
    <s v="CA-2014-108903"/>
    <x v="584"/>
    <d v="2014-10-03T00:00:00"/>
    <x v="3"/>
    <s v="DO-13435"/>
    <s v="Denny Ordway"/>
    <x v="0"/>
    <s v="United States"/>
    <x v="16"/>
    <x v="9"/>
    <x v="2"/>
    <s v="TEC-AC-10003023"/>
    <x v="0"/>
    <x v="1"/>
    <s v="Logitech G105 Gaming Keyboard"/>
    <n v="142.488"/>
    <n v="3"/>
    <n v="-3.5621999999999998"/>
    <x v="7"/>
    <x v="0"/>
    <x v="7"/>
    <n v="-2.5000000000000001E-2"/>
  </r>
  <r>
    <s v="CA-2017-117198"/>
    <x v="539"/>
    <d v="2017-09-05T00:00:00"/>
    <x v="0"/>
    <s v="BG-11035"/>
    <s v="Barry Gonzalez"/>
    <x v="0"/>
    <s v="United States"/>
    <x v="23"/>
    <x v="13"/>
    <x v="3"/>
    <s v="TEC-AC-10003033"/>
    <x v="0"/>
    <x v="1"/>
    <s v="Plantronics CS510 - Over-the-Head monaural Wireless Headset System"/>
    <n v="659.9"/>
    <n v="2"/>
    <n v="217.767"/>
    <x v="0"/>
    <x v="3"/>
    <x v="1"/>
    <n v="0.33"/>
  </r>
  <r>
    <s v="CA-2015-145828"/>
    <x v="585"/>
    <d v="2015-10-07T00:00:00"/>
    <x v="2"/>
    <s v="MB-17305"/>
    <s v="Maria Bertelson"/>
    <x v="0"/>
    <s v="United States"/>
    <x v="96"/>
    <x v="9"/>
    <x v="2"/>
    <s v="TEC-AC-10002323"/>
    <x v="0"/>
    <x v="1"/>
    <s v="SanDisk Ultra 32 GB MicroSDHC Class 10 Memory Card"/>
    <n v="53.04"/>
    <n v="3"/>
    <n v="-4.641"/>
    <x v="2"/>
    <x v="2"/>
    <x v="7"/>
    <n v="-8.7499999999999994E-2"/>
  </r>
  <r>
    <s v="CA-2017-121027"/>
    <x v="91"/>
    <d v="2017-08-22T00:00:00"/>
    <x v="0"/>
    <s v="HW-14935"/>
    <s v="Helen Wasserman"/>
    <x v="1"/>
    <s v="United States"/>
    <x v="45"/>
    <x v="17"/>
    <x v="0"/>
    <s v="TEC-AC-10002049"/>
    <x v="0"/>
    <x v="1"/>
    <s v="Plantronics Savi W720 Multi-Device Wireless Headset System"/>
    <n v="843.9"/>
    <n v="2"/>
    <n v="371.31599999999997"/>
    <x v="1"/>
    <x v="3"/>
    <x v="1"/>
    <n v="0.44"/>
  </r>
  <r>
    <s v="CA-2017-121027"/>
    <x v="91"/>
    <d v="2017-08-22T00:00:00"/>
    <x v="0"/>
    <s v="HW-14935"/>
    <s v="Helen Wasserman"/>
    <x v="1"/>
    <s v="United States"/>
    <x v="45"/>
    <x v="17"/>
    <x v="0"/>
    <s v="TEC-AC-10002253"/>
    <x v="0"/>
    <x v="1"/>
    <s v="Imation Bio 8GB USB Flash Drive Imation Corp"/>
    <n v="1496.16"/>
    <n v="9"/>
    <n v="224.42400000000001"/>
    <x v="1"/>
    <x v="3"/>
    <x v="1"/>
    <n v="0.15"/>
  </r>
  <r>
    <s v="US-2016-124163"/>
    <x v="586"/>
    <d v="2016-09-30T00:00:00"/>
    <x v="0"/>
    <s v="SC-20695"/>
    <s v="Steve Chapman"/>
    <x v="1"/>
    <s v="United States"/>
    <x v="249"/>
    <x v="10"/>
    <x v="1"/>
    <s v="TEC-AC-10001908"/>
    <x v="0"/>
    <x v="1"/>
    <s v="Logitech Wireless Headset h800"/>
    <n v="499.95"/>
    <n v="5"/>
    <n v="174.98249999999999"/>
    <x v="0"/>
    <x v="1"/>
    <x v="4"/>
    <n v="0.35"/>
  </r>
  <r>
    <s v="CA-2016-121748"/>
    <x v="587"/>
    <d v="2016-10-28T00:00:00"/>
    <x v="1"/>
    <s v="VW-21775"/>
    <s v="Victoria Wilson"/>
    <x v="1"/>
    <s v="United States"/>
    <x v="0"/>
    <x v="0"/>
    <x v="0"/>
    <s v="TEC-AC-10003063"/>
    <x v="0"/>
    <x v="1"/>
    <s v="Micro Innovations USB RF Wireless Keyboard with Mouse"/>
    <n v="100"/>
    <n v="4"/>
    <n v="21"/>
    <x v="1"/>
    <x v="1"/>
    <x v="7"/>
    <n v="0.21"/>
  </r>
  <r>
    <s v="CA-2016-121748"/>
    <x v="587"/>
    <d v="2016-10-28T00:00:00"/>
    <x v="1"/>
    <s v="VW-21775"/>
    <s v="Victoria Wilson"/>
    <x v="1"/>
    <s v="United States"/>
    <x v="0"/>
    <x v="0"/>
    <x v="0"/>
    <s v="TEC-AC-10002637"/>
    <x v="0"/>
    <x v="1"/>
    <s v="Logitech VX Revolution Cordless Laser Mouse for Notebooks (Black)"/>
    <n v="359.98"/>
    <n v="2"/>
    <n v="21.598800000000001"/>
    <x v="1"/>
    <x v="1"/>
    <x v="7"/>
    <n v="0.06"/>
  </r>
  <r>
    <s v="CA-2014-127614"/>
    <x v="588"/>
    <d v="2014-02-15T00:00:00"/>
    <x v="0"/>
    <s v="NF-18385"/>
    <s v="Natalie Fritzler"/>
    <x v="0"/>
    <s v="United States"/>
    <x v="134"/>
    <x v="23"/>
    <x v="3"/>
    <s v="TEC-AC-10001432"/>
    <x v="0"/>
    <x v="1"/>
    <s v="Enermax Aurora Lite Keyboard"/>
    <n v="234.45"/>
    <n v="3"/>
    <n v="103.158"/>
    <x v="1"/>
    <x v="0"/>
    <x v="8"/>
    <n v="0.44"/>
  </r>
  <r>
    <s v="CA-2017-123022"/>
    <x v="589"/>
    <d v="2017-09-08T00:00:00"/>
    <x v="0"/>
    <s v="SC-20050"/>
    <s v="Sample Company A"/>
    <x v="2"/>
    <s v="United States"/>
    <x v="250"/>
    <x v="0"/>
    <x v="0"/>
    <s v="TEC-AC-10000474"/>
    <x v="0"/>
    <x v="1"/>
    <s v="Kensington Expert Mouse Optical USB Trackball for PC or Mac"/>
    <n v="284.97000000000003"/>
    <n v="3"/>
    <n v="85.491"/>
    <x v="0"/>
    <x v="3"/>
    <x v="4"/>
    <n v="0.3"/>
  </r>
  <r>
    <s v="CA-2016-145261"/>
    <x v="546"/>
    <d v="2016-12-21T00:00:00"/>
    <x v="2"/>
    <s v="AH-10120"/>
    <s v="Adrian Hane"/>
    <x v="2"/>
    <s v="United States"/>
    <x v="53"/>
    <x v="16"/>
    <x v="0"/>
    <s v="TEC-AC-10000991"/>
    <x v="0"/>
    <x v="1"/>
    <s v="Sony Micro Vault Click 8 GB USB 2.0 Flash Drive"/>
    <n v="112.776"/>
    <n v="3"/>
    <n v="-8.4581999999999997"/>
    <x v="6"/>
    <x v="1"/>
    <x v="3"/>
    <n v="-7.4999999999999997E-2"/>
  </r>
  <r>
    <s v="CA-2016-145261"/>
    <x v="546"/>
    <d v="2016-12-21T00:00:00"/>
    <x v="2"/>
    <s v="AH-10120"/>
    <s v="Adrian Hane"/>
    <x v="2"/>
    <s v="United States"/>
    <x v="53"/>
    <x v="16"/>
    <x v="0"/>
    <s v="TEC-PH-10004833"/>
    <x v="0"/>
    <x v="0"/>
    <s v="Macally Suction Cup Mount"/>
    <n v="28.68"/>
    <n v="3"/>
    <n v="-7.17"/>
    <x v="6"/>
    <x v="1"/>
    <x v="3"/>
    <n v="-0.25"/>
  </r>
  <r>
    <s v="CA-2016-142405"/>
    <x v="353"/>
    <d v="2016-06-15T00:00:00"/>
    <x v="0"/>
    <s v="SE-20110"/>
    <s v="Sanjit Engle"/>
    <x v="0"/>
    <s v="United States"/>
    <x v="45"/>
    <x v="17"/>
    <x v="0"/>
    <s v="TEC-AC-10003095"/>
    <x v="0"/>
    <x v="1"/>
    <s v="Logitech G35 7.1-Channel Surround Sound Headset"/>
    <n v="389.97"/>
    <n v="3"/>
    <n v="132.5898"/>
    <x v="1"/>
    <x v="1"/>
    <x v="0"/>
    <n v="0.34"/>
  </r>
  <r>
    <s v="CA-2015-141012"/>
    <x v="590"/>
    <d v="2015-06-11T00:00:00"/>
    <x v="1"/>
    <s v="TG-21640"/>
    <s v="Trudy Glocke"/>
    <x v="0"/>
    <s v="United States"/>
    <x v="251"/>
    <x v="45"/>
    <x v="0"/>
    <s v="TEC-PH-10004522"/>
    <x v="0"/>
    <x v="0"/>
    <s v="Dexim XPower Skin Super-Thin Power Case for iPhone 5 - Black"/>
    <n v="140.376"/>
    <n v="3"/>
    <n v="8.7735000000000003"/>
    <x v="2"/>
    <x v="2"/>
    <x v="0"/>
    <n v="6.25E-2"/>
  </r>
  <r>
    <s v="CA-2014-135993"/>
    <x v="591"/>
    <d v="2014-06-02T00:00:00"/>
    <x v="0"/>
    <s v="PJ-18835"/>
    <s v="Patrick Jones"/>
    <x v="1"/>
    <s v="United States"/>
    <x v="45"/>
    <x v="17"/>
    <x v="0"/>
    <s v="TEC-PH-10001552"/>
    <x v="0"/>
    <x v="0"/>
    <s v="I Need's 3d Hello Kitty Hybrid Silicone Case Cover for HTC One X 4g with 3d Hello Kitty Stylus Pen Green/pink"/>
    <n v="57.408000000000001"/>
    <n v="6"/>
    <n v="5.7408000000000001"/>
    <x v="0"/>
    <x v="0"/>
    <x v="11"/>
    <n v="0.1"/>
  </r>
  <r>
    <s v="CA-2014-135993"/>
    <x v="591"/>
    <d v="2014-06-02T00:00:00"/>
    <x v="0"/>
    <s v="PJ-18835"/>
    <s v="Patrick Jones"/>
    <x v="1"/>
    <s v="United States"/>
    <x v="45"/>
    <x v="17"/>
    <x v="0"/>
    <s v="TEC-AC-10004877"/>
    <x v="0"/>
    <x v="1"/>
    <s v="Imation 30456 USB Flash Drive 8GB"/>
    <n v="27.6"/>
    <n v="4"/>
    <n v="2.2080000000000002"/>
    <x v="0"/>
    <x v="0"/>
    <x v="11"/>
    <n v="0.08"/>
  </r>
  <r>
    <s v="CA-2014-164315"/>
    <x v="592"/>
    <d v="2014-04-08T00:00:00"/>
    <x v="0"/>
    <s v="RD-19585"/>
    <s v="Rob Dowd"/>
    <x v="0"/>
    <s v="United States"/>
    <x v="252"/>
    <x v="31"/>
    <x v="3"/>
    <s v="TEC-PH-10001128"/>
    <x v="0"/>
    <x v="0"/>
    <s v="Motorola Droid Maxx"/>
    <n v="1049.93"/>
    <n v="7"/>
    <n v="293.98039999999997"/>
    <x v="3"/>
    <x v="0"/>
    <x v="9"/>
    <n v="0.28000000000000003"/>
  </r>
  <r>
    <s v="US-2015-138093"/>
    <x v="470"/>
    <d v="2015-12-16T00:00:00"/>
    <x v="0"/>
    <s v="KM-16225"/>
    <s v="Kalyca Meade"/>
    <x v="1"/>
    <s v="United States"/>
    <x v="212"/>
    <x v="33"/>
    <x v="2"/>
    <s v="TEC-PH-10004667"/>
    <x v="0"/>
    <x v="0"/>
    <s v="Cisco 8x8 Inc. 6753i IP Business Phone System"/>
    <n v="134.99"/>
    <n v="1"/>
    <n v="36.447299999999998"/>
    <x v="3"/>
    <x v="2"/>
    <x v="3"/>
    <n v="0.27"/>
  </r>
  <r>
    <s v="CA-2016-125661"/>
    <x v="195"/>
    <d v="2016-11-26T00:00:00"/>
    <x v="2"/>
    <s v="CA-12055"/>
    <s v="Cathy Armstrong"/>
    <x v="2"/>
    <s v="United States"/>
    <x v="118"/>
    <x v="9"/>
    <x v="2"/>
    <s v="TEC-AC-10004855"/>
    <x v="0"/>
    <x v="1"/>
    <s v="V7 USB Numeric Keypad"/>
    <n v="139.96"/>
    <n v="5"/>
    <n v="-22.743500000000001"/>
    <x v="2"/>
    <x v="1"/>
    <x v="6"/>
    <n v="-0.16250000000000001"/>
  </r>
  <r>
    <s v="US-2014-123519"/>
    <x v="264"/>
    <d v="2014-12-21T00:00:00"/>
    <x v="0"/>
    <s v="SS-20875"/>
    <s v="Sung Shariari"/>
    <x v="0"/>
    <s v="United States"/>
    <x v="142"/>
    <x v="9"/>
    <x v="2"/>
    <s v="TEC-AC-10003033"/>
    <x v="0"/>
    <x v="1"/>
    <s v="Plantronics CS510 - Over-the-Head monaural Wireless Headset System"/>
    <n v="263.95999999999998"/>
    <n v="1"/>
    <n v="42.893500000000003"/>
    <x v="5"/>
    <x v="0"/>
    <x v="3"/>
    <n v="0.16250000000000001"/>
  </r>
  <r>
    <s v="US-2015-160857"/>
    <x v="551"/>
    <d v="2015-05-15T00:00:00"/>
    <x v="0"/>
    <s v="NW-18400"/>
    <s v="Natalie Webber"/>
    <x v="0"/>
    <s v="United States"/>
    <x v="7"/>
    <x v="5"/>
    <x v="2"/>
    <s v="TEC-CO-10004115"/>
    <x v="0"/>
    <x v="3"/>
    <s v="Sharp AL-1530CS Digital Copier"/>
    <n v="2799.944"/>
    <n v="7"/>
    <n v="1014.9797"/>
    <x v="5"/>
    <x v="2"/>
    <x v="11"/>
    <n v="0.36249999999999999"/>
  </r>
  <r>
    <s v="CA-2017-115805"/>
    <x v="451"/>
    <d v="2017-07-31T00:00:00"/>
    <x v="3"/>
    <s v="KW-16435"/>
    <s v="Katrina Willman"/>
    <x v="0"/>
    <s v="United States"/>
    <x v="11"/>
    <x v="2"/>
    <x v="1"/>
    <s v="TEC-PH-10003092"/>
    <x v="0"/>
    <x v="0"/>
    <s v="Motorola L804"/>
    <n v="36.792000000000002"/>
    <n v="1"/>
    <n v="4.1391"/>
    <x v="7"/>
    <x v="3"/>
    <x v="10"/>
    <n v="0.1125"/>
  </r>
  <r>
    <s v="US-2014-143707"/>
    <x v="593"/>
    <d v="2014-03-05T00:00:00"/>
    <x v="0"/>
    <s v="HR-14770"/>
    <s v="Hallie Redmond"/>
    <x v="2"/>
    <s v="United States"/>
    <x v="7"/>
    <x v="5"/>
    <x v="2"/>
    <s v="TEC-PH-10003655"/>
    <x v="0"/>
    <x v="0"/>
    <s v="Sannysis Cute Owl Design Soft Skin Case Cover for Samsung Galaxy S4"/>
    <n v="5.94"/>
    <n v="3"/>
    <n v="1.6037999999999999"/>
    <x v="1"/>
    <x v="0"/>
    <x v="5"/>
    <n v="0.27"/>
  </r>
  <r>
    <s v="CA-2015-124107"/>
    <x v="316"/>
    <d v="2015-10-12T00:00:00"/>
    <x v="1"/>
    <s v="BM-11650"/>
    <s v="Brian Moss"/>
    <x v="1"/>
    <s v="United States"/>
    <x v="253"/>
    <x v="14"/>
    <x v="1"/>
    <s v="TEC-AC-10002049"/>
    <x v="0"/>
    <x v="1"/>
    <s v="Logitech G19 Programmable Gaming Keyboard"/>
    <n v="619.95000000000005"/>
    <n v="5"/>
    <n v="111.59099999999999"/>
    <x v="6"/>
    <x v="2"/>
    <x v="7"/>
    <n v="0.18"/>
  </r>
  <r>
    <s v="CA-2015-124107"/>
    <x v="316"/>
    <d v="2015-10-12T00:00:00"/>
    <x v="1"/>
    <s v="BM-11650"/>
    <s v="Brian Moss"/>
    <x v="1"/>
    <s v="United States"/>
    <x v="253"/>
    <x v="14"/>
    <x v="1"/>
    <s v="TEC-PH-10003875"/>
    <x v="0"/>
    <x v="0"/>
    <s v="KLD Oscar II Style Snap-on Ultra Thin Side Flip Synthetic Leather Cover Case for HTC One HTC M7"/>
    <n v="29.16"/>
    <n v="3"/>
    <n v="8.4564000000000004"/>
    <x v="6"/>
    <x v="2"/>
    <x v="7"/>
    <n v="0.28999999999999998"/>
  </r>
  <r>
    <s v="CA-2015-138674"/>
    <x v="305"/>
    <d v="2015-11-17T00:00:00"/>
    <x v="2"/>
    <s v="KB-16585"/>
    <s v="Ken Black"/>
    <x v="1"/>
    <s v="United States"/>
    <x v="84"/>
    <x v="16"/>
    <x v="0"/>
    <s v="TEC-AC-10000358"/>
    <x v="0"/>
    <x v="1"/>
    <s v="Imation Secure Drive + Hardware Encrypted USB flash drive - 16 GB"/>
    <n v="91.176000000000002"/>
    <n v="3"/>
    <n v="4.5587999999999997"/>
    <x v="6"/>
    <x v="2"/>
    <x v="6"/>
    <n v="0.05"/>
  </r>
  <r>
    <s v="CA-2015-138674"/>
    <x v="305"/>
    <d v="2015-11-17T00:00:00"/>
    <x v="2"/>
    <s v="KB-16585"/>
    <s v="Ken Black"/>
    <x v="1"/>
    <s v="United States"/>
    <x v="84"/>
    <x v="16"/>
    <x v="0"/>
    <s v="TEC-AC-10002800"/>
    <x v="0"/>
    <x v="1"/>
    <s v="Plantronics Audio 478 Stereo USB Headset"/>
    <n v="159.96799999999999"/>
    <n v="4"/>
    <n v="29.994"/>
    <x v="6"/>
    <x v="2"/>
    <x v="6"/>
    <n v="0.1875"/>
  </r>
  <r>
    <s v="CA-2015-103933"/>
    <x v="231"/>
    <d v="2015-09-27T00:00:00"/>
    <x v="2"/>
    <s v="DR-12880"/>
    <s v="Dan Reichenbach"/>
    <x v="1"/>
    <s v="United States"/>
    <x v="7"/>
    <x v="5"/>
    <x v="2"/>
    <s v="TEC-AC-10004171"/>
    <x v="0"/>
    <x v="1"/>
    <s v="Razer Kraken 7.1 Surround Sound Over Ear USB Gaming Headset"/>
    <n v="899.91"/>
    <n v="9"/>
    <n v="395.96039999999999"/>
    <x v="2"/>
    <x v="2"/>
    <x v="4"/>
    <n v="0.44"/>
  </r>
  <r>
    <s v="CA-2015-110548"/>
    <x v="594"/>
    <d v="2015-05-08T00:00:00"/>
    <x v="0"/>
    <s v="AH-10690"/>
    <s v="Anna Häberlin"/>
    <x v="1"/>
    <s v="United States"/>
    <x v="3"/>
    <x v="1"/>
    <x v="1"/>
    <s v="TEC-PH-10002922"/>
    <x v="0"/>
    <x v="0"/>
    <s v="ShoreTel ShorePhone IP 230 VoIP phone"/>
    <n v="946.34400000000005"/>
    <n v="7"/>
    <n v="118.29300000000001"/>
    <x v="1"/>
    <x v="2"/>
    <x v="11"/>
    <n v="0.125"/>
  </r>
  <r>
    <s v="CA-2017-117324"/>
    <x v="59"/>
    <d v="2017-12-13T00:00:00"/>
    <x v="0"/>
    <s v="JP-15520"/>
    <s v="Jeremy Pistek"/>
    <x v="0"/>
    <s v="United States"/>
    <x v="254"/>
    <x v="10"/>
    <x v="1"/>
    <s v="TEC-AC-10003023"/>
    <x v="0"/>
    <x v="1"/>
    <s v="Logitech G105 Gaming Keyboard"/>
    <n v="178.11"/>
    <n v="3"/>
    <n v="32.059800000000003"/>
    <x v="0"/>
    <x v="3"/>
    <x v="3"/>
    <n v="0.18"/>
  </r>
  <r>
    <s v="US-2017-147886"/>
    <x v="595"/>
    <d v="2017-03-31T00:00:00"/>
    <x v="2"/>
    <s v="DH-13075"/>
    <s v="Dave Hallsten"/>
    <x v="1"/>
    <s v="United States"/>
    <x v="141"/>
    <x v="0"/>
    <x v="0"/>
    <s v="TEC-MA-10004679"/>
    <x v="0"/>
    <x v="2"/>
    <s v="StarTech.com 10/100 VDSL2 Ethernet Extender Kit"/>
    <n v="532.72"/>
    <n v="2"/>
    <n v="53.271999999999998"/>
    <x v="6"/>
    <x v="3"/>
    <x v="5"/>
    <n v="0.1"/>
  </r>
  <r>
    <s v="CA-2016-113733"/>
    <x v="3"/>
    <d v="2016-12-12T00:00:00"/>
    <x v="0"/>
    <s v="LH-16900"/>
    <s v="Lena Hernandez"/>
    <x v="0"/>
    <s v="United States"/>
    <x v="255"/>
    <x v="8"/>
    <x v="3"/>
    <s v="TEC-PH-10002496"/>
    <x v="0"/>
    <x v="0"/>
    <s v="Cisco SPA301"/>
    <n v="249.584"/>
    <n v="2"/>
    <n v="31.198"/>
    <x v="1"/>
    <x v="1"/>
    <x v="3"/>
    <n v="0.125"/>
  </r>
  <r>
    <s v="CA-2016-113733"/>
    <x v="3"/>
    <d v="2016-12-12T00:00:00"/>
    <x v="0"/>
    <s v="LH-16900"/>
    <s v="Lena Hernandez"/>
    <x v="0"/>
    <s v="United States"/>
    <x v="255"/>
    <x v="8"/>
    <x v="3"/>
    <s v="TEC-AC-10002473"/>
    <x v="0"/>
    <x v="1"/>
    <s v="Maxell 4.7GB DVD-R"/>
    <n v="68.111999999999995"/>
    <n v="3"/>
    <n v="17.8794"/>
    <x v="1"/>
    <x v="1"/>
    <x v="3"/>
    <n v="0.26250000000000001"/>
  </r>
  <r>
    <s v="CA-2016-113733"/>
    <x v="3"/>
    <d v="2016-12-12T00:00:00"/>
    <x v="0"/>
    <s v="LH-16900"/>
    <s v="Lena Hernandez"/>
    <x v="0"/>
    <s v="United States"/>
    <x v="255"/>
    <x v="8"/>
    <x v="3"/>
    <s v="TEC-AC-10004877"/>
    <x v="0"/>
    <x v="1"/>
    <s v="Imation 30456 USB Flash Drive 8GB"/>
    <n v="16.559999999999999"/>
    <n v="3"/>
    <n v="-2.484"/>
    <x v="1"/>
    <x v="1"/>
    <x v="3"/>
    <n v="-0.15"/>
  </r>
  <r>
    <s v="CA-2017-104913"/>
    <x v="225"/>
    <d v="2017-11-22T00:00:00"/>
    <x v="0"/>
    <s v="DK-13090"/>
    <s v="Dave Kipp"/>
    <x v="0"/>
    <s v="United States"/>
    <x v="113"/>
    <x v="5"/>
    <x v="2"/>
    <s v="TEC-PH-10000923"/>
    <x v="0"/>
    <x v="0"/>
    <s v="Belkin SportFit Armband For iPhone 5s/5c, Fuchsia"/>
    <n v="74.95"/>
    <n v="5"/>
    <n v="36.725499999999997"/>
    <x v="1"/>
    <x v="3"/>
    <x v="6"/>
    <n v="0.49"/>
  </r>
  <r>
    <s v="CA-2014-163748"/>
    <x v="596"/>
    <d v="2014-10-18T00:00:00"/>
    <x v="0"/>
    <s v="HG-15025"/>
    <s v="Hunter Glantz"/>
    <x v="0"/>
    <s v="United States"/>
    <x v="51"/>
    <x v="1"/>
    <x v="1"/>
    <s v="TEC-CO-10002095"/>
    <x v="0"/>
    <x v="3"/>
    <s v="Hewlett Packard 610 Color Digital Copier / Printer"/>
    <n v="1999.96"/>
    <n v="5"/>
    <n v="624.98749999999995"/>
    <x v="1"/>
    <x v="0"/>
    <x v="7"/>
    <n v="0.3125"/>
  </r>
  <r>
    <s v="CA-2015-149300"/>
    <x v="351"/>
    <d v="2015-11-23T00:00:00"/>
    <x v="2"/>
    <s v="BH-11710"/>
    <s v="Brosina Hoffman"/>
    <x v="0"/>
    <s v="United States"/>
    <x v="256"/>
    <x v="15"/>
    <x v="3"/>
    <s v="TEC-MA-10000423"/>
    <x v="0"/>
    <x v="2"/>
    <s v="Texas Instruments TI-34 Scientific Calculator"/>
    <n v="32.984999999999999"/>
    <n v="3"/>
    <n v="-1.9791000000000001"/>
    <x v="4"/>
    <x v="2"/>
    <x v="6"/>
    <n v="-0.06"/>
  </r>
  <r>
    <s v="US-2014-126340"/>
    <x v="597"/>
    <d v="2014-11-14T00:00:00"/>
    <x v="0"/>
    <s v="EB-13870"/>
    <s v="Emily Burns"/>
    <x v="0"/>
    <s v="United States"/>
    <x v="257"/>
    <x v="0"/>
    <x v="0"/>
    <s v="TEC-PH-10004447"/>
    <x v="0"/>
    <x v="0"/>
    <s v="Toshiba IPT2010-SD IP Telephone"/>
    <n v="333.57600000000002"/>
    <n v="3"/>
    <n v="25.0182"/>
    <x v="3"/>
    <x v="0"/>
    <x v="6"/>
    <n v="7.4999999999999997E-2"/>
  </r>
  <r>
    <s v="CA-2017-126396"/>
    <x v="381"/>
    <d v="2017-09-12T00:00:00"/>
    <x v="1"/>
    <s v="AR-10345"/>
    <s v="Alex Russell"/>
    <x v="1"/>
    <s v="United States"/>
    <x v="3"/>
    <x v="1"/>
    <x v="1"/>
    <s v="TEC-AC-10003116"/>
    <x v="0"/>
    <x v="1"/>
    <s v="Memorex Froggy Flash Drive 8 GB"/>
    <n v="85.2"/>
    <n v="6"/>
    <n v="20.234999999999999"/>
    <x v="1"/>
    <x v="3"/>
    <x v="4"/>
    <n v="0.23749999999999999"/>
  </r>
  <r>
    <s v="CA-2015-158939"/>
    <x v="598"/>
    <d v="2015-12-01T00:00:00"/>
    <x v="0"/>
    <s v="EA-14035"/>
    <s v="Erin Ashbrook"/>
    <x v="1"/>
    <s v="United States"/>
    <x v="84"/>
    <x v="18"/>
    <x v="1"/>
    <s v="TEC-CO-10002313"/>
    <x v="0"/>
    <x v="3"/>
    <s v="Canon PC1080F Personal Copier"/>
    <n v="599.99"/>
    <n v="1"/>
    <n v="233.99610000000001"/>
    <x v="0"/>
    <x v="2"/>
    <x v="6"/>
    <n v="0.39"/>
  </r>
  <r>
    <s v="US-2015-159513"/>
    <x v="354"/>
    <d v="2015-04-09T00:00:00"/>
    <x v="0"/>
    <s v="JD-15790"/>
    <s v="John Dryer"/>
    <x v="0"/>
    <s v="United States"/>
    <x v="0"/>
    <x v="0"/>
    <x v="0"/>
    <s v="TEC-MA-10003329"/>
    <x v="0"/>
    <x v="2"/>
    <s v="Vtech AT&amp;T CL2940 Corded Speakerphone, Black"/>
    <n v="71.975999999999999"/>
    <n v="3"/>
    <n v="24.291899999999998"/>
    <x v="5"/>
    <x v="2"/>
    <x v="9"/>
    <n v="0.33750000000000002"/>
  </r>
  <r>
    <s v="CA-2014-123225"/>
    <x v="148"/>
    <d v="2014-07-14T00:00:00"/>
    <x v="2"/>
    <s v="MN-17935"/>
    <s v="Michael Nguyen"/>
    <x v="0"/>
    <s v="United States"/>
    <x v="115"/>
    <x v="1"/>
    <x v="1"/>
    <s v="TEC-PH-10000895"/>
    <x v="0"/>
    <x v="0"/>
    <s v="Polycom VVX 310 VoIP phone"/>
    <n v="575.96799999999996"/>
    <n v="4"/>
    <n v="43.197600000000001"/>
    <x v="6"/>
    <x v="0"/>
    <x v="10"/>
    <n v="7.4999999999999997E-2"/>
  </r>
  <r>
    <s v="CA-2015-163440"/>
    <x v="76"/>
    <d v="2015-03-24T00:00:00"/>
    <x v="2"/>
    <s v="RD-19900"/>
    <s v="Ruben Dartt"/>
    <x v="0"/>
    <s v="United States"/>
    <x v="258"/>
    <x v="0"/>
    <x v="0"/>
    <s v="TEC-PH-10000376"/>
    <x v="0"/>
    <x v="0"/>
    <s v="Square Credit Card Reader"/>
    <n v="15.984"/>
    <n v="2"/>
    <n v="1.1988000000000001"/>
    <x v="2"/>
    <x v="2"/>
    <x v="5"/>
    <n v="7.4999999999999997E-2"/>
  </r>
  <r>
    <s v="US-2015-163279"/>
    <x v="76"/>
    <d v="2015-03-26T00:00:00"/>
    <x v="0"/>
    <s v="JD-16150"/>
    <s v="Justin Deggeller"/>
    <x v="1"/>
    <s v="United States"/>
    <x v="30"/>
    <x v="0"/>
    <x v="0"/>
    <s v="TEC-PH-10001795"/>
    <x v="0"/>
    <x v="0"/>
    <s v="ClearOne CHATAttach 160 - speaker phone"/>
    <n v="1487.9760000000001"/>
    <n v="3"/>
    <n v="185.99700000000001"/>
    <x v="1"/>
    <x v="2"/>
    <x v="5"/>
    <n v="0.125"/>
  </r>
  <r>
    <s v="US-2015-106495"/>
    <x v="599"/>
    <d v="2015-06-17T00:00:00"/>
    <x v="2"/>
    <s v="AC-10450"/>
    <s v="Amy Cox"/>
    <x v="0"/>
    <s v="United States"/>
    <x v="29"/>
    <x v="15"/>
    <x v="3"/>
    <s v="TEC-AC-10002718"/>
    <x v="0"/>
    <x v="1"/>
    <s v="Belkin Standard 104 key USB Keyboard"/>
    <n v="11.672000000000001"/>
    <n v="1"/>
    <n v="-0.72950000000000004"/>
    <x v="2"/>
    <x v="2"/>
    <x v="0"/>
    <n v="-6.25E-2"/>
  </r>
  <r>
    <s v="CA-2014-124730"/>
    <x v="223"/>
    <d v="2014-11-26T00:00:00"/>
    <x v="3"/>
    <s v="LS-17245"/>
    <s v="Lynn Smith"/>
    <x v="0"/>
    <s v="United States"/>
    <x v="259"/>
    <x v="5"/>
    <x v="2"/>
    <s v="TEC-PH-10002170"/>
    <x v="0"/>
    <x v="0"/>
    <s v="ClearSounds CSC500 Amplified Spirit Phone Corded phone"/>
    <n v="279.95999999999998"/>
    <n v="4"/>
    <n v="78.388800000000003"/>
    <x v="7"/>
    <x v="0"/>
    <x v="6"/>
    <n v="0.28000000000000003"/>
  </r>
  <r>
    <s v="CA-2015-111206"/>
    <x v="600"/>
    <d v="2015-07-22T00:00:00"/>
    <x v="0"/>
    <s v="RF-19735"/>
    <s v="Roland Fjeld"/>
    <x v="0"/>
    <s v="United States"/>
    <x v="30"/>
    <x v="0"/>
    <x v="0"/>
    <s v="TEC-AC-10003095"/>
    <x v="0"/>
    <x v="1"/>
    <s v="Logitech G35 7.1-Channel Surround Sound Headset"/>
    <n v="519.96"/>
    <n v="4"/>
    <n v="176.78639999999999"/>
    <x v="1"/>
    <x v="2"/>
    <x v="10"/>
    <n v="0.34"/>
  </r>
  <r>
    <s v="CA-2015-101868"/>
    <x v="590"/>
    <d v="2015-06-16T00:00:00"/>
    <x v="0"/>
    <s v="MJ-17740"/>
    <s v="Max Jones"/>
    <x v="0"/>
    <s v="United States"/>
    <x v="56"/>
    <x v="15"/>
    <x v="3"/>
    <s v="TEC-AC-10004396"/>
    <x v="0"/>
    <x v="1"/>
    <s v="Logitech Keyboard K120"/>
    <n v="72.599999999999994"/>
    <n v="5"/>
    <n v="-8.1675000000000004"/>
    <x v="5"/>
    <x v="2"/>
    <x v="0"/>
    <n v="-0.1125"/>
  </r>
  <r>
    <s v="CA-2017-133207"/>
    <x v="131"/>
    <d v="2017-12-03T00:00:00"/>
    <x v="0"/>
    <s v="DO-13645"/>
    <s v="Doug O'Connell"/>
    <x v="0"/>
    <s v="United States"/>
    <x v="0"/>
    <x v="0"/>
    <x v="0"/>
    <s v="TEC-PH-10004100"/>
    <x v="0"/>
    <x v="0"/>
    <s v="Griffin GC17055 Auxiliary Audio Cable"/>
    <n v="57.567999999999998"/>
    <n v="4"/>
    <n v="5.7568000000000001"/>
    <x v="3"/>
    <x v="3"/>
    <x v="6"/>
    <n v="0.1"/>
  </r>
  <r>
    <s v="CA-2015-126725"/>
    <x v="601"/>
    <d v="2015-11-21T00:00:00"/>
    <x v="0"/>
    <s v="BS-11665"/>
    <s v="Brian Stugart"/>
    <x v="0"/>
    <s v="United States"/>
    <x v="30"/>
    <x v="0"/>
    <x v="0"/>
    <s v="TEC-PH-10003174"/>
    <x v="0"/>
    <x v="0"/>
    <s v="RCA ViSYS 25825 Wireless digital phone"/>
    <n v="415.96800000000002"/>
    <n v="4"/>
    <n v="51.996000000000002"/>
    <x v="1"/>
    <x v="2"/>
    <x v="6"/>
    <n v="0.125"/>
  </r>
  <r>
    <s v="CA-2015-121783"/>
    <x v="40"/>
    <d v="2015-11-14T00:00:00"/>
    <x v="0"/>
    <s v="PO-19180"/>
    <s v="Philisse Overcash"/>
    <x v="2"/>
    <s v="United States"/>
    <x v="260"/>
    <x v="3"/>
    <x v="1"/>
    <s v="TEC-CO-10001571"/>
    <x v="0"/>
    <x v="3"/>
    <s v="Sharp 1540cs Digital Laser Copier"/>
    <n v="549.99"/>
    <n v="1"/>
    <n v="274.995"/>
    <x v="1"/>
    <x v="2"/>
    <x v="6"/>
    <n v="0.5"/>
  </r>
  <r>
    <s v="US-2014-109456"/>
    <x v="602"/>
    <d v="2014-10-17T00:00:00"/>
    <x v="3"/>
    <s v="LS-17245"/>
    <s v="Lynn Smith"/>
    <x v="0"/>
    <s v="United States"/>
    <x v="1"/>
    <x v="0"/>
    <x v="0"/>
    <s v="TEC-AC-10003610"/>
    <x v="0"/>
    <x v="1"/>
    <s v="Logitech Illuminated - Keyboard"/>
    <n v="179.97"/>
    <n v="3"/>
    <n v="86.385599999999997"/>
    <x v="4"/>
    <x v="0"/>
    <x v="7"/>
    <n v="0.48"/>
  </r>
  <r>
    <s v="CA-2016-146157"/>
    <x v="428"/>
    <d v="2016-11-26T00:00:00"/>
    <x v="0"/>
    <s v="RD-19720"/>
    <s v="Roger Demir"/>
    <x v="0"/>
    <s v="United States"/>
    <x v="11"/>
    <x v="2"/>
    <x v="1"/>
    <s v="TEC-AC-10003657"/>
    <x v="0"/>
    <x v="1"/>
    <s v="Lenovo 17-Key USB Numeric Keypad"/>
    <n v="81.575999999999993"/>
    <n v="3"/>
    <n v="2.0394000000000001"/>
    <x v="0"/>
    <x v="1"/>
    <x v="6"/>
    <n v="2.5000000000000001E-2"/>
  </r>
  <r>
    <s v="CA-2016-167682"/>
    <x v="603"/>
    <d v="2016-04-09T00:00:00"/>
    <x v="0"/>
    <s v="ZD-21925"/>
    <s v="Zuschuss Donatelli"/>
    <x v="0"/>
    <s v="United States"/>
    <x v="184"/>
    <x v="21"/>
    <x v="1"/>
    <s v="TEC-PH-10000673"/>
    <x v="0"/>
    <x v="0"/>
    <s v="Plantronics Voyager Pro HD - Bluetooth Headset"/>
    <n v="259.95999999999998"/>
    <n v="4"/>
    <n v="124.7808"/>
    <x v="3"/>
    <x v="1"/>
    <x v="9"/>
    <n v="0.48"/>
  </r>
  <r>
    <s v="US-2017-153948"/>
    <x v="604"/>
    <d v="2017-11-06T00:00:00"/>
    <x v="3"/>
    <s v="FM-14290"/>
    <s v="Frank Merwin"/>
    <x v="2"/>
    <s v="United States"/>
    <x v="1"/>
    <x v="0"/>
    <x v="0"/>
    <s v="TEC-AC-10003441"/>
    <x v="0"/>
    <x v="1"/>
    <s v="Kingston Digital DataTraveler 32GB USB 2.0"/>
    <n v="16.95"/>
    <n v="1"/>
    <n v="1.0169999999999999"/>
    <x v="7"/>
    <x v="3"/>
    <x v="6"/>
    <n v="0.06"/>
  </r>
  <r>
    <s v="US-2015-126977"/>
    <x v="430"/>
    <d v="2015-09-23T00:00:00"/>
    <x v="0"/>
    <s v="PF-19120"/>
    <s v="Peter Fuller"/>
    <x v="0"/>
    <s v="United States"/>
    <x v="7"/>
    <x v="5"/>
    <x v="2"/>
    <s v="TEC-PH-10002170"/>
    <x v="0"/>
    <x v="0"/>
    <s v="ClearSounds CSC500 Amplified Spirit Phone Corded phone"/>
    <n v="209.97"/>
    <n v="3"/>
    <n v="58.791600000000003"/>
    <x v="3"/>
    <x v="2"/>
    <x v="4"/>
    <n v="0.28000000000000003"/>
  </r>
  <r>
    <s v="US-2015-126977"/>
    <x v="430"/>
    <d v="2015-09-23T00:00:00"/>
    <x v="0"/>
    <s v="PF-19120"/>
    <s v="Peter Fuller"/>
    <x v="0"/>
    <s v="United States"/>
    <x v="7"/>
    <x v="5"/>
    <x v="2"/>
    <s v="TEC-AC-10003033"/>
    <x v="0"/>
    <x v="1"/>
    <s v="Plantronics CS510 - Over-the-Head monaural Wireless Headset System"/>
    <n v="659.9"/>
    <n v="2"/>
    <n v="217.767"/>
    <x v="3"/>
    <x v="2"/>
    <x v="4"/>
    <n v="0.33"/>
  </r>
  <r>
    <s v="US-2015-126977"/>
    <x v="430"/>
    <d v="2015-09-23T00:00:00"/>
    <x v="0"/>
    <s v="PF-19120"/>
    <s v="Peter Fuller"/>
    <x v="0"/>
    <s v="United States"/>
    <x v="7"/>
    <x v="5"/>
    <x v="2"/>
    <s v="TEC-PH-10000169"/>
    <x v="0"/>
    <x v="0"/>
    <s v="ARKON Windshield Dashboard Air Vent Car Mount Holder"/>
    <n v="67.8"/>
    <n v="4"/>
    <n v="1.3560000000000001"/>
    <x v="3"/>
    <x v="2"/>
    <x v="4"/>
    <n v="0.02"/>
  </r>
  <r>
    <s v="CA-2017-150420"/>
    <x v="605"/>
    <d v="2017-06-08T00:00:00"/>
    <x v="0"/>
    <s v="GD-14590"/>
    <s v="Giulietta Dortch"/>
    <x v="1"/>
    <s v="United States"/>
    <x v="261"/>
    <x v="17"/>
    <x v="0"/>
    <s v="TEC-AC-10004975"/>
    <x v="0"/>
    <x v="1"/>
    <s v="Plantronics Audio 995 Wireless Stereo Headset"/>
    <n v="1099.5"/>
    <n v="10"/>
    <n v="362.83499999999998"/>
    <x v="0"/>
    <x v="3"/>
    <x v="0"/>
    <n v="0.33"/>
  </r>
  <r>
    <s v="US-2017-169551"/>
    <x v="304"/>
    <d v="2017-07-09T00:00:00"/>
    <x v="2"/>
    <s v="RL-19615"/>
    <s v="Rob Lucas"/>
    <x v="0"/>
    <s v="United States"/>
    <x v="20"/>
    <x v="12"/>
    <x v="2"/>
    <s v="TEC-PH-10001363"/>
    <x v="0"/>
    <x v="0"/>
    <s v="Apple iPhone 5S"/>
    <n v="683.98800000000006"/>
    <n v="2"/>
    <n v="-113.998"/>
    <x v="2"/>
    <x v="3"/>
    <x v="10"/>
    <n v="-0.16666666666666699"/>
  </r>
  <r>
    <s v="US-2017-169551"/>
    <x v="304"/>
    <d v="2017-07-09T00:00:00"/>
    <x v="2"/>
    <s v="RL-19615"/>
    <s v="Rob Lucas"/>
    <x v="0"/>
    <s v="United States"/>
    <x v="20"/>
    <x v="12"/>
    <x v="2"/>
    <s v="TEC-AC-10002018"/>
    <x v="0"/>
    <x v="1"/>
    <s v="AmazonBasics 3-Button USB Wired Mouse"/>
    <n v="16.776"/>
    <n v="3"/>
    <n v="4.8231000000000002"/>
    <x v="2"/>
    <x v="3"/>
    <x v="10"/>
    <n v="0.28749999999999998"/>
  </r>
  <r>
    <s v="US-2017-169551"/>
    <x v="304"/>
    <d v="2017-07-09T00:00:00"/>
    <x v="2"/>
    <s v="RL-19615"/>
    <s v="Rob Lucas"/>
    <x v="0"/>
    <s v="United States"/>
    <x v="20"/>
    <x v="12"/>
    <x v="2"/>
    <s v="TEC-AC-10003033"/>
    <x v="0"/>
    <x v="1"/>
    <s v="Plantronics CS510 - Over-the-Head monaural Wireless Headset System"/>
    <n v="527.91999999999996"/>
    <n v="2"/>
    <n v="85.787000000000006"/>
    <x v="2"/>
    <x v="3"/>
    <x v="10"/>
    <n v="0.16250000000000001"/>
  </r>
  <r>
    <s v="CA-2016-103107"/>
    <x v="606"/>
    <d v="2016-07-04T00:00:00"/>
    <x v="3"/>
    <s v="RB-19465"/>
    <s v="Rick Bensley"/>
    <x v="2"/>
    <s v="United States"/>
    <x v="45"/>
    <x v="17"/>
    <x v="0"/>
    <s v="TEC-PH-10001198"/>
    <x v="0"/>
    <x v="0"/>
    <s v="Avaya 4621SW VoIP phone"/>
    <n v="177.48"/>
    <n v="3"/>
    <n v="19.9665"/>
    <x v="7"/>
    <x v="1"/>
    <x v="10"/>
    <n v="0.1125"/>
  </r>
  <r>
    <s v="CA-2016-103107"/>
    <x v="606"/>
    <d v="2016-07-04T00:00:00"/>
    <x v="3"/>
    <s v="RB-19465"/>
    <s v="Rick Bensley"/>
    <x v="2"/>
    <s v="United States"/>
    <x v="45"/>
    <x v="17"/>
    <x v="0"/>
    <s v="TEC-PH-10002564"/>
    <x v="0"/>
    <x v="0"/>
    <s v="OtterBox Defender Series Case - Samsung Galaxy S4"/>
    <n v="71.975999999999999"/>
    <n v="3"/>
    <n v="8.9969999999999999"/>
    <x v="7"/>
    <x v="1"/>
    <x v="10"/>
    <n v="0.125"/>
  </r>
  <r>
    <s v="CA-2017-122077"/>
    <x v="102"/>
    <d v="2017-05-25T00:00:00"/>
    <x v="0"/>
    <s v="JF-15295"/>
    <s v="Jason Fortune-"/>
    <x v="0"/>
    <s v="United States"/>
    <x v="121"/>
    <x v="1"/>
    <x v="1"/>
    <s v="TEC-PH-10003811"/>
    <x v="0"/>
    <x v="0"/>
    <s v="Jabra Supreme Plus Driver Edition Headset"/>
    <n v="95.992000000000004"/>
    <n v="1"/>
    <n v="9.5991999999999997"/>
    <x v="3"/>
    <x v="3"/>
    <x v="11"/>
    <n v="0.1"/>
  </r>
  <r>
    <s v="CA-2017-112431"/>
    <x v="307"/>
    <d v="2017-10-14T00:00:00"/>
    <x v="1"/>
    <s v="RW-19690"/>
    <s v="Robert Waldorf"/>
    <x v="0"/>
    <s v="United States"/>
    <x v="0"/>
    <x v="0"/>
    <x v="0"/>
    <s v="TEC-AC-10001465"/>
    <x v="0"/>
    <x v="1"/>
    <s v="SanDisk Cruzer 64 GB USB Flash Drive"/>
    <n v="435.84"/>
    <n v="12"/>
    <n v="130.75200000000001"/>
    <x v="2"/>
    <x v="3"/>
    <x v="7"/>
    <n v="0.3"/>
  </r>
  <r>
    <s v="CA-2016-151092"/>
    <x v="607"/>
    <d v="2016-08-13T00:00:00"/>
    <x v="0"/>
    <s v="VG-21790"/>
    <s v="Vivek Gonzalez"/>
    <x v="0"/>
    <s v="United States"/>
    <x v="0"/>
    <x v="0"/>
    <x v="0"/>
    <s v="TEC-PH-10001700"/>
    <x v="0"/>
    <x v="0"/>
    <s v="Panasonic KX-TG6844B Expandable Digital Cordless Telephone"/>
    <n v="211.16800000000001"/>
    <n v="4"/>
    <n v="18.4772"/>
    <x v="5"/>
    <x v="1"/>
    <x v="1"/>
    <n v="8.7499999999999994E-2"/>
  </r>
  <r>
    <s v="CA-2014-104178"/>
    <x v="608"/>
    <d v="2014-08-29T00:00:00"/>
    <x v="0"/>
    <s v="JM-15265"/>
    <s v="Janet Molinari"/>
    <x v="1"/>
    <s v="United States"/>
    <x v="0"/>
    <x v="0"/>
    <x v="0"/>
    <s v="TEC-AC-10002399"/>
    <x v="0"/>
    <x v="1"/>
    <s v="SanDisk Cruzer 32 GB USB Flash Drive"/>
    <n v="95.1"/>
    <n v="5"/>
    <n v="30.431999999999999"/>
    <x v="1"/>
    <x v="0"/>
    <x v="1"/>
    <n v="0.32"/>
  </r>
  <r>
    <s v="CA-2017-161046"/>
    <x v="609"/>
    <d v="2017-03-05T00:00:00"/>
    <x v="3"/>
    <s v="CB-12535"/>
    <s v="Claudia Bergmann"/>
    <x v="1"/>
    <s v="United States"/>
    <x v="145"/>
    <x v="22"/>
    <x v="3"/>
    <s v="TEC-AC-10004571"/>
    <x v="0"/>
    <x v="1"/>
    <s v="Logitech G700s Rechargeable Gaming Mouse"/>
    <n v="299.97000000000003"/>
    <n v="3"/>
    <n v="125.98739999999999"/>
    <x v="7"/>
    <x v="3"/>
    <x v="5"/>
    <n v="0.42"/>
  </r>
  <r>
    <s v="CA-2014-140732"/>
    <x v="139"/>
    <d v="2014-11-13T00:00:00"/>
    <x v="1"/>
    <s v="MA-17560"/>
    <s v="Matt Abelman"/>
    <x v="2"/>
    <s v="United States"/>
    <x v="0"/>
    <x v="0"/>
    <x v="0"/>
    <s v="TEC-PH-10001425"/>
    <x v="0"/>
    <x v="0"/>
    <s v="Mophie Juice Pack Helium for iPhone"/>
    <n v="575.928"/>
    <n v="9"/>
    <n v="57.592799999999997"/>
    <x v="2"/>
    <x v="0"/>
    <x v="6"/>
    <n v="0.1"/>
  </r>
  <r>
    <s v="CA-2017-119011"/>
    <x v="610"/>
    <d v="2017-08-25T00:00:00"/>
    <x v="0"/>
    <s v="LR-17035"/>
    <s v="Lisa Ryan"/>
    <x v="1"/>
    <s v="United States"/>
    <x v="1"/>
    <x v="0"/>
    <x v="0"/>
    <s v="TEC-PH-10003171"/>
    <x v="0"/>
    <x v="0"/>
    <s v="Plantronics Encore H101 Dual Earpieces Headset"/>
    <n v="107.88"/>
    <n v="3"/>
    <n v="10.788"/>
    <x v="0"/>
    <x v="3"/>
    <x v="1"/>
    <n v="0.1"/>
  </r>
  <r>
    <s v="CA-2017-116953"/>
    <x v="611"/>
    <d v="2017-04-25T00:00:00"/>
    <x v="2"/>
    <s v="SV-20935"/>
    <s v="Susan Vittorini"/>
    <x v="0"/>
    <s v="United States"/>
    <x v="87"/>
    <x v="6"/>
    <x v="0"/>
    <s v="TEC-PH-10004614"/>
    <x v="0"/>
    <x v="0"/>
    <s v="AT&amp;T 841000 Phone"/>
    <n v="552"/>
    <n v="10"/>
    <n v="34.5"/>
    <x v="4"/>
    <x v="3"/>
    <x v="9"/>
    <n v="6.25E-2"/>
  </r>
  <r>
    <s v="US-2017-163300"/>
    <x v="128"/>
    <d v="2017-09-21T00:00:00"/>
    <x v="0"/>
    <s v="ES-14020"/>
    <s v="Erica Smith"/>
    <x v="0"/>
    <s v="United States"/>
    <x v="0"/>
    <x v="0"/>
    <x v="0"/>
    <s v="TEC-PH-10001700"/>
    <x v="0"/>
    <x v="0"/>
    <s v="Panasonic KX-TG6844B Expandable Digital Cordless Telephone"/>
    <n v="369.54399999999998"/>
    <n v="7"/>
    <n v="32.335099999999997"/>
    <x v="3"/>
    <x v="3"/>
    <x v="4"/>
    <n v="8.7499999999999994E-2"/>
  </r>
  <r>
    <s v="CA-2017-129581"/>
    <x v="56"/>
    <d v="2017-12-18T00:00:00"/>
    <x v="0"/>
    <s v="KN-16390"/>
    <s v="Katherine Nockton"/>
    <x v="1"/>
    <s v="United States"/>
    <x v="262"/>
    <x v="35"/>
    <x v="2"/>
    <s v="TEC-PH-10001527"/>
    <x v="0"/>
    <x v="0"/>
    <s v="Plantronics MX500i Earset"/>
    <n v="128.85"/>
    <n v="3"/>
    <n v="3.8654999999999999"/>
    <x v="5"/>
    <x v="3"/>
    <x v="3"/>
    <n v="0.03"/>
  </r>
  <r>
    <s v="CA-2015-135580"/>
    <x v="612"/>
    <d v="2016-01-03T00:00:00"/>
    <x v="0"/>
    <s v="CL-12565"/>
    <s v="Clay Ludtke"/>
    <x v="0"/>
    <s v="United States"/>
    <x v="0"/>
    <x v="0"/>
    <x v="0"/>
    <s v="TEC-MA-10004002"/>
    <x v="0"/>
    <x v="2"/>
    <s v="Zebra GX420t Direct Thermal/Thermal Transfer Printer"/>
    <n v="2548.56"/>
    <n v="6"/>
    <n v="286.71300000000002"/>
    <x v="1"/>
    <x v="2"/>
    <x v="3"/>
    <n v="0.1125"/>
  </r>
  <r>
    <s v="CA-2015-135580"/>
    <x v="612"/>
    <d v="2016-01-03T00:00:00"/>
    <x v="0"/>
    <s v="CL-12565"/>
    <s v="Clay Ludtke"/>
    <x v="0"/>
    <s v="United States"/>
    <x v="0"/>
    <x v="0"/>
    <x v="0"/>
    <s v="TEC-PH-10004345"/>
    <x v="0"/>
    <x v="0"/>
    <s v="Cisco SPA 502G IP Phone"/>
    <n v="287.88"/>
    <n v="3"/>
    <n v="35.984999999999999"/>
    <x v="1"/>
    <x v="2"/>
    <x v="3"/>
    <n v="0.125"/>
  </r>
  <r>
    <s v="CA-2016-159016"/>
    <x v="478"/>
    <d v="2016-03-11T00:00:00"/>
    <x v="2"/>
    <s v="KF-16285"/>
    <s v="Karen Ferguson"/>
    <x v="2"/>
    <s v="United States"/>
    <x v="0"/>
    <x v="0"/>
    <x v="0"/>
    <s v="TEC-PH-10002885"/>
    <x v="0"/>
    <x v="0"/>
    <s v="Apple iPhone 5"/>
    <n v="4158.9120000000003"/>
    <n v="8"/>
    <n v="363.90480000000002"/>
    <x v="4"/>
    <x v="1"/>
    <x v="5"/>
    <n v="8.7499999999999994E-2"/>
  </r>
  <r>
    <s v="US-2016-156692"/>
    <x v="613"/>
    <d v="2016-08-13T00:00:00"/>
    <x v="3"/>
    <s v="HG-15025"/>
    <s v="Hunter Glantz"/>
    <x v="0"/>
    <s v="United States"/>
    <x v="263"/>
    <x v="13"/>
    <x v="3"/>
    <s v="TEC-AC-10000158"/>
    <x v="0"/>
    <x v="1"/>
    <s v="Sony 64GB Class 10 Micro SDHC R40 Memory Card"/>
    <n v="71.98"/>
    <n v="2"/>
    <n v="15.1158"/>
    <x v="7"/>
    <x v="1"/>
    <x v="1"/>
    <n v="0.21"/>
  </r>
  <r>
    <s v="US-2017-128832"/>
    <x v="611"/>
    <d v="2017-04-27T00:00:00"/>
    <x v="2"/>
    <s v="LS-16945"/>
    <s v="Linda Southworth"/>
    <x v="1"/>
    <s v="United States"/>
    <x v="227"/>
    <x v="41"/>
    <x v="2"/>
    <s v="TEC-AC-10004855"/>
    <x v="0"/>
    <x v="1"/>
    <s v="V7 USB Numeric Keypad"/>
    <n v="69.98"/>
    <n v="2"/>
    <n v="4.8986000000000001"/>
    <x v="6"/>
    <x v="3"/>
    <x v="9"/>
    <n v="7.0000000000000007E-2"/>
  </r>
  <r>
    <s v="CA-2017-136007"/>
    <x v="614"/>
    <d v="2017-03-02T00:00:00"/>
    <x v="0"/>
    <s v="AC-10615"/>
    <s v="Ann Chong"/>
    <x v="1"/>
    <s v="United States"/>
    <x v="45"/>
    <x v="17"/>
    <x v="0"/>
    <s v="TEC-PH-10003589"/>
    <x v="0"/>
    <x v="0"/>
    <s v="invisibleSHIELD by ZAGG Smudge-Free Screen Protector"/>
    <n v="71.959999999999994"/>
    <n v="5"/>
    <n v="25.186"/>
    <x v="5"/>
    <x v="3"/>
    <x v="8"/>
    <n v="0.35"/>
  </r>
  <r>
    <s v="CA-2017-122364"/>
    <x v="92"/>
    <d v="2017-09-29T00:00:00"/>
    <x v="0"/>
    <s v="FA-14230"/>
    <s v="Frank Atkinson"/>
    <x v="1"/>
    <s v="United States"/>
    <x v="0"/>
    <x v="0"/>
    <x v="0"/>
    <s v="TEC-PH-10001817"/>
    <x v="0"/>
    <x v="0"/>
    <s v="Wilson Electronics DB Pro Signal Booster"/>
    <n v="859.2"/>
    <n v="3"/>
    <n v="75.180000000000007"/>
    <x v="0"/>
    <x v="3"/>
    <x v="4"/>
    <n v="8.7499999999999994E-2"/>
  </r>
  <r>
    <s v="CA-2017-122364"/>
    <x v="92"/>
    <d v="2017-09-29T00:00:00"/>
    <x v="0"/>
    <s v="FA-14230"/>
    <s v="Frank Atkinson"/>
    <x v="1"/>
    <s v="United States"/>
    <x v="0"/>
    <x v="0"/>
    <x v="0"/>
    <s v="TEC-MA-10001031"/>
    <x v="0"/>
    <x v="2"/>
    <s v="Socket Bluetooth Cordless Hand Scanner (CHS)"/>
    <n v="506.28"/>
    <n v="3"/>
    <n v="177.19800000000001"/>
    <x v="0"/>
    <x v="3"/>
    <x v="4"/>
    <n v="0.35"/>
  </r>
  <r>
    <s v="CA-2014-138072"/>
    <x v="407"/>
    <d v="2015-01-03T00:00:00"/>
    <x v="0"/>
    <s v="GA-14725"/>
    <s v="Guy Armstrong"/>
    <x v="0"/>
    <s v="United States"/>
    <x v="20"/>
    <x v="12"/>
    <x v="2"/>
    <s v="TEC-AC-10004859"/>
    <x v="0"/>
    <x v="1"/>
    <s v="Maxell Pro 80 Minute CD-R, 10/Pack"/>
    <n v="27.968"/>
    <n v="2"/>
    <n v="6.992"/>
    <x v="1"/>
    <x v="0"/>
    <x v="3"/>
    <n v="0.25"/>
  </r>
  <r>
    <s v="CA-2015-111780"/>
    <x v="481"/>
    <d v="2015-12-30T00:00:00"/>
    <x v="1"/>
    <s v="RA-19285"/>
    <s v="Ralph Arnett"/>
    <x v="0"/>
    <s v="United States"/>
    <x v="30"/>
    <x v="0"/>
    <x v="0"/>
    <s v="TEC-CO-10004202"/>
    <x v="0"/>
    <x v="3"/>
    <s v="Brother DCP1000 Digital 3 in 1 Multifunction Machine"/>
    <n v="1199.96"/>
    <n v="5"/>
    <n v="224.99250000000001"/>
    <x v="0"/>
    <x v="2"/>
    <x v="3"/>
    <n v="0.1875"/>
  </r>
  <r>
    <s v="CA-2017-166695"/>
    <x v="615"/>
    <d v="2017-05-24T00:00:00"/>
    <x v="0"/>
    <s v="CC-12430"/>
    <s v="Chuck Clark"/>
    <x v="2"/>
    <s v="United States"/>
    <x v="95"/>
    <x v="0"/>
    <x v="0"/>
    <s v="TEC-MA-10003176"/>
    <x v="0"/>
    <x v="2"/>
    <s v="Okidata B400 Printer"/>
    <n v="343.2"/>
    <n v="1"/>
    <n v="38.61"/>
    <x v="1"/>
    <x v="3"/>
    <x v="11"/>
    <n v="0.1125"/>
  </r>
  <r>
    <s v="CA-2016-151561"/>
    <x v="51"/>
    <d v="2016-09-07T00:00:00"/>
    <x v="0"/>
    <s v="PG-18820"/>
    <s v="Patrick Gardner"/>
    <x v="0"/>
    <s v="United States"/>
    <x v="7"/>
    <x v="5"/>
    <x v="2"/>
    <s v="TEC-AC-10001432"/>
    <x v="0"/>
    <x v="1"/>
    <s v="Enermax Aurora Lite Keyboard"/>
    <n v="468.9"/>
    <n v="6"/>
    <n v="206.316"/>
    <x v="3"/>
    <x v="1"/>
    <x v="4"/>
    <n v="0.44"/>
  </r>
  <r>
    <s v="CA-2016-151561"/>
    <x v="51"/>
    <d v="2016-09-07T00:00:00"/>
    <x v="0"/>
    <s v="PG-18820"/>
    <s v="Patrick Gardner"/>
    <x v="0"/>
    <s v="United States"/>
    <x v="7"/>
    <x v="5"/>
    <x v="2"/>
    <s v="TEC-AC-10003399"/>
    <x v="0"/>
    <x v="1"/>
    <s v="Memorex Mini Travel Drive 64 GB USB 2.0 Flash Drive"/>
    <n v="72.48"/>
    <n v="2"/>
    <n v="30.441600000000001"/>
    <x v="3"/>
    <x v="1"/>
    <x v="4"/>
    <n v="0.42"/>
  </r>
  <r>
    <s v="US-2016-132577"/>
    <x v="616"/>
    <d v="2016-11-27T00:00:00"/>
    <x v="0"/>
    <s v="JE-15475"/>
    <s v="Jeremy Ellison"/>
    <x v="0"/>
    <s v="United States"/>
    <x v="3"/>
    <x v="1"/>
    <x v="1"/>
    <s v="TEC-AC-10000387"/>
    <x v="0"/>
    <x v="1"/>
    <s v="KeyTronic KT800P2 - Keyboard - Black"/>
    <n v="24.032"/>
    <n v="2"/>
    <n v="-0.6008"/>
    <x v="0"/>
    <x v="1"/>
    <x v="6"/>
    <n v="-2.5000000000000001E-2"/>
  </r>
  <r>
    <s v="CA-2017-100111"/>
    <x v="617"/>
    <d v="2017-09-26T00:00:00"/>
    <x v="0"/>
    <s v="SV-20365"/>
    <s v="Seth Vernon"/>
    <x v="0"/>
    <s v="United States"/>
    <x v="7"/>
    <x v="5"/>
    <x v="2"/>
    <s v="TEC-AC-10002647"/>
    <x v="0"/>
    <x v="1"/>
    <s v="Logitech Wireless Boombox Speaker - portable - wireless, wired"/>
    <n v="212.8"/>
    <n v="2"/>
    <n v="95.76"/>
    <x v="3"/>
    <x v="3"/>
    <x v="4"/>
    <n v="0.45"/>
  </r>
  <r>
    <s v="CA-2017-100111"/>
    <x v="617"/>
    <d v="2017-09-26T00:00:00"/>
    <x v="0"/>
    <s v="SV-20365"/>
    <s v="Seth Vernon"/>
    <x v="0"/>
    <s v="United States"/>
    <x v="7"/>
    <x v="5"/>
    <x v="2"/>
    <s v="TEC-AC-10001465"/>
    <x v="0"/>
    <x v="1"/>
    <s v="SanDisk Cruzer 64 GB USB Flash Drive"/>
    <n v="72.64"/>
    <n v="2"/>
    <n v="21.792000000000002"/>
    <x v="3"/>
    <x v="3"/>
    <x v="4"/>
    <n v="0.3"/>
  </r>
  <r>
    <s v="CA-2017-100111"/>
    <x v="617"/>
    <d v="2017-09-26T00:00:00"/>
    <x v="0"/>
    <s v="SV-20365"/>
    <s v="Seth Vernon"/>
    <x v="0"/>
    <s v="United States"/>
    <x v="7"/>
    <x v="5"/>
    <x v="2"/>
    <s v="TEC-PH-10002885"/>
    <x v="0"/>
    <x v="0"/>
    <s v="Apple iPhone 5"/>
    <n v="1299.6600000000001"/>
    <n v="2"/>
    <n v="350.90820000000002"/>
    <x v="3"/>
    <x v="3"/>
    <x v="4"/>
    <n v="0.27"/>
  </r>
  <r>
    <s v="CA-2017-100111"/>
    <x v="617"/>
    <d v="2017-09-26T00:00:00"/>
    <x v="0"/>
    <s v="SV-20365"/>
    <s v="Seth Vernon"/>
    <x v="0"/>
    <s v="United States"/>
    <x v="7"/>
    <x v="5"/>
    <x v="2"/>
    <s v="TEC-PH-10000215"/>
    <x v="0"/>
    <x v="0"/>
    <s v="Plantronics Cordless Phone Headset with In-line Volume - M214C"/>
    <n v="104.85"/>
    <n v="3"/>
    <n v="28.3095"/>
    <x v="3"/>
    <x v="3"/>
    <x v="4"/>
    <n v="0.27"/>
  </r>
  <r>
    <s v="CA-2017-100111"/>
    <x v="617"/>
    <d v="2017-09-26T00:00:00"/>
    <x v="0"/>
    <s v="SV-20365"/>
    <s v="Seth Vernon"/>
    <x v="0"/>
    <s v="United States"/>
    <x v="7"/>
    <x v="5"/>
    <x v="2"/>
    <s v="TEC-AC-10001998"/>
    <x v="0"/>
    <x v="1"/>
    <s v="Logitech LS21 Speaker System - PC Multimedia - 2.1-CH - Wired"/>
    <n v="59.97"/>
    <n v="3"/>
    <n v="20.389800000000001"/>
    <x v="3"/>
    <x v="3"/>
    <x v="4"/>
    <n v="0.34"/>
  </r>
  <r>
    <s v="CA-2014-120852"/>
    <x v="456"/>
    <d v="2014-12-25T00:00:00"/>
    <x v="0"/>
    <s v="WB-21850"/>
    <s v="William Brown"/>
    <x v="0"/>
    <s v="United States"/>
    <x v="179"/>
    <x v="1"/>
    <x v="1"/>
    <s v="TEC-AC-10004510"/>
    <x v="0"/>
    <x v="1"/>
    <s v="Logitech Desktop MK120 Mouse and keyboard Combo"/>
    <n v="65.44"/>
    <n v="5"/>
    <n v="-8.18"/>
    <x v="0"/>
    <x v="0"/>
    <x v="3"/>
    <n v="-0.125"/>
  </r>
  <r>
    <s v="US-2016-113677"/>
    <x v="618"/>
    <d v="2016-11-19T00:00:00"/>
    <x v="0"/>
    <s v="CM-12655"/>
    <s v="Corinna Mitchell"/>
    <x v="2"/>
    <s v="United States"/>
    <x v="7"/>
    <x v="5"/>
    <x v="2"/>
    <s v="TEC-PH-10002114"/>
    <x v="0"/>
    <x v="0"/>
    <s v="Xiaomi Mi3"/>
    <n v="2279.96"/>
    <n v="4"/>
    <n v="592.78959999999995"/>
    <x v="3"/>
    <x v="1"/>
    <x v="6"/>
    <n v="0.26"/>
  </r>
  <r>
    <s v="CA-2017-143378"/>
    <x v="619"/>
    <d v="2017-09-25T00:00:00"/>
    <x v="0"/>
    <s v="JR-16210"/>
    <s v="Justin Ritter"/>
    <x v="1"/>
    <s v="United States"/>
    <x v="84"/>
    <x v="16"/>
    <x v="0"/>
    <s v="TEC-PH-10001425"/>
    <x v="0"/>
    <x v="0"/>
    <s v="Mophie Juice Pack Helium for iPhone"/>
    <n v="191.976"/>
    <n v="3"/>
    <n v="19.197600000000001"/>
    <x v="3"/>
    <x v="3"/>
    <x v="4"/>
    <n v="0.1"/>
  </r>
  <r>
    <s v="CA-2017-145772"/>
    <x v="605"/>
    <d v="2017-06-07T00:00:00"/>
    <x v="0"/>
    <s v="SS-20140"/>
    <s v="Saphhira Shifley"/>
    <x v="1"/>
    <s v="United States"/>
    <x v="0"/>
    <x v="0"/>
    <x v="0"/>
    <s v="TEC-AC-10003038"/>
    <x v="0"/>
    <x v="1"/>
    <s v="Kingston Digital DataTraveler 16GB USB 2.0"/>
    <n v="44.75"/>
    <n v="5"/>
    <n v="8.5024999999999995"/>
    <x v="1"/>
    <x v="3"/>
    <x v="0"/>
    <n v="0.19"/>
  </r>
  <r>
    <s v="CA-2017-162033"/>
    <x v="249"/>
    <d v="2017-04-02T00:00:00"/>
    <x v="0"/>
    <s v="EM-14200"/>
    <s v="Evan Minnotte"/>
    <x v="2"/>
    <s v="United States"/>
    <x v="82"/>
    <x v="23"/>
    <x v="3"/>
    <s v="TEC-AC-10003116"/>
    <x v="0"/>
    <x v="1"/>
    <s v="Memorex Froggy Flash Drive 8 GB"/>
    <n v="53.25"/>
    <n v="3"/>
    <n v="20.767499999999998"/>
    <x v="5"/>
    <x v="3"/>
    <x v="5"/>
    <n v="0.39"/>
  </r>
  <r>
    <s v="CA-2015-105613"/>
    <x v="620"/>
    <d v="2015-10-22T00:00:00"/>
    <x v="0"/>
    <s v="KN-16705"/>
    <s v="Kristina Nunn"/>
    <x v="2"/>
    <s v="United States"/>
    <x v="264"/>
    <x v="1"/>
    <x v="1"/>
    <s v="TEC-AC-10000521"/>
    <x v="0"/>
    <x v="1"/>
    <s v="Verbatim Slim CD and DVD Storage Cases, 50/Pack"/>
    <n v="27.696000000000002"/>
    <n v="3"/>
    <n v="3.4620000000000002"/>
    <x v="1"/>
    <x v="2"/>
    <x v="7"/>
    <n v="0.125"/>
  </r>
  <r>
    <s v="CA-2017-121083"/>
    <x v="621"/>
    <d v="2017-07-15T00:00:00"/>
    <x v="0"/>
    <s v="JF-15190"/>
    <s v="Jamie Frazer"/>
    <x v="0"/>
    <s v="United States"/>
    <x v="265"/>
    <x v="37"/>
    <x v="2"/>
    <s v="TEC-PH-10001336"/>
    <x v="0"/>
    <x v="0"/>
    <s v="Digium D40 VoIP phone"/>
    <n v="257.98"/>
    <n v="2"/>
    <n v="74.8142"/>
    <x v="3"/>
    <x v="3"/>
    <x v="10"/>
    <n v="0.28999999999999998"/>
  </r>
  <r>
    <s v="CA-2016-161928"/>
    <x v="622"/>
    <d v="2016-06-29T00:00:00"/>
    <x v="1"/>
    <s v="AC-10660"/>
    <s v="Anna Chung"/>
    <x v="0"/>
    <s v="United States"/>
    <x v="1"/>
    <x v="0"/>
    <x v="0"/>
    <s v="TEC-PH-10003484"/>
    <x v="0"/>
    <x v="0"/>
    <s v="Ooma Telo VoIP Home Phone System"/>
    <n v="201.584"/>
    <n v="2"/>
    <n v="12.599"/>
    <x v="2"/>
    <x v="1"/>
    <x v="0"/>
    <n v="6.25E-2"/>
  </r>
  <r>
    <s v="CA-2016-104150"/>
    <x v="623"/>
    <d v="2016-08-05T00:00:00"/>
    <x v="1"/>
    <s v="AG-10330"/>
    <s v="Alex Grayson"/>
    <x v="0"/>
    <s v="United States"/>
    <x v="124"/>
    <x v="11"/>
    <x v="1"/>
    <s v="TEC-AC-10004803"/>
    <x v="0"/>
    <x v="1"/>
    <s v="Sony Micro Vault Click 4 GB USB 2.0 Flash Drive"/>
    <n v="167.28"/>
    <n v="12"/>
    <n v="23.4192"/>
    <x v="2"/>
    <x v="1"/>
    <x v="1"/>
    <n v="0.14000000000000001"/>
  </r>
  <r>
    <s v="CA-2014-103989"/>
    <x v="624"/>
    <d v="2014-03-21T00:00:00"/>
    <x v="2"/>
    <s v="MC-17605"/>
    <s v="Matt Connell"/>
    <x v="1"/>
    <s v="United States"/>
    <x v="175"/>
    <x v="15"/>
    <x v="3"/>
    <s v="TEC-PH-10004667"/>
    <x v="0"/>
    <x v="0"/>
    <s v="Cisco 8x8 Inc. 6753i IP Business Phone System"/>
    <n v="323.976"/>
    <n v="3"/>
    <n v="28.347899999999999"/>
    <x v="2"/>
    <x v="0"/>
    <x v="5"/>
    <n v="8.7499999999999994E-2"/>
  </r>
  <r>
    <s v="CA-2014-103989"/>
    <x v="624"/>
    <d v="2014-03-21T00:00:00"/>
    <x v="2"/>
    <s v="MC-17605"/>
    <s v="Matt Connell"/>
    <x v="1"/>
    <s v="United States"/>
    <x v="175"/>
    <x v="15"/>
    <x v="3"/>
    <s v="TEC-AC-10002647"/>
    <x v="0"/>
    <x v="1"/>
    <s v="Logitech Wireless Boombox Speaker - portable - wireless, wired"/>
    <n v="170.24"/>
    <n v="2"/>
    <n v="53.2"/>
    <x v="2"/>
    <x v="0"/>
    <x v="5"/>
    <n v="0.3125"/>
  </r>
  <r>
    <s v="US-2014-106299"/>
    <x v="625"/>
    <d v="2014-08-08T00:00:00"/>
    <x v="0"/>
    <s v="NZ-18565"/>
    <s v="Nick Zandusky"/>
    <x v="2"/>
    <s v="United States"/>
    <x v="84"/>
    <x v="18"/>
    <x v="1"/>
    <s v="TEC-AC-10003237"/>
    <x v="0"/>
    <x v="1"/>
    <s v="Memorex Micro Travel Drive 4 GB"/>
    <n v="21.2"/>
    <n v="2"/>
    <n v="9.1159999999999997"/>
    <x v="3"/>
    <x v="0"/>
    <x v="1"/>
    <n v="0.43"/>
  </r>
  <r>
    <s v="CA-2015-158421"/>
    <x v="199"/>
    <d v="2015-09-26T00:00:00"/>
    <x v="0"/>
    <s v="GB-14575"/>
    <s v="Giulietta Baptist"/>
    <x v="0"/>
    <s v="United States"/>
    <x v="135"/>
    <x v="42"/>
    <x v="3"/>
    <s v="TEC-PH-10000369"/>
    <x v="0"/>
    <x v="0"/>
    <s v="HTC One Mini"/>
    <n v="629.95000000000005"/>
    <n v="5"/>
    <n v="176.386"/>
    <x v="0"/>
    <x v="2"/>
    <x v="4"/>
    <n v="0.28000000000000003"/>
  </r>
  <r>
    <s v="CA-2015-158421"/>
    <x v="199"/>
    <d v="2015-09-26T00:00:00"/>
    <x v="0"/>
    <s v="GB-14575"/>
    <s v="Giulietta Baptist"/>
    <x v="0"/>
    <s v="United States"/>
    <x v="135"/>
    <x v="42"/>
    <x v="3"/>
    <s v="TEC-PH-10002538"/>
    <x v="0"/>
    <x v="0"/>
    <s v="Grandstream GXP1160 VoIP phone"/>
    <n v="113.73"/>
    <n v="3"/>
    <n v="32.981699999999996"/>
    <x v="0"/>
    <x v="2"/>
    <x v="4"/>
    <n v="0.28999999999999998"/>
  </r>
  <r>
    <s v="CA-2017-157903"/>
    <x v="626"/>
    <d v="2017-04-08T00:00:00"/>
    <x v="0"/>
    <s v="AM-10705"/>
    <s v="Anne McFarland"/>
    <x v="0"/>
    <s v="United States"/>
    <x v="266"/>
    <x v="2"/>
    <x v="1"/>
    <s v="TEC-PH-10004345"/>
    <x v="0"/>
    <x v="0"/>
    <s v="Cisco SPA 502G IP Phone"/>
    <n v="383.84"/>
    <n v="4"/>
    <n v="47.98"/>
    <x v="1"/>
    <x v="3"/>
    <x v="9"/>
    <n v="0.125"/>
  </r>
  <r>
    <s v="CA-2017-113453"/>
    <x v="247"/>
    <d v="2017-10-28T00:00:00"/>
    <x v="0"/>
    <s v="CM-12160"/>
    <s v="Charles McCrossin"/>
    <x v="0"/>
    <s v="United States"/>
    <x v="20"/>
    <x v="12"/>
    <x v="2"/>
    <s v="TEC-PH-10004165"/>
    <x v="0"/>
    <x v="0"/>
    <s v="Mitel MiVoice 5330e IP Phone"/>
    <n v="329.988"/>
    <n v="2"/>
    <n v="-76.997200000000007"/>
    <x v="5"/>
    <x v="3"/>
    <x v="7"/>
    <n v="-0.233333333333333"/>
  </r>
  <r>
    <s v="CA-2015-149909"/>
    <x v="15"/>
    <d v="2015-11-17T00:00:00"/>
    <x v="0"/>
    <s v="RA-19915"/>
    <s v="Russell Applegate"/>
    <x v="0"/>
    <s v="United States"/>
    <x v="16"/>
    <x v="21"/>
    <x v="1"/>
    <s v="TEC-PH-10001536"/>
    <x v="0"/>
    <x v="0"/>
    <s v="Spigen Samsung Galaxy S5 Case Wallet"/>
    <n v="50.97"/>
    <n v="3"/>
    <n v="13.2522"/>
    <x v="1"/>
    <x v="2"/>
    <x v="6"/>
    <n v="0.26"/>
  </r>
  <r>
    <s v="CA-2015-146675"/>
    <x v="152"/>
    <d v="2015-04-20T00:00:00"/>
    <x v="0"/>
    <s v="SB-20185"/>
    <s v="Sarah Brown"/>
    <x v="0"/>
    <s v="United States"/>
    <x v="66"/>
    <x v="2"/>
    <x v="1"/>
    <s v="TEC-CO-10001766"/>
    <x v="0"/>
    <x v="3"/>
    <s v="Canon PC940 Copier"/>
    <n v="1439.9680000000001"/>
    <n v="4"/>
    <n v="485.98919999999998"/>
    <x v="1"/>
    <x v="2"/>
    <x v="9"/>
    <n v="0.33750000000000002"/>
  </r>
  <r>
    <s v="CA-2015-146675"/>
    <x v="152"/>
    <d v="2015-04-20T00:00:00"/>
    <x v="0"/>
    <s v="SB-20185"/>
    <s v="Sarah Brown"/>
    <x v="0"/>
    <s v="United States"/>
    <x v="66"/>
    <x v="2"/>
    <x v="1"/>
    <s v="TEC-AC-10004396"/>
    <x v="0"/>
    <x v="1"/>
    <s v="Logitech Keyboard K120"/>
    <n v="43.56"/>
    <n v="3"/>
    <n v="-4.9005000000000001"/>
    <x v="1"/>
    <x v="2"/>
    <x v="9"/>
    <n v="-0.1125"/>
  </r>
  <r>
    <s v="CA-2016-133669"/>
    <x v="486"/>
    <d v="2016-10-27T00:00:00"/>
    <x v="0"/>
    <s v="SV-20935"/>
    <s v="Susan Vittorini"/>
    <x v="0"/>
    <s v="United States"/>
    <x v="16"/>
    <x v="9"/>
    <x v="2"/>
    <s v="TEC-PH-10001305"/>
    <x v="0"/>
    <x v="0"/>
    <s v="Panasonic KX TS208W Corded phone"/>
    <n v="235.15199999999999"/>
    <n v="8"/>
    <n v="-47.0304"/>
    <x v="3"/>
    <x v="1"/>
    <x v="7"/>
    <n v="-0.2"/>
  </r>
  <r>
    <s v="US-2015-129553"/>
    <x v="627"/>
    <d v="2015-08-02T00:00:00"/>
    <x v="0"/>
    <s v="PG-18820"/>
    <s v="Patrick Gardner"/>
    <x v="0"/>
    <s v="United States"/>
    <x v="39"/>
    <x v="27"/>
    <x v="3"/>
    <s v="TEC-PH-10004897"/>
    <x v="0"/>
    <x v="0"/>
    <s v="Mediabridge Sport Armband iPhone 5s"/>
    <n v="29.97"/>
    <n v="3"/>
    <n v="0.29970000000000002"/>
    <x v="3"/>
    <x v="2"/>
    <x v="10"/>
    <n v="0.01"/>
  </r>
  <r>
    <s v="CA-2016-160220"/>
    <x v="628"/>
    <d v="2016-10-26T00:00:00"/>
    <x v="0"/>
    <s v="JS-16030"/>
    <s v="Joy Smith"/>
    <x v="0"/>
    <s v="United States"/>
    <x v="241"/>
    <x v="14"/>
    <x v="1"/>
    <s v="TEC-PH-10001300"/>
    <x v="0"/>
    <x v="0"/>
    <s v="iKross Bluetooth Portable Keyboard + Cell Phone Stand Holder + Brush for Apple iPhone 5S 5C 5, 4S 4"/>
    <n v="125.7"/>
    <n v="6"/>
    <n v="35.195999999999998"/>
    <x v="3"/>
    <x v="1"/>
    <x v="7"/>
    <n v="0.28000000000000003"/>
  </r>
  <r>
    <s v="CA-2016-160220"/>
    <x v="628"/>
    <d v="2016-10-26T00:00:00"/>
    <x v="0"/>
    <s v="JS-16030"/>
    <s v="Joy Smith"/>
    <x v="0"/>
    <s v="United States"/>
    <x v="241"/>
    <x v="14"/>
    <x v="1"/>
    <s v="TEC-PH-10001557"/>
    <x v="0"/>
    <x v="0"/>
    <s v="Pyle PMP37LED"/>
    <n v="191.98"/>
    <n v="2"/>
    <n v="51.834600000000002"/>
    <x v="3"/>
    <x v="1"/>
    <x v="7"/>
    <n v="0.27"/>
  </r>
  <r>
    <s v="CA-2014-148782"/>
    <x v="629"/>
    <d v="2014-11-07T00:00:00"/>
    <x v="0"/>
    <s v="PO-18850"/>
    <s v="Patrick O'Brill"/>
    <x v="0"/>
    <s v="United States"/>
    <x v="267"/>
    <x v="1"/>
    <x v="1"/>
    <s v="TEC-PH-10002923"/>
    <x v="0"/>
    <x v="0"/>
    <s v="Logitech B530 USB Headset - headset - Full size, Binaural"/>
    <n v="88.775999999999996"/>
    <n v="3"/>
    <n v="7.7679"/>
    <x v="0"/>
    <x v="0"/>
    <x v="6"/>
    <n v="8.7499999999999994E-2"/>
  </r>
  <r>
    <s v="CA-2016-148208"/>
    <x v="630"/>
    <d v="2016-01-27T00:00:00"/>
    <x v="0"/>
    <s v="BT-11530"/>
    <s v="Bradley Talbott"/>
    <x v="2"/>
    <s v="United States"/>
    <x v="118"/>
    <x v="9"/>
    <x v="2"/>
    <s v="TEC-PH-10004093"/>
    <x v="0"/>
    <x v="0"/>
    <s v="Panasonic Kx-TS550"/>
    <n v="110.376"/>
    <n v="4"/>
    <n v="-20.235600000000002"/>
    <x v="0"/>
    <x v="1"/>
    <x v="2"/>
    <n v="-0.18333333333333299"/>
  </r>
  <r>
    <s v="CA-2016-148208"/>
    <x v="630"/>
    <d v="2016-01-27T00:00:00"/>
    <x v="0"/>
    <s v="BT-11530"/>
    <s v="Bradley Talbott"/>
    <x v="2"/>
    <s v="United States"/>
    <x v="118"/>
    <x v="9"/>
    <x v="2"/>
    <s v="TEC-AC-10000171"/>
    <x v="0"/>
    <x v="1"/>
    <s v="Verbatim 25 GB 6x Blu-ray Single Layer Recordable Disc, 25/Pack"/>
    <n v="55.176000000000002"/>
    <n v="3"/>
    <n v="15.863099999999999"/>
    <x v="0"/>
    <x v="1"/>
    <x v="2"/>
    <n v="0.28749999999999998"/>
  </r>
  <r>
    <s v="US-2017-142188"/>
    <x v="631"/>
    <d v="2017-09-11T00:00:00"/>
    <x v="3"/>
    <s v="JF-15415"/>
    <s v="Jennifer Ferguson"/>
    <x v="0"/>
    <s v="United States"/>
    <x v="45"/>
    <x v="17"/>
    <x v="0"/>
    <s v="TEC-PH-10000127"/>
    <x v="0"/>
    <x v="0"/>
    <s v="iOttie XL Car Mount"/>
    <n v="79.959999999999994"/>
    <n v="5"/>
    <n v="-17.991"/>
    <x v="7"/>
    <x v="3"/>
    <x v="4"/>
    <n v="-0.22500000000000001"/>
  </r>
  <r>
    <s v="CA-2015-112305"/>
    <x v="477"/>
    <d v="2015-11-25T00:00:00"/>
    <x v="0"/>
    <s v="KB-16405"/>
    <s v="Katrina Bavinger"/>
    <x v="2"/>
    <s v="United States"/>
    <x v="45"/>
    <x v="17"/>
    <x v="0"/>
    <s v="TEC-AC-10002018"/>
    <x v="0"/>
    <x v="1"/>
    <s v="AmazonBasics 3-Button USB Wired Mouse"/>
    <n v="13.98"/>
    <n v="2"/>
    <n v="6.0114000000000001"/>
    <x v="0"/>
    <x v="2"/>
    <x v="6"/>
    <n v="0.43"/>
  </r>
  <r>
    <s v="CA-2014-165806"/>
    <x v="484"/>
    <d v="2014-04-07T00:00:00"/>
    <x v="3"/>
    <s v="VM-21685"/>
    <s v="Valerie Mitchum"/>
    <x v="2"/>
    <s v="United States"/>
    <x v="236"/>
    <x v="31"/>
    <x v="3"/>
    <s v="TEC-PH-10004922"/>
    <x v="0"/>
    <x v="0"/>
    <s v="RCA Visys Integrated PBX 8-Line Router"/>
    <n v="200.97"/>
    <n v="3"/>
    <n v="50.2425"/>
    <x v="7"/>
    <x v="0"/>
    <x v="9"/>
    <n v="0.25"/>
  </r>
  <r>
    <s v="CA-2015-115392"/>
    <x v="632"/>
    <d v="2015-10-04T00:00:00"/>
    <x v="1"/>
    <s v="RM-19675"/>
    <s v="Robert Marley"/>
    <x v="2"/>
    <s v="United States"/>
    <x v="268"/>
    <x v="35"/>
    <x v="2"/>
    <s v="TEC-PH-10002496"/>
    <x v="0"/>
    <x v="0"/>
    <s v="Cisco SPA301"/>
    <n v="311.98"/>
    <n v="2"/>
    <n v="93.593999999999994"/>
    <x v="6"/>
    <x v="2"/>
    <x v="7"/>
    <n v="0.3"/>
  </r>
  <r>
    <s v="CA-2017-102379"/>
    <x v="581"/>
    <d v="2017-12-06T00:00:00"/>
    <x v="0"/>
    <s v="BB-11545"/>
    <s v="Brenda Bowman"/>
    <x v="1"/>
    <s v="United States"/>
    <x v="89"/>
    <x v="0"/>
    <x v="0"/>
    <s v="TEC-PH-10001448"/>
    <x v="0"/>
    <x v="0"/>
    <s v="Anker Astro 15000mAh USB Portable Charger"/>
    <n v="39.991999999999997"/>
    <n v="1"/>
    <n v="-7.9984000000000002"/>
    <x v="1"/>
    <x v="3"/>
    <x v="3"/>
    <n v="-0.2"/>
  </r>
  <r>
    <s v="CA-2017-149706"/>
    <x v="56"/>
    <d v="2017-12-12T00:00:00"/>
    <x v="2"/>
    <s v="AS-10285"/>
    <s v="Alejandro Savely"/>
    <x v="1"/>
    <s v="United States"/>
    <x v="269"/>
    <x v="2"/>
    <x v="1"/>
    <s v="TEC-AC-10001284"/>
    <x v="0"/>
    <x v="1"/>
    <s v="Enermax Briskie RF Wireless Keyboard and Mouse Combo"/>
    <n v="116.312"/>
    <n v="7"/>
    <n v="23.2624"/>
    <x v="4"/>
    <x v="3"/>
    <x v="3"/>
    <n v="0.2"/>
  </r>
  <r>
    <s v="US-2016-139087"/>
    <x v="272"/>
    <d v="2016-07-22T00:00:00"/>
    <x v="1"/>
    <s v="DK-13375"/>
    <s v="Dennis Kane"/>
    <x v="0"/>
    <s v="United States"/>
    <x v="45"/>
    <x v="17"/>
    <x v="0"/>
    <s v="TEC-AC-10004595"/>
    <x v="0"/>
    <x v="1"/>
    <s v="First Data TMFD35 PIN Pad"/>
    <n v="428.4"/>
    <n v="3"/>
    <n v="89.963999999999999"/>
    <x v="0"/>
    <x v="1"/>
    <x v="10"/>
    <n v="0.21"/>
  </r>
  <r>
    <s v="US-2016-139087"/>
    <x v="272"/>
    <d v="2016-07-22T00:00:00"/>
    <x v="1"/>
    <s v="DK-13375"/>
    <s v="Dennis Kane"/>
    <x v="0"/>
    <s v="United States"/>
    <x v="45"/>
    <x v="17"/>
    <x v="0"/>
    <s v="TEC-PH-10000148"/>
    <x v="0"/>
    <x v="0"/>
    <s v="Cyber Acoustics AC-202b Speech Recognition Stereo Headset"/>
    <n v="20.783999999999999"/>
    <n v="2"/>
    <n v="-4.6764000000000001"/>
    <x v="0"/>
    <x v="1"/>
    <x v="10"/>
    <n v="-0.22500000000000001"/>
  </r>
  <r>
    <s v="CA-2016-121020"/>
    <x v="587"/>
    <d v="2016-10-31T00:00:00"/>
    <x v="0"/>
    <s v="CG-12040"/>
    <s v="Catherine Glotzbach"/>
    <x v="2"/>
    <s v="United States"/>
    <x v="270"/>
    <x v="44"/>
    <x v="3"/>
    <s v="TEC-PH-10001061"/>
    <x v="0"/>
    <x v="0"/>
    <s v="Apple iPhone 5C"/>
    <n v="239.976"/>
    <n v="3"/>
    <n v="17.998200000000001"/>
    <x v="5"/>
    <x v="1"/>
    <x v="7"/>
    <n v="7.4999999999999997E-2"/>
  </r>
  <r>
    <s v="CA-2015-151253"/>
    <x v="633"/>
    <d v="2015-04-26T00:00:00"/>
    <x v="0"/>
    <s v="AZ-10750"/>
    <s v="Annie Zypern"/>
    <x v="0"/>
    <s v="United States"/>
    <x v="0"/>
    <x v="0"/>
    <x v="0"/>
    <s v="TEC-PH-10002923"/>
    <x v="0"/>
    <x v="0"/>
    <s v="Logitech B530 USB Headset - headset - Full size, Binaural"/>
    <n v="88.775999999999996"/>
    <n v="3"/>
    <n v="7.7679"/>
    <x v="1"/>
    <x v="2"/>
    <x v="9"/>
    <n v="8.7499999999999994E-2"/>
  </r>
  <r>
    <s v="CA-2017-166919"/>
    <x v="16"/>
    <d v="2017-11-27T00:00:00"/>
    <x v="0"/>
    <s v="AH-10210"/>
    <s v="Alan Hwang"/>
    <x v="0"/>
    <s v="United States"/>
    <x v="26"/>
    <x v="1"/>
    <x v="1"/>
    <s v="TEC-PH-10001305"/>
    <x v="0"/>
    <x v="0"/>
    <s v="Panasonic KX TS208W Corded phone"/>
    <n v="195.96"/>
    <n v="5"/>
    <n v="19.596"/>
    <x v="1"/>
    <x v="3"/>
    <x v="6"/>
    <n v="0.1"/>
  </r>
  <r>
    <s v="CA-2017-120019"/>
    <x v="634"/>
    <d v="2017-02-21T00:00:00"/>
    <x v="0"/>
    <s v="NG-18355"/>
    <s v="Nat Gilpin"/>
    <x v="1"/>
    <s v="United States"/>
    <x v="141"/>
    <x v="37"/>
    <x v="2"/>
    <s v="TEC-PH-10000923"/>
    <x v="0"/>
    <x v="0"/>
    <s v="Belkin SportFit Armband For iPhone 5s/5c, Fuchsia"/>
    <n v="14.99"/>
    <n v="1"/>
    <n v="7.3451000000000004"/>
    <x v="0"/>
    <x v="3"/>
    <x v="8"/>
    <n v="0.49"/>
  </r>
  <r>
    <s v="CA-2017-161459"/>
    <x v="635"/>
    <d v="2017-11-29T00:00:00"/>
    <x v="1"/>
    <s v="EB-13750"/>
    <s v="Edward Becker"/>
    <x v="1"/>
    <s v="United States"/>
    <x v="271"/>
    <x v="0"/>
    <x v="0"/>
    <s v="TEC-PH-10004071"/>
    <x v="0"/>
    <x v="0"/>
    <s v="PayAnywhere Card Reader"/>
    <n v="39.96"/>
    <n v="5"/>
    <n v="3.4965000000000002"/>
    <x v="1"/>
    <x v="3"/>
    <x v="6"/>
    <n v="8.7499999999999994E-2"/>
  </r>
  <r>
    <s v="CA-2014-104402"/>
    <x v="636"/>
    <d v="2014-06-23T00:00:00"/>
    <x v="0"/>
    <s v="DB-13660"/>
    <s v="Duane Benoit"/>
    <x v="0"/>
    <s v="United States"/>
    <x v="129"/>
    <x v="4"/>
    <x v="2"/>
    <s v="TEC-MA-10000423"/>
    <x v="0"/>
    <x v="2"/>
    <s v="Texas Instruments TI-34 Scientific Calculator"/>
    <n v="65.97"/>
    <n v="3"/>
    <n v="31.0059"/>
    <x v="3"/>
    <x v="0"/>
    <x v="0"/>
    <n v="0.47"/>
  </r>
  <r>
    <s v="CA-2016-165995"/>
    <x v="46"/>
    <d v="2016-09-06T00:00:00"/>
    <x v="0"/>
    <s v="BG-11740"/>
    <s v="Bruce Geld"/>
    <x v="0"/>
    <s v="United States"/>
    <x v="0"/>
    <x v="0"/>
    <x v="0"/>
    <s v="TEC-PH-10004908"/>
    <x v="0"/>
    <x v="0"/>
    <s v="Panasonic KX TS3282W Corded phone"/>
    <n v="339.96"/>
    <n v="5"/>
    <n v="42.494999999999997"/>
    <x v="5"/>
    <x v="1"/>
    <x v="1"/>
    <n v="0.125"/>
  </r>
  <r>
    <s v="CA-2017-143112"/>
    <x v="137"/>
    <d v="2017-10-09T00:00:00"/>
    <x v="0"/>
    <s v="TS-21370"/>
    <s v="Todd Sumrall"/>
    <x v="1"/>
    <s v="United States"/>
    <x v="7"/>
    <x v="5"/>
    <x v="2"/>
    <s v="TEC-PH-10003095"/>
    <x v="0"/>
    <x v="0"/>
    <s v="Samsung HM1900 Bluetooth Headset"/>
    <n v="87.8"/>
    <n v="4"/>
    <n v="43.9"/>
    <x v="1"/>
    <x v="3"/>
    <x v="7"/>
    <n v="0.5"/>
  </r>
  <r>
    <s v="CA-2017-143112"/>
    <x v="137"/>
    <d v="2017-10-09T00:00:00"/>
    <x v="0"/>
    <s v="TS-21370"/>
    <s v="Todd Sumrall"/>
    <x v="1"/>
    <s v="United States"/>
    <x v="7"/>
    <x v="5"/>
    <x v="2"/>
    <s v="TEC-MA-10001047"/>
    <x v="0"/>
    <x v="2"/>
    <s v="3D Systems Cube Printer, 2nd Generation, Magenta"/>
    <n v="5199.96"/>
    <n v="4"/>
    <n v="1351.9896000000001"/>
    <x v="1"/>
    <x v="3"/>
    <x v="7"/>
    <n v="0.26"/>
  </r>
  <r>
    <s v="CA-2015-146255"/>
    <x v="637"/>
    <d v="2015-03-10T00:00:00"/>
    <x v="2"/>
    <s v="EM-14140"/>
    <s v="Eugene Moren"/>
    <x v="2"/>
    <s v="United States"/>
    <x v="129"/>
    <x v="4"/>
    <x v="2"/>
    <s v="TEC-AC-10004469"/>
    <x v="0"/>
    <x v="1"/>
    <s v="Microsoft Sculpt Comfort Mouse"/>
    <n v="119.85"/>
    <n v="3"/>
    <n v="52.734000000000002"/>
    <x v="6"/>
    <x v="2"/>
    <x v="5"/>
    <n v="0.44"/>
  </r>
  <r>
    <s v="CA-2015-146255"/>
    <x v="637"/>
    <d v="2015-03-10T00:00:00"/>
    <x v="2"/>
    <s v="EM-14140"/>
    <s v="Eugene Moren"/>
    <x v="2"/>
    <s v="United States"/>
    <x v="129"/>
    <x v="4"/>
    <x v="2"/>
    <s v="TEC-PH-10001619"/>
    <x v="0"/>
    <x v="0"/>
    <s v="LG G3"/>
    <n v="587.97"/>
    <n v="3"/>
    <n v="170.51130000000001"/>
    <x v="6"/>
    <x v="2"/>
    <x v="5"/>
    <n v="0.28999999999999998"/>
  </r>
  <r>
    <s v="CA-2017-161130"/>
    <x v="564"/>
    <d v="2017-11-08T00:00:00"/>
    <x v="0"/>
    <s v="BF-11275"/>
    <s v="Beth Fritzler"/>
    <x v="1"/>
    <s v="United States"/>
    <x v="56"/>
    <x v="15"/>
    <x v="3"/>
    <s v="TEC-PH-10002549"/>
    <x v="0"/>
    <x v="0"/>
    <s v="Polycom SoundPoint IP 450 VoIP phone"/>
    <n v="361.37599999999998"/>
    <n v="2"/>
    <n v="27.103200000000001"/>
    <x v="0"/>
    <x v="3"/>
    <x v="6"/>
    <n v="7.4999999999999997E-2"/>
  </r>
  <r>
    <s v="US-2015-109015"/>
    <x v="323"/>
    <d v="2015-09-12T00:00:00"/>
    <x v="0"/>
    <s v="BS-11590"/>
    <s v="Brendan Sweed"/>
    <x v="1"/>
    <s v="United States"/>
    <x v="7"/>
    <x v="5"/>
    <x v="2"/>
    <s v="TEC-PH-10002922"/>
    <x v="0"/>
    <x v="0"/>
    <s v="ShoreTel ShorePhone IP 230 VoIP phone"/>
    <n v="337.98"/>
    <n v="2"/>
    <n v="101.39400000000001"/>
    <x v="3"/>
    <x v="2"/>
    <x v="4"/>
    <n v="0.3"/>
  </r>
  <r>
    <s v="CA-2017-139080"/>
    <x v="638"/>
    <d v="2017-01-28T00:00:00"/>
    <x v="0"/>
    <s v="CS-12250"/>
    <s v="Chris Selesnick"/>
    <x v="1"/>
    <s v="United States"/>
    <x v="45"/>
    <x v="17"/>
    <x v="0"/>
    <s v="TEC-PH-10004100"/>
    <x v="0"/>
    <x v="0"/>
    <s v="Griffin GC17055 Auxiliary Audio Cable"/>
    <n v="86.352000000000004"/>
    <n v="6"/>
    <n v="8.6351999999999993"/>
    <x v="0"/>
    <x v="3"/>
    <x v="2"/>
    <n v="0.1"/>
  </r>
  <r>
    <s v="CA-2017-110443"/>
    <x v="293"/>
    <d v="2017-11-25T00:00:00"/>
    <x v="0"/>
    <s v="CK-12205"/>
    <s v="Chloris Kastensmidt"/>
    <x v="0"/>
    <s v="United States"/>
    <x v="272"/>
    <x v="17"/>
    <x v="0"/>
    <s v="TEC-MA-10002073"/>
    <x v="0"/>
    <x v="2"/>
    <s v="3D Systems Cube Printer, 2nd Generation, White"/>
    <n v="1039.992"/>
    <n v="1"/>
    <n v="103.9992"/>
    <x v="1"/>
    <x v="3"/>
    <x v="6"/>
    <n v="0.1"/>
  </r>
  <r>
    <s v="CA-2017-144848"/>
    <x v="626"/>
    <d v="2017-04-05T00:00:00"/>
    <x v="2"/>
    <s v="DS-13030"/>
    <s v="Darrin Sayre"/>
    <x v="2"/>
    <s v="United States"/>
    <x v="7"/>
    <x v="5"/>
    <x v="2"/>
    <s v="TEC-PH-10004006"/>
    <x v="0"/>
    <x v="0"/>
    <s v="Panasonic KX - TS880B Telephone"/>
    <n v="41.22"/>
    <n v="1"/>
    <n v="11.1294"/>
    <x v="4"/>
    <x v="3"/>
    <x v="9"/>
    <n v="0.27"/>
  </r>
  <r>
    <s v="CA-2017-144848"/>
    <x v="626"/>
    <d v="2017-04-05T00:00:00"/>
    <x v="2"/>
    <s v="DS-13030"/>
    <s v="Darrin Sayre"/>
    <x v="2"/>
    <s v="United States"/>
    <x v="7"/>
    <x v="5"/>
    <x v="2"/>
    <s v="TEC-PH-10002262"/>
    <x v="0"/>
    <x v="0"/>
    <s v="LG Electronics Tone+ HBS-730 Bluetooth Headset"/>
    <n v="119.02"/>
    <n v="2"/>
    <n v="33.325600000000001"/>
    <x v="4"/>
    <x v="3"/>
    <x v="9"/>
    <n v="0.28000000000000003"/>
  </r>
  <r>
    <s v="CA-2017-143035"/>
    <x v="639"/>
    <d v="2017-10-05T00:00:00"/>
    <x v="1"/>
    <s v="CC-12430"/>
    <s v="Chuck Clark"/>
    <x v="2"/>
    <s v="United States"/>
    <x v="7"/>
    <x v="5"/>
    <x v="2"/>
    <s v="TEC-AC-10002049"/>
    <x v="0"/>
    <x v="1"/>
    <s v="Logitech G19 Programmable Gaming Keyboard"/>
    <n v="371.97"/>
    <n v="3"/>
    <n v="66.954599999999999"/>
    <x v="2"/>
    <x v="3"/>
    <x v="7"/>
    <n v="0.18"/>
  </r>
  <r>
    <s v="CA-2017-150623"/>
    <x v="424"/>
    <d v="2017-04-14T00:00:00"/>
    <x v="0"/>
    <s v="DB-13360"/>
    <s v="Dennis Bolton"/>
    <x v="2"/>
    <s v="United States"/>
    <x v="273"/>
    <x v="37"/>
    <x v="2"/>
    <s v="TEC-AC-10004571"/>
    <x v="0"/>
    <x v="1"/>
    <s v="Logitech G700s Rechargeable Gaming Mouse"/>
    <n v="99.99"/>
    <n v="1"/>
    <n v="41.995800000000003"/>
    <x v="1"/>
    <x v="3"/>
    <x v="9"/>
    <n v="0.42"/>
  </r>
  <r>
    <s v="CA-2016-127236"/>
    <x v="432"/>
    <d v="2016-04-02T00:00:00"/>
    <x v="0"/>
    <s v="TB-21595"/>
    <s v="Troy Blackwell"/>
    <x v="0"/>
    <s v="United States"/>
    <x v="84"/>
    <x v="9"/>
    <x v="2"/>
    <s v="TEC-PH-10000141"/>
    <x v="0"/>
    <x v="0"/>
    <s v="Clearsounds A400"/>
    <n v="158.376"/>
    <n v="4"/>
    <n v="-36.9544"/>
    <x v="1"/>
    <x v="1"/>
    <x v="5"/>
    <n v="-0.233333333333333"/>
  </r>
  <r>
    <s v="US-2017-104661"/>
    <x v="640"/>
    <d v="2017-01-18T00:00:00"/>
    <x v="2"/>
    <s v="TB-21250"/>
    <s v="Tim Brockman"/>
    <x v="0"/>
    <s v="United States"/>
    <x v="65"/>
    <x v="1"/>
    <x v="1"/>
    <s v="TEC-AC-10003628"/>
    <x v="0"/>
    <x v="1"/>
    <s v="Logitech 910-002974 M325 Wireless Mouse for Web Scrolling"/>
    <n v="47.984000000000002"/>
    <n v="2"/>
    <n v="14.395200000000001"/>
    <x v="6"/>
    <x v="3"/>
    <x v="2"/>
    <n v="0.3"/>
  </r>
  <r>
    <s v="US-2017-104661"/>
    <x v="640"/>
    <d v="2017-01-18T00:00:00"/>
    <x v="2"/>
    <s v="TB-21250"/>
    <s v="Tim Brockman"/>
    <x v="0"/>
    <s v="United States"/>
    <x v="65"/>
    <x v="1"/>
    <x v="1"/>
    <s v="TEC-AC-10002331"/>
    <x v="0"/>
    <x v="1"/>
    <s v="Maxell 74 Minute CDR, 10/Pack"/>
    <n v="62.591999999999999"/>
    <n v="8"/>
    <n v="13.300800000000001"/>
    <x v="6"/>
    <x v="3"/>
    <x v="2"/>
    <n v="0.21249999999999999"/>
  </r>
  <r>
    <s v="CA-2017-151981"/>
    <x v="641"/>
    <d v="2017-08-12T00:00:00"/>
    <x v="0"/>
    <s v="GM-14455"/>
    <s v="Gary Mitchum"/>
    <x v="2"/>
    <s v="United States"/>
    <x v="76"/>
    <x v="28"/>
    <x v="2"/>
    <s v="TEC-PH-10003601"/>
    <x v="0"/>
    <x v="0"/>
    <s v="Ativa D5772 2-Line 5.8GHz Digital Expandable Corded/Cordless Phone System with Answering &amp; Caller ID/Call Waiting, Black/Silver"/>
    <n v="824.95"/>
    <n v="5"/>
    <n v="247.48500000000001"/>
    <x v="3"/>
    <x v="3"/>
    <x v="1"/>
    <n v="0.3"/>
  </r>
  <r>
    <s v="CA-2015-156328"/>
    <x v="281"/>
    <d v="2015-12-05T00:00:00"/>
    <x v="0"/>
    <s v="RM-19375"/>
    <s v="Raymond Messe"/>
    <x v="0"/>
    <s v="United States"/>
    <x v="125"/>
    <x v="8"/>
    <x v="3"/>
    <s v="TEC-PH-10001198"/>
    <x v="0"/>
    <x v="0"/>
    <s v="Avaya 4621SW VoIP phone"/>
    <n v="177.48"/>
    <n v="3"/>
    <n v="19.9665"/>
    <x v="0"/>
    <x v="2"/>
    <x v="6"/>
    <n v="0.1125"/>
  </r>
  <r>
    <s v="CA-2017-161774"/>
    <x v="116"/>
    <d v="2017-05-15T00:00:00"/>
    <x v="2"/>
    <s v="GT-14710"/>
    <s v="Greg Tran"/>
    <x v="0"/>
    <s v="United States"/>
    <x v="3"/>
    <x v="1"/>
    <x v="1"/>
    <s v="TEC-PH-10004071"/>
    <x v="0"/>
    <x v="0"/>
    <s v="PayAnywhere Card Reader"/>
    <n v="7.992"/>
    <n v="1"/>
    <n v="0.69930000000000003"/>
    <x v="4"/>
    <x v="3"/>
    <x v="11"/>
    <n v="8.7499999999999994E-2"/>
  </r>
  <r>
    <s v="CA-2017-151211"/>
    <x v="642"/>
    <d v="2017-08-23T00:00:00"/>
    <x v="0"/>
    <s v="AH-10120"/>
    <s v="Adrian Hane"/>
    <x v="2"/>
    <s v="United States"/>
    <x v="39"/>
    <x v="27"/>
    <x v="3"/>
    <s v="TEC-AC-10004510"/>
    <x v="0"/>
    <x v="1"/>
    <s v="Logitech Desktop MK120 Mouse and keyboard Combo"/>
    <n v="98.16"/>
    <n v="6"/>
    <n v="9.8160000000000007"/>
    <x v="3"/>
    <x v="3"/>
    <x v="1"/>
    <n v="0.1"/>
  </r>
  <r>
    <s v="CA-2016-111976"/>
    <x v="150"/>
    <d v="2016-03-12T00:00:00"/>
    <x v="0"/>
    <s v="BD-11620"/>
    <s v="Brian DeCherney"/>
    <x v="0"/>
    <s v="United States"/>
    <x v="20"/>
    <x v="12"/>
    <x v="2"/>
    <s v="TEC-PH-10002890"/>
    <x v="0"/>
    <x v="0"/>
    <s v="AT&amp;T 17929 Lendline Telephone"/>
    <n v="108.57599999999999"/>
    <n v="4"/>
    <n v="-25.334399999999999"/>
    <x v="1"/>
    <x v="1"/>
    <x v="5"/>
    <n v="-0.233333333333333"/>
  </r>
  <r>
    <s v="CA-2014-159121"/>
    <x v="455"/>
    <d v="2014-08-01T00:00:00"/>
    <x v="0"/>
    <s v="JO-15145"/>
    <s v="Jack O'Briant"/>
    <x v="1"/>
    <s v="United States"/>
    <x v="248"/>
    <x v="34"/>
    <x v="0"/>
    <s v="TEC-AC-10002006"/>
    <x v="0"/>
    <x v="1"/>
    <s v="Memorex Micro Travel Drive 16 GB"/>
    <n v="111.93"/>
    <n v="7"/>
    <n v="34.698300000000003"/>
    <x v="3"/>
    <x v="0"/>
    <x v="10"/>
    <n v="0.31"/>
  </r>
  <r>
    <s v="CA-2016-143714"/>
    <x v="200"/>
    <d v="2016-05-27T00:00:00"/>
    <x v="0"/>
    <s v="CC-12370"/>
    <s v="Christopher Conant"/>
    <x v="0"/>
    <s v="United States"/>
    <x v="20"/>
    <x v="12"/>
    <x v="2"/>
    <s v="TEC-CO-10004722"/>
    <x v="0"/>
    <x v="3"/>
    <s v="Canon imageCLASS 2200 Advanced Copier"/>
    <n v="8399.9760000000006"/>
    <n v="4"/>
    <n v="1119.9967999999999"/>
    <x v="1"/>
    <x v="1"/>
    <x v="11"/>
    <n v="0.133333333333333"/>
  </r>
  <r>
    <s v="CA-2016-143714"/>
    <x v="200"/>
    <d v="2016-05-27T00:00:00"/>
    <x v="0"/>
    <s v="CC-12370"/>
    <s v="Christopher Conant"/>
    <x v="0"/>
    <s v="United States"/>
    <x v="20"/>
    <x v="12"/>
    <x v="2"/>
    <s v="TEC-PH-10004080"/>
    <x v="0"/>
    <x v="0"/>
    <s v="Avaya 5410 Digital phone"/>
    <n v="122.38200000000001"/>
    <n v="3"/>
    <n v="-24.476400000000002"/>
    <x v="1"/>
    <x v="1"/>
    <x v="11"/>
    <n v="-0.2"/>
  </r>
  <r>
    <s v="CA-2015-121405"/>
    <x v="643"/>
    <d v="2015-04-04T00:00:00"/>
    <x v="0"/>
    <s v="FC-14335"/>
    <s v="Fred Chung"/>
    <x v="1"/>
    <s v="United States"/>
    <x v="11"/>
    <x v="2"/>
    <x v="1"/>
    <s v="TEC-PH-10002890"/>
    <x v="0"/>
    <x v="0"/>
    <s v="AT&amp;T 17929 Lendline Telephone"/>
    <n v="180.96"/>
    <n v="5"/>
    <n v="13.571999999999999"/>
    <x v="0"/>
    <x v="2"/>
    <x v="5"/>
    <n v="7.4999999999999997E-2"/>
  </r>
  <r>
    <s v="US-2017-116897"/>
    <x v="378"/>
    <d v="2017-05-29T00:00:00"/>
    <x v="2"/>
    <s v="JG-15160"/>
    <s v="James Galang"/>
    <x v="0"/>
    <s v="United States"/>
    <x v="251"/>
    <x v="45"/>
    <x v="0"/>
    <s v="TEC-PH-10004389"/>
    <x v="0"/>
    <x v="0"/>
    <s v="Nokia Lumia 925"/>
    <n v="302.37599999999998"/>
    <n v="3"/>
    <n v="22.6782"/>
    <x v="2"/>
    <x v="3"/>
    <x v="11"/>
    <n v="7.4999999999999997E-2"/>
  </r>
  <r>
    <s v="US-2015-110261"/>
    <x v="221"/>
    <d v="2015-12-23T00:00:00"/>
    <x v="1"/>
    <s v="PR-18880"/>
    <s v="Patrick Ryan"/>
    <x v="0"/>
    <s v="United States"/>
    <x v="274"/>
    <x v="2"/>
    <x v="1"/>
    <s v="TEC-PH-10001750"/>
    <x v="0"/>
    <x v="0"/>
    <s v="Samsung Rugby III"/>
    <n v="158.376"/>
    <n v="3"/>
    <n v="13.857900000000001"/>
    <x v="1"/>
    <x v="2"/>
    <x v="3"/>
    <n v="8.7499999999999994E-2"/>
  </r>
  <r>
    <s v="CA-2014-110065"/>
    <x v="567"/>
    <d v="2014-08-11T00:00:00"/>
    <x v="0"/>
    <s v="SP-20650"/>
    <s v="Stephanie Phelps"/>
    <x v="1"/>
    <s v="United States"/>
    <x v="7"/>
    <x v="5"/>
    <x v="2"/>
    <s v="TEC-PH-10002468"/>
    <x v="0"/>
    <x v="0"/>
    <s v="Plantronics CS 50-USB - headset - Convertible, Monaural"/>
    <n v="135.99"/>
    <n v="1"/>
    <n v="36.717300000000002"/>
    <x v="3"/>
    <x v="0"/>
    <x v="1"/>
    <n v="0.27"/>
  </r>
  <r>
    <s v="US-2017-133361"/>
    <x v="116"/>
    <d v="2017-05-17T00:00:00"/>
    <x v="2"/>
    <s v="AJ-10780"/>
    <s v="Anthony Jacobs"/>
    <x v="1"/>
    <s v="United States"/>
    <x v="212"/>
    <x v="33"/>
    <x v="2"/>
    <s v="TEC-AC-10003280"/>
    <x v="0"/>
    <x v="1"/>
    <s v="Belkin F8E887 USB Wired Ergonomic Keyboard"/>
    <n v="89.97"/>
    <n v="3"/>
    <n v="18.893699999999999"/>
    <x v="6"/>
    <x v="3"/>
    <x v="11"/>
    <n v="0.21"/>
  </r>
  <r>
    <s v="CA-2017-153080"/>
    <x v="644"/>
    <d v="2017-05-25T00:00:00"/>
    <x v="1"/>
    <s v="EH-13945"/>
    <s v="Eric Hoffmann"/>
    <x v="0"/>
    <s v="United States"/>
    <x v="0"/>
    <x v="0"/>
    <x v="0"/>
    <s v="TEC-AC-10002331"/>
    <x v="0"/>
    <x v="1"/>
    <s v="Maxell 74 Minute CDR, 10/Pack"/>
    <n v="68.459999999999994"/>
    <n v="7"/>
    <n v="25.330200000000001"/>
    <x v="6"/>
    <x v="3"/>
    <x v="11"/>
    <n v="0.37"/>
  </r>
  <r>
    <s v="CA-2016-163804"/>
    <x v="645"/>
    <d v="2016-12-08T00:00:00"/>
    <x v="0"/>
    <s v="DB-13270"/>
    <s v="Deborah Brumfield"/>
    <x v="2"/>
    <s v="United States"/>
    <x v="227"/>
    <x v="41"/>
    <x v="2"/>
    <s v="TEC-PH-10000441"/>
    <x v="0"/>
    <x v="0"/>
    <s v="VTech DS6151"/>
    <n v="629.95000000000005"/>
    <n v="5"/>
    <n v="176.386"/>
    <x v="3"/>
    <x v="1"/>
    <x v="3"/>
    <n v="0.28000000000000003"/>
  </r>
  <r>
    <s v="CA-2015-108532"/>
    <x v="646"/>
    <d v="2015-09-02T00:00:00"/>
    <x v="0"/>
    <s v="CC-12100"/>
    <s v="Chad Cunningham"/>
    <x v="2"/>
    <s v="United States"/>
    <x v="77"/>
    <x v="14"/>
    <x v="1"/>
    <s v="TEC-PH-10001750"/>
    <x v="0"/>
    <x v="0"/>
    <s v="Samsung Rugby III"/>
    <n v="131.97999999999999"/>
    <n v="2"/>
    <n v="35.634599999999999"/>
    <x v="1"/>
    <x v="2"/>
    <x v="1"/>
    <n v="0.27"/>
  </r>
  <r>
    <s v="CA-2015-108532"/>
    <x v="646"/>
    <d v="2015-09-02T00:00:00"/>
    <x v="0"/>
    <s v="CC-12100"/>
    <s v="Chad Cunningham"/>
    <x v="2"/>
    <s v="United States"/>
    <x v="77"/>
    <x v="14"/>
    <x v="1"/>
    <s v="TEC-AC-10004510"/>
    <x v="0"/>
    <x v="1"/>
    <s v="Logitech Desktop MK120 Mouse and keyboard Combo"/>
    <n v="114.52"/>
    <n v="7"/>
    <n v="11.452"/>
    <x v="1"/>
    <x v="2"/>
    <x v="1"/>
    <n v="0.1"/>
  </r>
  <r>
    <s v="CA-2017-140872"/>
    <x v="605"/>
    <d v="2017-06-10T00:00:00"/>
    <x v="0"/>
    <s v="NR-18550"/>
    <s v="Nick Radford"/>
    <x v="0"/>
    <s v="United States"/>
    <x v="37"/>
    <x v="15"/>
    <x v="3"/>
    <s v="TEC-AC-10003832"/>
    <x v="0"/>
    <x v="1"/>
    <s v="Logitech P710e Mobile Speakerphone"/>
    <n v="205.99199999999999"/>
    <n v="1"/>
    <n v="-2.5749"/>
    <x v="5"/>
    <x v="3"/>
    <x v="0"/>
    <n v="-1.2500000000000001E-2"/>
  </r>
  <r>
    <s v="CA-2017-140872"/>
    <x v="605"/>
    <d v="2017-06-10T00:00:00"/>
    <x v="0"/>
    <s v="NR-18550"/>
    <s v="Nick Radford"/>
    <x v="0"/>
    <s v="United States"/>
    <x v="37"/>
    <x v="15"/>
    <x v="3"/>
    <s v="TEC-PH-10000441"/>
    <x v="0"/>
    <x v="0"/>
    <s v="VTech DS6151"/>
    <n v="503.96"/>
    <n v="5"/>
    <n v="50.396000000000001"/>
    <x v="5"/>
    <x v="3"/>
    <x v="0"/>
    <n v="0.1"/>
  </r>
  <r>
    <s v="CA-2017-140872"/>
    <x v="605"/>
    <d v="2017-06-10T00:00:00"/>
    <x v="0"/>
    <s v="NR-18550"/>
    <s v="Nick Radford"/>
    <x v="0"/>
    <s v="United States"/>
    <x v="37"/>
    <x v="15"/>
    <x v="3"/>
    <s v="TEC-AC-10002942"/>
    <x v="0"/>
    <x v="1"/>
    <s v="WD My Passport Ultra 1TB Portable External Hard Drive"/>
    <n v="110.4"/>
    <n v="2"/>
    <n v="-4.1399999999999997"/>
    <x v="5"/>
    <x v="3"/>
    <x v="0"/>
    <n v="-3.7499999999999999E-2"/>
  </r>
  <r>
    <s v="CA-2017-113908"/>
    <x v="605"/>
    <d v="2017-06-09T00:00:00"/>
    <x v="0"/>
    <s v="KN-16390"/>
    <s v="Katherine Nockton"/>
    <x v="1"/>
    <s v="United States"/>
    <x v="7"/>
    <x v="5"/>
    <x v="2"/>
    <s v="TEC-MA-10003173"/>
    <x v="0"/>
    <x v="2"/>
    <s v="Hewlett-Packard 300S Scientific Calculator"/>
    <n v="78.66"/>
    <n v="6"/>
    <n v="36.183599999999998"/>
    <x v="3"/>
    <x v="3"/>
    <x v="0"/>
    <n v="0.46"/>
  </r>
  <r>
    <s v="CA-2016-113845"/>
    <x v="22"/>
    <d v="2016-11-25T00:00:00"/>
    <x v="0"/>
    <s v="FA-14230"/>
    <s v="Frank Atkinson"/>
    <x v="1"/>
    <s v="United States"/>
    <x v="191"/>
    <x v="15"/>
    <x v="3"/>
    <s v="TEC-PH-10003357"/>
    <x v="0"/>
    <x v="0"/>
    <s v="Grandstream GXP2100 Mainstream Business Phone"/>
    <n v="244.768"/>
    <n v="4"/>
    <n v="24.476800000000001"/>
    <x v="0"/>
    <x v="1"/>
    <x v="6"/>
    <n v="0.1"/>
  </r>
  <r>
    <s v="CA-2017-111262"/>
    <x v="647"/>
    <d v="2017-11-01T00:00:00"/>
    <x v="1"/>
    <s v="KH-16510"/>
    <s v="Keith Herrera"/>
    <x v="0"/>
    <s v="United States"/>
    <x v="3"/>
    <x v="1"/>
    <x v="1"/>
    <s v="TEC-AC-10002167"/>
    <x v="0"/>
    <x v="1"/>
    <s v="Imation 8gb Micro Traveldrive Usb 2.0 Flash Drive"/>
    <n v="24"/>
    <n v="2"/>
    <n v="-2.7"/>
    <x v="1"/>
    <x v="3"/>
    <x v="7"/>
    <n v="-0.1125"/>
  </r>
  <r>
    <s v="CA-2017-111262"/>
    <x v="647"/>
    <d v="2017-11-01T00:00:00"/>
    <x v="1"/>
    <s v="KH-16510"/>
    <s v="Keith Herrera"/>
    <x v="0"/>
    <s v="United States"/>
    <x v="3"/>
    <x v="1"/>
    <x v="1"/>
    <s v="TEC-AC-10004510"/>
    <x v="0"/>
    <x v="1"/>
    <s v="Logitech Desktop MK120 Mouse and keyboard Combo"/>
    <n v="26.175999999999998"/>
    <n v="2"/>
    <n v="-3.2719999999999998"/>
    <x v="1"/>
    <x v="3"/>
    <x v="7"/>
    <n v="-0.125"/>
  </r>
  <r>
    <s v="CA-2015-103135"/>
    <x v="648"/>
    <d v="2015-07-28T00:00:00"/>
    <x v="0"/>
    <s v="SS-20515"/>
    <s v="Shirley Schmidt"/>
    <x v="2"/>
    <s v="United States"/>
    <x v="39"/>
    <x v="27"/>
    <x v="3"/>
    <s v="TEC-AC-10003289"/>
    <x v="0"/>
    <x v="1"/>
    <s v="Anker Ultra-Slim Mini Bluetooth 3.0 Wireless Keyboard"/>
    <n v="279.86"/>
    <n v="14"/>
    <n v="64.367800000000003"/>
    <x v="1"/>
    <x v="2"/>
    <x v="10"/>
    <n v="0.23"/>
  </r>
  <r>
    <s v="CA-2014-129147"/>
    <x v="629"/>
    <d v="2014-11-06T00:00:00"/>
    <x v="0"/>
    <s v="LC-17050"/>
    <s v="Liz Carlisle"/>
    <x v="0"/>
    <s v="United States"/>
    <x v="27"/>
    <x v="9"/>
    <x v="2"/>
    <s v="TEC-PH-10001299"/>
    <x v="0"/>
    <x v="0"/>
    <s v="Polycom CX300 Desktop Phone USB VoIP phone"/>
    <n v="539.96400000000006"/>
    <n v="6"/>
    <n v="-107.9928"/>
    <x v="1"/>
    <x v="0"/>
    <x v="6"/>
    <n v="-0.2"/>
  </r>
  <r>
    <s v="CA-2014-129147"/>
    <x v="629"/>
    <d v="2014-11-06T00:00:00"/>
    <x v="0"/>
    <s v="LC-17050"/>
    <s v="Liz Carlisle"/>
    <x v="0"/>
    <s v="United States"/>
    <x v="27"/>
    <x v="9"/>
    <x v="2"/>
    <s v="TEC-PH-10001552"/>
    <x v="0"/>
    <x v="0"/>
    <s v="I Need's 3d Hello Kitty Hybrid Silicone Case Cover for HTC One X 4g with 3d Hello Kitty Stylus Pen Green/pink"/>
    <n v="50.231999999999999"/>
    <n v="7"/>
    <n v="-10.0464"/>
    <x v="1"/>
    <x v="0"/>
    <x v="6"/>
    <n v="-0.2"/>
  </r>
  <r>
    <s v="CA-2017-167640"/>
    <x v="649"/>
    <d v="2017-03-10T00:00:00"/>
    <x v="0"/>
    <s v="FC-14245"/>
    <s v="Frank Carlisle"/>
    <x v="2"/>
    <s v="United States"/>
    <x v="1"/>
    <x v="0"/>
    <x v="0"/>
    <s v="TEC-PH-10001336"/>
    <x v="0"/>
    <x v="0"/>
    <s v="Digium D40 VoIP phone"/>
    <n v="206.38399999999999"/>
    <n v="2"/>
    <n v="23.2182"/>
    <x v="1"/>
    <x v="3"/>
    <x v="5"/>
    <n v="0.1125"/>
  </r>
  <r>
    <s v="CA-2016-129308"/>
    <x v="467"/>
    <d v="2016-07-13T00:00:00"/>
    <x v="0"/>
    <s v="CC-12100"/>
    <s v="Chad Cunningham"/>
    <x v="2"/>
    <s v="United States"/>
    <x v="20"/>
    <x v="12"/>
    <x v="2"/>
    <s v="TEC-PH-10002310"/>
    <x v="0"/>
    <x v="0"/>
    <s v="Panasonic KX T7731-B Digital phone"/>
    <n v="59.994"/>
    <n v="1"/>
    <n v="-12.998699999999999"/>
    <x v="3"/>
    <x v="1"/>
    <x v="10"/>
    <n v="-0.21666666666666701"/>
  </r>
  <r>
    <s v="CA-2016-157791"/>
    <x v="650"/>
    <d v="2016-12-28T00:00:00"/>
    <x v="1"/>
    <s v="CA-11965"/>
    <s v="Carol Adams"/>
    <x v="1"/>
    <s v="United States"/>
    <x v="148"/>
    <x v="41"/>
    <x v="2"/>
    <s v="TEC-CO-10002095"/>
    <x v="0"/>
    <x v="3"/>
    <s v="Hewlett Packard 610 Color Digital Copier / Printer"/>
    <n v="1999.96"/>
    <n v="4"/>
    <n v="899.98199999999997"/>
    <x v="0"/>
    <x v="1"/>
    <x v="3"/>
    <n v="0.45"/>
  </r>
  <r>
    <s v="US-2017-107384"/>
    <x v="579"/>
    <d v="2017-12-08T00:00:00"/>
    <x v="0"/>
    <s v="TP-21130"/>
    <s v="Theone Pippenger"/>
    <x v="0"/>
    <s v="United States"/>
    <x v="10"/>
    <x v="3"/>
    <x v="1"/>
    <s v="TEC-AC-10004595"/>
    <x v="0"/>
    <x v="1"/>
    <s v="First Data TMFD35 PIN Pad"/>
    <n v="142.80000000000001"/>
    <n v="1"/>
    <n v="29.988"/>
    <x v="1"/>
    <x v="3"/>
    <x v="3"/>
    <n v="0.21"/>
  </r>
  <r>
    <s v="US-2017-107384"/>
    <x v="579"/>
    <d v="2017-12-08T00:00:00"/>
    <x v="0"/>
    <s v="TP-21130"/>
    <s v="Theone Pippenger"/>
    <x v="0"/>
    <s v="United States"/>
    <x v="10"/>
    <x v="3"/>
    <x v="1"/>
    <s v="TEC-AC-10001539"/>
    <x v="0"/>
    <x v="1"/>
    <s v="Logitech G430 Surround Sound Gaming Headset with Dolby 7.1 Technology"/>
    <n v="399.95"/>
    <n v="5"/>
    <n v="143.982"/>
    <x v="1"/>
    <x v="3"/>
    <x v="3"/>
    <n v="0.36"/>
  </r>
  <r>
    <s v="CA-2015-109862"/>
    <x v="651"/>
    <d v="2015-10-30T00:00:00"/>
    <x v="0"/>
    <s v="HK-14890"/>
    <s v="Heather Kirkland"/>
    <x v="1"/>
    <s v="United States"/>
    <x v="129"/>
    <x v="4"/>
    <x v="2"/>
    <s v="TEC-PH-10004042"/>
    <x v="0"/>
    <x v="0"/>
    <s v="ClearOne Communications CHAT 70 OC Speaker Phone"/>
    <n v="158.99"/>
    <n v="1"/>
    <n v="41.337400000000002"/>
    <x v="0"/>
    <x v="2"/>
    <x v="7"/>
    <n v="0.26"/>
  </r>
  <r>
    <s v="US-2017-107888"/>
    <x v="405"/>
    <d v="2017-11-19T00:00:00"/>
    <x v="2"/>
    <s v="CC-12220"/>
    <s v="Chris Cortes"/>
    <x v="0"/>
    <s v="United States"/>
    <x v="45"/>
    <x v="17"/>
    <x v="0"/>
    <s v="TEC-PH-10003171"/>
    <x v="0"/>
    <x v="0"/>
    <s v="Plantronics Encore H101 Dual Earpieces Headset"/>
    <n v="107.88"/>
    <n v="3"/>
    <n v="10.788"/>
    <x v="6"/>
    <x v="3"/>
    <x v="6"/>
    <n v="0.1"/>
  </r>
  <r>
    <s v="CA-2014-137092"/>
    <x v="652"/>
    <d v="2014-10-22T00:00:00"/>
    <x v="1"/>
    <s v="LS-16975"/>
    <s v="Lindsay Shagiari"/>
    <x v="2"/>
    <s v="United States"/>
    <x v="11"/>
    <x v="2"/>
    <x v="1"/>
    <s v="TEC-AC-10001606"/>
    <x v="0"/>
    <x v="1"/>
    <s v="Logitech Wireless Performance Mouse MX for PC and Mac"/>
    <n v="319.96800000000002"/>
    <n v="4"/>
    <n v="71.992800000000003"/>
    <x v="2"/>
    <x v="0"/>
    <x v="7"/>
    <n v="0.22500000000000001"/>
  </r>
  <r>
    <s v="CA-2014-100678"/>
    <x v="431"/>
    <d v="2014-04-22T00:00:00"/>
    <x v="0"/>
    <s v="KM-16720"/>
    <s v="Kunst Miller"/>
    <x v="0"/>
    <s v="United States"/>
    <x v="3"/>
    <x v="1"/>
    <x v="1"/>
    <s v="TEC-AC-10000474"/>
    <x v="0"/>
    <x v="1"/>
    <s v="Kensington Expert Mouse Optical USB Trackball for PC or Mac"/>
    <n v="227.976"/>
    <n v="3"/>
    <n v="28.497"/>
    <x v="1"/>
    <x v="0"/>
    <x v="9"/>
    <n v="0.125"/>
  </r>
  <r>
    <s v="CA-2016-160535"/>
    <x v="653"/>
    <d v="2016-11-30T00:00:00"/>
    <x v="0"/>
    <s v="BP-11050"/>
    <s v="Barry Pond"/>
    <x v="1"/>
    <s v="United States"/>
    <x v="163"/>
    <x v="26"/>
    <x v="2"/>
    <s v="TEC-MA-10004255"/>
    <x v="0"/>
    <x v="2"/>
    <s v="Konica Minolta magicolor 1690MF Multifunction Printer"/>
    <n v="319.92"/>
    <n v="8"/>
    <n v="118.3704"/>
    <x v="0"/>
    <x v="1"/>
    <x v="6"/>
    <n v="0.37"/>
  </r>
  <r>
    <s v="CA-2017-123085"/>
    <x v="420"/>
    <d v="2017-03-08T00:00:00"/>
    <x v="0"/>
    <s v="EJ-13720"/>
    <s v="Ed Jacobs"/>
    <x v="0"/>
    <s v="United States"/>
    <x v="0"/>
    <x v="0"/>
    <x v="0"/>
    <s v="TEC-AC-10000990"/>
    <x v="0"/>
    <x v="1"/>
    <s v="Imation Bio 2GB USB Flash Drive Imation Corp"/>
    <n v="1049.44"/>
    <n v="8"/>
    <n v="440.76479999999998"/>
    <x v="0"/>
    <x v="3"/>
    <x v="5"/>
    <n v="0.42"/>
  </r>
  <r>
    <s v="CA-2015-153752"/>
    <x v="157"/>
    <d v="2015-12-11T00:00:00"/>
    <x v="1"/>
    <s v="RO-19780"/>
    <s v="Rose O'Brian"/>
    <x v="0"/>
    <s v="United States"/>
    <x v="130"/>
    <x v="23"/>
    <x v="3"/>
    <s v="TEC-PH-10001615"/>
    <x v="0"/>
    <x v="0"/>
    <s v="AT&amp;T CL82213"/>
    <n v="173.94"/>
    <n v="6"/>
    <n v="50.442599999999999"/>
    <x v="0"/>
    <x v="2"/>
    <x v="3"/>
    <n v="0.28999999999999998"/>
  </r>
  <r>
    <s v="CA-2014-103660"/>
    <x v="608"/>
    <d v="2014-08-30T00:00:00"/>
    <x v="0"/>
    <s v="MW-18220"/>
    <s v="Mitch Webber"/>
    <x v="0"/>
    <s v="United States"/>
    <x v="45"/>
    <x v="17"/>
    <x v="0"/>
    <s v="TEC-PH-10000895"/>
    <x v="0"/>
    <x v="0"/>
    <s v="Polycom VVX 310 VoIP phone"/>
    <n v="1007.944"/>
    <n v="7"/>
    <n v="75.595799999999997"/>
    <x v="0"/>
    <x v="0"/>
    <x v="1"/>
    <n v="7.4999999999999997E-2"/>
  </r>
  <r>
    <s v="CA-2016-148516"/>
    <x v="654"/>
    <d v="2016-08-11T00:00:00"/>
    <x v="0"/>
    <s v="DW-13585"/>
    <s v="Dorothy Wardle"/>
    <x v="1"/>
    <s v="United States"/>
    <x v="71"/>
    <x v="17"/>
    <x v="0"/>
    <s v="TEC-AC-10003610"/>
    <x v="0"/>
    <x v="1"/>
    <s v="Logitech Illuminated - Keyboard"/>
    <n v="179.97"/>
    <n v="3"/>
    <n v="86.385599999999997"/>
    <x v="1"/>
    <x v="1"/>
    <x v="1"/>
    <n v="0.48"/>
  </r>
  <r>
    <s v="CA-2017-104731"/>
    <x v="492"/>
    <d v="2017-07-27T00:00:00"/>
    <x v="0"/>
    <s v="AM-10705"/>
    <s v="Anne McFarland"/>
    <x v="0"/>
    <s v="United States"/>
    <x v="53"/>
    <x v="23"/>
    <x v="3"/>
    <s v="TEC-PH-10002660"/>
    <x v="0"/>
    <x v="0"/>
    <s v="Nortel Networks T7316 E Nt8 B27"/>
    <n v="271.95999999999998"/>
    <n v="4"/>
    <n v="67.989999999999995"/>
    <x v="3"/>
    <x v="3"/>
    <x v="10"/>
    <n v="0.25"/>
  </r>
  <r>
    <s v="CA-2015-103716"/>
    <x v="372"/>
    <d v="2015-05-06T00:00:00"/>
    <x v="0"/>
    <s v="KB-16585"/>
    <s v="Ken Black"/>
    <x v="1"/>
    <s v="United States"/>
    <x v="1"/>
    <x v="0"/>
    <x v="0"/>
    <s v="TEC-PH-10000347"/>
    <x v="0"/>
    <x v="0"/>
    <s v="Cush Cases Heavy Duty Rugged Cover Case for Samsung Galaxy S5 - Purple"/>
    <n v="19.8"/>
    <n v="5"/>
    <n v="1.7324999999999999"/>
    <x v="3"/>
    <x v="2"/>
    <x v="9"/>
    <n v="8.7499999999999994E-2"/>
  </r>
  <r>
    <s v="CA-2016-148852"/>
    <x v="181"/>
    <d v="2016-05-31T00:00:00"/>
    <x v="0"/>
    <s v="SV-20785"/>
    <s v="Stewart Visinsky"/>
    <x v="0"/>
    <s v="United States"/>
    <x v="72"/>
    <x v="0"/>
    <x v="0"/>
    <s v="TEC-PH-10003885"/>
    <x v="0"/>
    <x v="0"/>
    <s v="Cisco SPA508G"/>
    <n v="211.16800000000001"/>
    <n v="4"/>
    <n v="23.756399999999999"/>
    <x v="0"/>
    <x v="1"/>
    <x v="11"/>
    <n v="0.1125"/>
  </r>
  <r>
    <s v="CA-2016-148852"/>
    <x v="181"/>
    <d v="2016-05-31T00:00:00"/>
    <x v="0"/>
    <s v="SV-20785"/>
    <s v="Stewart Visinsky"/>
    <x v="0"/>
    <s v="United States"/>
    <x v="72"/>
    <x v="0"/>
    <x v="0"/>
    <s v="TEC-MA-10002428"/>
    <x v="0"/>
    <x v="2"/>
    <s v="Fellowes Powershred HS-440 4-Sheet High Security Shredder"/>
    <n v="371.976"/>
    <n v="3"/>
    <n v="116.24250000000001"/>
    <x v="0"/>
    <x v="1"/>
    <x v="11"/>
    <n v="0.3125"/>
  </r>
  <r>
    <s v="CA-2015-107678"/>
    <x v="655"/>
    <d v="2015-04-28T00:00:00"/>
    <x v="0"/>
    <s v="JK-16090"/>
    <s v="Juliana Krohn"/>
    <x v="0"/>
    <s v="United States"/>
    <x v="39"/>
    <x v="27"/>
    <x v="3"/>
    <s v="TEC-PH-10002103"/>
    <x v="0"/>
    <x v="0"/>
    <s v="Jabra SPEAK 410"/>
    <n v="469.95"/>
    <n v="5"/>
    <n v="131.58600000000001"/>
    <x v="5"/>
    <x v="2"/>
    <x v="9"/>
    <n v="0.28000000000000003"/>
  </r>
  <r>
    <s v="CA-2014-145541"/>
    <x v="264"/>
    <d v="2014-12-21T00:00:00"/>
    <x v="0"/>
    <s v="TB-21400"/>
    <s v="Tom Boeckenhauer"/>
    <x v="0"/>
    <s v="United States"/>
    <x v="7"/>
    <x v="5"/>
    <x v="2"/>
    <s v="TEC-MA-10001127"/>
    <x v="0"/>
    <x v="2"/>
    <s v="HP Designjet T520 Inkjet Large Format Printer - 24&quot; Color"/>
    <n v="6999.96"/>
    <n v="4"/>
    <n v="2239.9872"/>
    <x v="5"/>
    <x v="0"/>
    <x v="3"/>
    <n v="0.32"/>
  </r>
  <r>
    <s v="CA-2015-135489"/>
    <x v="554"/>
    <d v="2015-09-22T00:00:00"/>
    <x v="1"/>
    <s v="GW-14605"/>
    <s v="Giulietta Weimer"/>
    <x v="0"/>
    <s v="United States"/>
    <x v="7"/>
    <x v="5"/>
    <x v="2"/>
    <s v="TEC-PH-10000011"/>
    <x v="0"/>
    <x v="0"/>
    <s v="PureGear Roll-On Screen Protector"/>
    <n v="279.86"/>
    <n v="14"/>
    <n v="134.33279999999999"/>
    <x v="6"/>
    <x v="2"/>
    <x v="4"/>
    <n v="0.48"/>
  </r>
  <r>
    <s v="CA-2016-166275"/>
    <x v="587"/>
    <d v="2016-10-24T00:00:00"/>
    <x v="3"/>
    <s v="SS-20590"/>
    <s v="Sonia Sunley"/>
    <x v="0"/>
    <s v="United States"/>
    <x v="1"/>
    <x v="0"/>
    <x v="0"/>
    <s v="TEC-AC-10001838"/>
    <x v="0"/>
    <x v="1"/>
    <s v="Razer Tiamat Over Ear 7.1 Surround Sound PC Gaming Headset"/>
    <n v="199.99"/>
    <n v="1"/>
    <n v="85.995699999999999"/>
    <x v="7"/>
    <x v="1"/>
    <x v="7"/>
    <n v="0.43"/>
  </r>
  <r>
    <s v="CA-2017-144498"/>
    <x v="263"/>
    <d v="2017-05-06T00:00:00"/>
    <x v="3"/>
    <s v="MB-18085"/>
    <s v="Mick Brown"/>
    <x v="0"/>
    <s v="United States"/>
    <x v="13"/>
    <x v="8"/>
    <x v="3"/>
    <s v="TEC-PH-10004977"/>
    <x v="0"/>
    <x v="0"/>
    <s v="GE 30524EE4"/>
    <n v="627.16800000000001"/>
    <n v="4"/>
    <n v="70.556399999999996"/>
    <x v="7"/>
    <x v="3"/>
    <x v="11"/>
    <n v="0.1125"/>
  </r>
  <r>
    <s v="CA-2017-128328"/>
    <x v="656"/>
    <d v="2017-08-09T00:00:00"/>
    <x v="0"/>
    <s v="PO-18865"/>
    <s v="Patrick O'Donnell"/>
    <x v="0"/>
    <s v="United States"/>
    <x v="209"/>
    <x v="21"/>
    <x v="1"/>
    <s v="TEC-AC-10001714"/>
    <x v="0"/>
    <x v="1"/>
    <s v="Logitech MX Performance Wireless Mouse"/>
    <n v="79.78"/>
    <n v="2"/>
    <n v="29.518599999999999"/>
    <x v="1"/>
    <x v="3"/>
    <x v="1"/>
    <n v="0.37"/>
  </r>
  <r>
    <s v="US-2015-156496"/>
    <x v="657"/>
    <d v="2015-08-16T00:00:00"/>
    <x v="0"/>
    <s v="WB-21850"/>
    <s v="William Brown"/>
    <x v="0"/>
    <s v="United States"/>
    <x v="218"/>
    <x v="16"/>
    <x v="0"/>
    <s v="TEC-PH-10000576"/>
    <x v="0"/>
    <x v="0"/>
    <s v="AT&amp;T 1080 Corded phone"/>
    <n v="438.36799999999999"/>
    <n v="4"/>
    <n v="38.357199999999999"/>
    <x v="3"/>
    <x v="2"/>
    <x v="1"/>
    <n v="8.7499999999999994E-2"/>
  </r>
  <r>
    <s v="US-2015-156496"/>
    <x v="657"/>
    <d v="2015-08-16T00:00:00"/>
    <x v="0"/>
    <s v="WB-21850"/>
    <s v="William Brown"/>
    <x v="0"/>
    <s v="United States"/>
    <x v="218"/>
    <x v="16"/>
    <x v="0"/>
    <s v="TEC-PH-10004188"/>
    <x v="0"/>
    <x v="0"/>
    <s v="OtterBox Commuter Series Case - Samsung Galaxy S4"/>
    <n v="139.94399999999999"/>
    <n v="7"/>
    <n v="-31.487400000000001"/>
    <x v="3"/>
    <x v="2"/>
    <x v="1"/>
    <n v="-0.22500000000000001"/>
  </r>
  <r>
    <s v="US-2017-124779"/>
    <x v="381"/>
    <d v="2017-09-11T00:00:00"/>
    <x v="2"/>
    <s v="BF-11020"/>
    <s v="Barry Französisch"/>
    <x v="1"/>
    <s v="United States"/>
    <x v="130"/>
    <x v="1"/>
    <x v="1"/>
    <s v="TEC-CO-10001943"/>
    <x v="0"/>
    <x v="3"/>
    <s v="Canon PC-428 Personal Copier"/>
    <n v="319.98399999999998"/>
    <n v="2"/>
    <n v="107.99460000000001"/>
    <x v="6"/>
    <x v="3"/>
    <x v="4"/>
    <n v="0.33750000000000002"/>
  </r>
  <r>
    <s v="CA-2017-135937"/>
    <x v="112"/>
    <d v="2017-02-27T00:00:00"/>
    <x v="0"/>
    <s v="KM-16375"/>
    <s v="Katherine Murray"/>
    <x v="2"/>
    <s v="United States"/>
    <x v="9"/>
    <x v="6"/>
    <x v="0"/>
    <s v="TEC-PH-10004447"/>
    <x v="0"/>
    <x v="0"/>
    <s v="Toshiba IPT2010-SD IP Telephone"/>
    <n v="333.57600000000002"/>
    <n v="3"/>
    <n v="25.0182"/>
    <x v="5"/>
    <x v="3"/>
    <x v="8"/>
    <n v="7.4999999999999997E-2"/>
  </r>
  <r>
    <s v="CA-2017-135937"/>
    <x v="112"/>
    <d v="2017-02-27T00:00:00"/>
    <x v="0"/>
    <s v="KM-16375"/>
    <s v="Katherine Murray"/>
    <x v="2"/>
    <s v="United States"/>
    <x v="9"/>
    <x v="6"/>
    <x v="0"/>
    <s v="TEC-AC-10001114"/>
    <x v="0"/>
    <x v="1"/>
    <s v="Microsoft Wireless Mobile Mouse 4000"/>
    <n v="31.992000000000001"/>
    <n v="1"/>
    <n v="4.7988"/>
    <x v="5"/>
    <x v="3"/>
    <x v="8"/>
    <n v="0.15"/>
  </r>
  <r>
    <s v="CA-2017-122175"/>
    <x v="658"/>
    <d v="2017-05-14T00:00:00"/>
    <x v="1"/>
    <s v="CA-12775"/>
    <s v="Cynthia Arntzen"/>
    <x v="0"/>
    <s v="United States"/>
    <x v="275"/>
    <x v="26"/>
    <x v="2"/>
    <s v="TEC-AC-10004859"/>
    <x v="0"/>
    <x v="1"/>
    <s v="Maxell Pro 80 Minute CD-R, 10/Pack"/>
    <n v="87.4"/>
    <n v="5"/>
    <n v="34.96"/>
    <x v="2"/>
    <x v="3"/>
    <x v="11"/>
    <n v="0.4"/>
  </r>
  <r>
    <s v="CA-2015-109337"/>
    <x v="494"/>
    <d v="2015-11-23T00:00:00"/>
    <x v="1"/>
    <s v="DL-13330"/>
    <s v="Denise Leinenbach"/>
    <x v="0"/>
    <s v="United States"/>
    <x v="200"/>
    <x v="21"/>
    <x v="1"/>
    <s v="TEC-MA-10002930"/>
    <x v="0"/>
    <x v="2"/>
    <s v="Ricoh - Ink Collector Unit for GX3000 Series Printers"/>
    <n v="83.9"/>
    <n v="2"/>
    <n v="22.652999999999999"/>
    <x v="2"/>
    <x v="2"/>
    <x v="6"/>
    <n v="0.27"/>
  </r>
  <r>
    <s v="CA-2015-109337"/>
    <x v="494"/>
    <d v="2015-11-23T00:00:00"/>
    <x v="1"/>
    <s v="DL-13330"/>
    <s v="Denise Leinenbach"/>
    <x v="0"/>
    <s v="United States"/>
    <x v="200"/>
    <x v="21"/>
    <x v="1"/>
    <s v="TEC-AC-10000990"/>
    <x v="0"/>
    <x v="1"/>
    <s v="Imation Bio 2GB USB Flash Drive Imation Corp"/>
    <n v="393.54"/>
    <n v="3"/>
    <n v="165.2868"/>
    <x v="2"/>
    <x v="2"/>
    <x v="6"/>
    <n v="0.42"/>
  </r>
  <r>
    <s v="CA-2017-140494"/>
    <x v="177"/>
    <d v="2017-03-15T00:00:00"/>
    <x v="1"/>
    <s v="CM-11815"/>
    <s v="Candace McMahon"/>
    <x v="1"/>
    <s v="United States"/>
    <x v="1"/>
    <x v="0"/>
    <x v="0"/>
    <s v="TEC-AC-10004568"/>
    <x v="0"/>
    <x v="1"/>
    <s v="Maxell LTO Ultrium - 800 GB"/>
    <n v="111.96"/>
    <n v="4"/>
    <n v="21.272400000000001"/>
    <x v="0"/>
    <x v="3"/>
    <x v="5"/>
    <n v="0.19"/>
  </r>
  <r>
    <s v="US-2016-163538"/>
    <x v="204"/>
    <d v="2016-08-30T00:00:00"/>
    <x v="0"/>
    <s v="SS-20515"/>
    <s v="Shirley Schmidt"/>
    <x v="2"/>
    <s v="United States"/>
    <x v="17"/>
    <x v="10"/>
    <x v="1"/>
    <s v="TEC-AC-10002006"/>
    <x v="0"/>
    <x v="1"/>
    <s v="Memorex Micro Travel Drive 16 GB"/>
    <n v="47.97"/>
    <n v="3"/>
    <n v="14.870699999999999"/>
    <x v="1"/>
    <x v="1"/>
    <x v="1"/>
    <n v="0.31"/>
  </r>
  <r>
    <s v="CA-2015-139164"/>
    <x v="216"/>
    <d v="2015-06-28T00:00:00"/>
    <x v="0"/>
    <s v="CS-12355"/>
    <s v="Christine Sundaresam"/>
    <x v="0"/>
    <s v="United States"/>
    <x v="113"/>
    <x v="0"/>
    <x v="0"/>
    <s v="TEC-PH-10002468"/>
    <x v="0"/>
    <x v="0"/>
    <s v="Plantronics CS 50-USB - headset - Convertible, Monaural"/>
    <n v="217.584"/>
    <n v="2"/>
    <n v="19.038599999999999"/>
    <x v="0"/>
    <x v="2"/>
    <x v="0"/>
    <n v="8.7499999999999994E-2"/>
  </r>
  <r>
    <s v="CA-2015-139164"/>
    <x v="216"/>
    <d v="2015-06-28T00:00:00"/>
    <x v="0"/>
    <s v="CS-12355"/>
    <s v="Christine Sundaresam"/>
    <x v="0"/>
    <s v="United States"/>
    <x v="113"/>
    <x v="0"/>
    <x v="0"/>
    <s v="TEC-PH-10003931"/>
    <x v="0"/>
    <x v="0"/>
    <s v="JBL Micro Wireless Portable Bluetooth Speaker"/>
    <n v="143.976"/>
    <n v="3"/>
    <n v="8.9984999999999999"/>
    <x v="0"/>
    <x v="2"/>
    <x v="0"/>
    <n v="6.25E-2"/>
  </r>
  <r>
    <s v="CA-2016-112277"/>
    <x v="317"/>
    <d v="2016-09-15T00:00:00"/>
    <x v="0"/>
    <s v="SC-20695"/>
    <s v="Steve Chapman"/>
    <x v="1"/>
    <s v="United States"/>
    <x v="196"/>
    <x v="15"/>
    <x v="3"/>
    <s v="TEC-PH-10003505"/>
    <x v="0"/>
    <x v="0"/>
    <s v="Geemarc AmpliPOWER60"/>
    <n v="519.67999999999995"/>
    <n v="7"/>
    <n v="58.463999999999999"/>
    <x v="0"/>
    <x v="1"/>
    <x v="4"/>
    <n v="0.1125"/>
  </r>
  <r>
    <s v="CA-2017-107629"/>
    <x v="408"/>
    <d v="2017-12-14T00:00:00"/>
    <x v="3"/>
    <s v="DB-13060"/>
    <s v="Dave Brooks"/>
    <x v="0"/>
    <s v="United States"/>
    <x v="276"/>
    <x v="2"/>
    <x v="1"/>
    <s v="TEC-AC-10004510"/>
    <x v="0"/>
    <x v="1"/>
    <s v="Logitech Desktop MK120 Mouse and keyboard Combo"/>
    <n v="39.264000000000003"/>
    <n v="3"/>
    <n v="-4.9080000000000004"/>
    <x v="7"/>
    <x v="3"/>
    <x v="3"/>
    <n v="-0.125"/>
  </r>
  <r>
    <s v="CA-2017-102974"/>
    <x v="619"/>
    <d v="2017-09-24T00:00:00"/>
    <x v="0"/>
    <s v="DP-13105"/>
    <s v="Dave Poirier"/>
    <x v="1"/>
    <s v="United States"/>
    <x v="0"/>
    <x v="0"/>
    <x v="0"/>
    <s v="TEC-AC-10000057"/>
    <x v="0"/>
    <x v="1"/>
    <s v="Microsoft Natural Ergonomic Keyboard 4000"/>
    <n v="149.94999999999999"/>
    <n v="5"/>
    <n v="31.4895"/>
    <x v="0"/>
    <x v="3"/>
    <x v="4"/>
    <n v="0.21"/>
  </r>
  <r>
    <s v="CA-2017-111269"/>
    <x v="119"/>
    <d v="2017-06-18T00:00:00"/>
    <x v="1"/>
    <s v="CS-12355"/>
    <s v="Christine Sundaresam"/>
    <x v="0"/>
    <s v="United States"/>
    <x v="28"/>
    <x v="9"/>
    <x v="2"/>
    <s v="TEC-AC-10001606"/>
    <x v="0"/>
    <x v="1"/>
    <s v="Logitech Wireless Performance Mouse MX for PC and Mac"/>
    <n v="479.952"/>
    <n v="6"/>
    <n v="107.9892"/>
    <x v="2"/>
    <x v="3"/>
    <x v="0"/>
    <n v="0.22500000000000001"/>
  </r>
  <r>
    <s v="CA-2017-159156"/>
    <x v="335"/>
    <d v="2017-11-16T00:00:00"/>
    <x v="2"/>
    <s v="KB-16600"/>
    <s v="Ken Brennan"/>
    <x v="1"/>
    <s v="United States"/>
    <x v="7"/>
    <x v="5"/>
    <x v="2"/>
    <s v="TEC-PH-10004389"/>
    <x v="0"/>
    <x v="0"/>
    <s v="Nokia Lumia 925"/>
    <n v="629.95000000000005"/>
    <n v="5"/>
    <n v="163.78700000000001"/>
    <x v="6"/>
    <x v="3"/>
    <x v="6"/>
    <n v="0.26"/>
  </r>
  <r>
    <s v="CA-2017-100230"/>
    <x v="56"/>
    <d v="2017-12-15T00:00:00"/>
    <x v="0"/>
    <s v="AA-10375"/>
    <s v="Allen Armold"/>
    <x v="0"/>
    <s v="United States"/>
    <x v="7"/>
    <x v="5"/>
    <x v="2"/>
    <s v="TEC-PH-10004522"/>
    <x v="0"/>
    <x v="0"/>
    <s v="Dexim XPower Skin Super-Thin Power Case for iPhone 5 - Black"/>
    <n v="116.98"/>
    <n v="2"/>
    <n v="29.245000000000001"/>
    <x v="1"/>
    <x v="3"/>
    <x v="3"/>
    <n v="0.25"/>
  </r>
  <r>
    <s v="CA-2017-124205"/>
    <x v="128"/>
    <d v="2017-09-19T00:00:00"/>
    <x v="0"/>
    <s v="TC-21145"/>
    <s v="Theresa Coyne"/>
    <x v="1"/>
    <s v="United States"/>
    <x v="95"/>
    <x v="26"/>
    <x v="2"/>
    <s v="TEC-PH-10002115"/>
    <x v="0"/>
    <x v="0"/>
    <s v="Plantronics 81402"/>
    <n v="395.94"/>
    <n v="6"/>
    <n v="102.9444"/>
    <x v="1"/>
    <x v="3"/>
    <x v="4"/>
    <n v="0.26"/>
  </r>
  <r>
    <s v="CA-2016-144764"/>
    <x v="659"/>
    <d v="2016-09-08T00:00:00"/>
    <x v="0"/>
    <s v="RL-19615"/>
    <s v="Rob Lucas"/>
    <x v="0"/>
    <s v="United States"/>
    <x v="11"/>
    <x v="2"/>
    <x v="1"/>
    <s v="TEC-MA-10003230"/>
    <x v="0"/>
    <x v="2"/>
    <s v="Okidata C610n Printer"/>
    <n v="1362.9"/>
    <n v="3"/>
    <n v="-19.47"/>
    <x v="3"/>
    <x v="1"/>
    <x v="4"/>
    <n v="-1.4285714285714299E-2"/>
  </r>
  <r>
    <s v="US-2017-166037"/>
    <x v="198"/>
    <d v="2017-02-01T00:00:00"/>
    <x v="0"/>
    <s v="CL-12700"/>
    <s v="Craig Leslie"/>
    <x v="2"/>
    <s v="United States"/>
    <x v="7"/>
    <x v="5"/>
    <x v="2"/>
    <s v="TEC-AC-10002800"/>
    <x v="0"/>
    <x v="1"/>
    <s v="Plantronics Audio 478 Stereo USB Headset"/>
    <n v="449.91"/>
    <n v="9"/>
    <n v="157.46850000000001"/>
    <x v="1"/>
    <x v="3"/>
    <x v="2"/>
    <n v="0.35"/>
  </r>
  <r>
    <s v="CA-2015-145394"/>
    <x v="359"/>
    <d v="2015-11-20T00:00:00"/>
    <x v="0"/>
    <s v="MC-17605"/>
    <s v="Matt Connell"/>
    <x v="1"/>
    <s v="United States"/>
    <x v="11"/>
    <x v="2"/>
    <x v="1"/>
    <s v="TEC-PH-10001051"/>
    <x v="0"/>
    <x v="0"/>
    <s v="HTC One"/>
    <n v="239.976"/>
    <n v="3"/>
    <n v="26.997299999999999"/>
    <x v="1"/>
    <x v="2"/>
    <x v="6"/>
    <n v="0.1125"/>
  </r>
  <r>
    <s v="CA-2016-109827"/>
    <x v="243"/>
    <d v="2017-01-01T00:00:00"/>
    <x v="0"/>
    <s v="LW-16825"/>
    <s v="Laurel Workman"/>
    <x v="1"/>
    <s v="United States"/>
    <x v="80"/>
    <x v="6"/>
    <x v="0"/>
    <s v="TEC-MA-10003356"/>
    <x v="0"/>
    <x v="2"/>
    <s v="Panasonic KX MC6040 Color Laser Multifunction Printer"/>
    <n v="269.97000000000003"/>
    <n v="2"/>
    <n v="-386.95699999999999"/>
    <x v="5"/>
    <x v="1"/>
    <x v="3"/>
    <n v="-1.43333333333333"/>
  </r>
  <r>
    <s v="CA-2016-109827"/>
    <x v="243"/>
    <d v="2017-01-01T00:00:00"/>
    <x v="0"/>
    <s v="LW-16825"/>
    <s v="Laurel Workman"/>
    <x v="1"/>
    <s v="United States"/>
    <x v="80"/>
    <x v="6"/>
    <x v="0"/>
    <s v="TEC-AC-10002217"/>
    <x v="0"/>
    <x v="1"/>
    <s v="Imation Clip USB flash drive - 8 GB"/>
    <n v="45.12"/>
    <n v="3"/>
    <n v="-7.8959999999999999"/>
    <x v="5"/>
    <x v="1"/>
    <x v="3"/>
    <n v="-0.17499999999999999"/>
  </r>
  <r>
    <s v="CA-2016-109827"/>
    <x v="243"/>
    <d v="2017-01-01T00:00:00"/>
    <x v="0"/>
    <s v="LW-16825"/>
    <s v="Laurel Workman"/>
    <x v="1"/>
    <s v="United States"/>
    <x v="80"/>
    <x v="6"/>
    <x v="0"/>
    <s v="TEC-AC-10004353"/>
    <x v="0"/>
    <x v="1"/>
    <s v="Hypercom P1300 Pinpad"/>
    <n v="100.8"/>
    <n v="2"/>
    <n v="21.42"/>
    <x v="5"/>
    <x v="1"/>
    <x v="3"/>
    <n v="0.21249999999999999"/>
  </r>
  <r>
    <s v="CA-2014-152233"/>
    <x v="660"/>
    <d v="2014-10-06T00:00:00"/>
    <x v="2"/>
    <s v="KH-16510"/>
    <s v="Keith Herrera"/>
    <x v="0"/>
    <s v="United States"/>
    <x v="137"/>
    <x v="0"/>
    <x v="0"/>
    <s v="TEC-AC-10002800"/>
    <x v="0"/>
    <x v="1"/>
    <s v="Plantronics Audio 478 Stereo USB Headset"/>
    <n v="99.98"/>
    <n v="2"/>
    <n v="34.993000000000002"/>
    <x v="4"/>
    <x v="0"/>
    <x v="7"/>
    <n v="0.35"/>
  </r>
  <r>
    <s v="CA-2017-156237"/>
    <x v="661"/>
    <d v="2017-09-15T00:00:00"/>
    <x v="2"/>
    <s v="PS-18760"/>
    <s v="Pamela Stobb"/>
    <x v="0"/>
    <s v="United States"/>
    <x v="20"/>
    <x v="12"/>
    <x v="2"/>
    <s v="TEC-MA-10002930"/>
    <x v="0"/>
    <x v="2"/>
    <s v="Ricoh - Ink Collector Unit for GX3000 Series Printers"/>
    <n v="12.585000000000001"/>
    <n v="1"/>
    <n v="-18.038499999999999"/>
    <x v="4"/>
    <x v="3"/>
    <x v="4"/>
    <n v="-1.43333333333333"/>
  </r>
  <r>
    <s v="CA-2017-156237"/>
    <x v="661"/>
    <d v="2017-09-15T00:00:00"/>
    <x v="2"/>
    <s v="PS-18760"/>
    <s v="Pamela Stobb"/>
    <x v="0"/>
    <s v="United States"/>
    <x v="20"/>
    <x v="12"/>
    <x v="2"/>
    <s v="TEC-MA-10001681"/>
    <x v="0"/>
    <x v="2"/>
    <s v="Lexmark MarkNet N8150 Wireless Print Server"/>
    <n v="241.17"/>
    <n v="2"/>
    <n v="-168.81899999999999"/>
    <x v="4"/>
    <x v="3"/>
    <x v="4"/>
    <n v="-0.7"/>
  </r>
  <r>
    <s v="CA-2016-118689"/>
    <x v="662"/>
    <d v="2016-10-09T00:00:00"/>
    <x v="0"/>
    <s v="TC-20980"/>
    <s v="Tamara Chand"/>
    <x v="1"/>
    <s v="United States"/>
    <x v="207"/>
    <x v="21"/>
    <x v="1"/>
    <s v="TEC-CO-10004722"/>
    <x v="0"/>
    <x v="3"/>
    <s v="Canon imageCLASS 2200 Advanced Copier"/>
    <n v="17499.95"/>
    <n v="5"/>
    <n v="8399.9760000000006"/>
    <x v="5"/>
    <x v="1"/>
    <x v="7"/>
    <n v="0.48"/>
  </r>
  <r>
    <s v="CA-2016-140438"/>
    <x v="178"/>
    <d v="2016-12-27T00:00:00"/>
    <x v="1"/>
    <s v="PW-19030"/>
    <s v="Pauline Webber"/>
    <x v="1"/>
    <s v="United States"/>
    <x v="7"/>
    <x v="5"/>
    <x v="2"/>
    <s v="TEC-PH-10001750"/>
    <x v="0"/>
    <x v="0"/>
    <s v="Samsung Rugby III"/>
    <n v="197.97"/>
    <n v="3"/>
    <n v="53.451900000000002"/>
    <x v="6"/>
    <x v="1"/>
    <x v="3"/>
    <n v="0.27"/>
  </r>
  <r>
    <s v="CA-2016-142615"/>
    <x v="22"/>
    <d v="2016-11-24T00:00:00"/>
    <x v="0"/>
    <s v="BM-11575"/>
    <s v="Brendan Murry"/>
    <x v="1"/>
    <s v="United States"/>
    <x v="277"/>
    <x v="0"/>
    <x v="0"/>
    <s v="TEC-AC-10004803"/>
    <x v="0"/>
    <x v="1"/>
    <s v="Sony Micro Vault Click 4 GB USB 2.0 Flash Drive"/>
    <n v="27.88"/>
    <n v="2"/>
    <n v="3.9032"/>
    <x v="1"/>
    <x v="1"/>
    <x v="6"/>
    <n v="0.14000000000000001"/>
  </r>
  <r>
    <s v="CA-2017-107517"/>
    <x v="663"/>
    <d v="2017-02-09T00:00:00"/>
    <x v="0"/>
    <s v="FC-14335"/>
    <s v="Fred Chung"/>
    <x v="1"/>
    <s v="United States"/>
    <x v="278"/>
    <x v="0"/>
    <x v="0"/>
    <s v="TEC-PH-10003505"/>
    <x v="0"/>
    <x v="0"/>
    <s v="Geemarc AmpliPOWER60"/>
    <n v="371.2"/>
    <n v="5"/>
    <n v="41.76"/>
    <x v="1"/>
    <x v="3"/>
    <x v="8"/>
    <n v="0.1125"/>
  </r>
  <r>
    <s v="CA-2016-123946"/>
    <x v="664"/>
    <d v="2016-09-17T00:00:00"/>
    <x v="0"/>
    <s v="AJ-10795"/>
    <s v="Anthony Johnson"/>
    <x v="1"/>
    <s v="United States"/>
    <x v="84"/>
    <x v="23"/>
    <x v="3"/>
    <s v="TEC-AC-10004877"/>
    <x v="0"/>
    <x v="1"/>
    <s v="Imation 30456 USB Flash Drive 8GB"/>
    <n v="20.7"/>
    <n v="3"/>
    <n v="1.6559999999999999"/>
    <x v="0"/>
    <x v="1"/>
    <x v="4"/>
    <n v="0.08"/>
  </r>
  <r>
    <s v="CA-2016-162110"/>
    <x v="520"/>
    <d v="2016-07-22T00:00:00"/>
    <x v="0"/>
    <s v="NP-18670"/>
    <s v="Nora Paige"/>
    <x v="0"/>
    <s v="United States"/>
    <x v="80"/>
    <x v="6"/>
    <x v="0"/>
    <s v="TEC-PH-10001924"/>
    <x v="0"/>
    <x v="0"/>
    <s v="iHome FM Clock Radio with Lightning Dock"/>
    <n v="55.991999999999997"/>
    <n v="1"/>
    <n v="3.4994999999999998"/>
    <x v="1"/>
    <x v="1"/>
    <x v="10"/>
    <n v="6.25E-2"/>
  </r>
  <r>
    <s v="US-2017-162670"/>
    <x v="665"/>
    <d v="2017-12-28T00:00:00"/>
    <x v="1"/>
    <s v="MF-18250"/>
    <s v="Monica Federle"/>
    <x v="1"/>
    <s v="United States"/>
    <x v="140"/>
    <x v="32"/>
    <x v="3"/>
    <s v="TEC-PH-10003601"/>
    <x v="0"/>
    <x v="0"/>
    <s v="Ativa D5772 2-Line 5.8GHz Digital Expandable Corded/Cordless Phone System with Answering &amp; Caller ID/Call Waiting, Black/Silver"/>
    <n v="494.97"/>
    <n v="3"/>
    <n v="148.49100000000001"/>
    <x v="0"/>
    <x v="3"/>
    <x v="3"/>
    <n v="0.3"/>
  </r>
  <r>
    <s v="CA-2017-128965"/>
    <x v="368"/>
    <d v="2017-04-22T00:00:00"/>
    <x v="0"/>
    <s v="PS-18760"/>
    <s v="Pamela Stobb"/>
    <x v="0"/>
    <s v="United States"/>
    <x v="0"/>
    <x v="0"/>
    <x v="0"/>
    <s v="TEC-AC-10001383"/>
    <x v="0"/>
    <x v="1"/>
    <s v="Logitech Wireless Touch Keyboard K400"/>
    <n v="274.89"/>
    <n v="11"/>
    <n v="46.731299999999997"/>
    <x v="0"/>
    <x v="3"/>
    <x v="9"/>
    <n v="0.17"/>
  </r>
  <r>
    <s v="US-2016-126452"/>
    <x v="666"/>
    <d v="2016-08-28T00:00:00"/>
    <x v="0"/>
    <s v="SC-20230"/>
    <s v="Scot Coram"/>
    <x v="1"/>
    <s v="United States"/>
    <x v="0"/>
    <x v="0"/>
    <x v="0"/>
    <s v="TEC-PH-10003555"/>
    <x v="0"/>
    <x v="0"/>
    <s v="Motorola HK250 Universal Bluetooth Headset"/>
    <n v="91.96"/>
    <n v="5"/>
    <n v="-20.690999999999999"/>
    <x v="5"/>
    <x v="1"/>
    <x v="1"/>
    <n v="-0.22500000000000001"/>
  </r>
  <r>
    <s v="US-2016-126452"/>
    <x v="666"/>
    <d v="2016-08-28T00:00:00"/>
    <x v="0"/>
    <s v="SC-20230"/>
    <s v="Scot Coram"/>
    <x v="1"/>
    <s v="United States"/>
    <x v="0"/>
    <x v="0"/>
    <x v="0"/>
    <s v="TEC-AC-10000844"/>
    <x v="0"/>
    <x v="1"/>
    <s v="Logitech Gaming G510s - Keyboard"/>
    <n v="254.97"/>
    <n v="3"/>
    <n v="91.789199999999994"/>
    <x v="5"/>
    <x v="1"/>
    <x v="1"/>
    <n v="0.36"/>
  </r>
  <r>
    <s v="US-2016-126452"/>
    <x v="666"/>
    <d v="2016-08-28T00:00:00"/>
    <x v="0"/>
    <s v="SC-20230"/>
    <s v="Scot Coram"/>
    <x v="1"/>
    <s v="United States"/>
    <x v="0"/>
    <x v="0"/>
    <x v="0"/>
    <s v="TEC-PH-10003187"/>
    <x v="0"/>
    <x v="0"/>
    <s v="Anker Astro Mini 3000mAh Ultra-Compact Portable Charger"/>
    <n v="31.984000000000002"/>
    <n v="2"/>
    <n v="-7.9960000000000004"/>
    <x v="5"/>
    <x v="1"/>
    <x v="1"/>
    <n v="-0.25"/>
  </r>
  <r>
    <s v="CA-2014-124394"/>
    <x v="667"/>
    <d v="2014-10-22T00:00:00"/>
    <x v="1"/>
    <s v="TB-21520"/>
    <s v="Tracy Blumstein"/>
    <x v="0"/>
    <s v="United States"/>
    <x v="279"/>
    <x v="1"/>
    <x v="1"/>
    <s v="TEC-AC-10001314"/>
    <x v="0"/>
    <x v="1"/>
    <s v="Case Logic 2.4GHz Wireless Keyboard"/>
    <n v="119.976"/>
    <n v="3"/>
    <n v="-17.996400000000001"/>
    <x v="0"/>
    <x v="0"/>
    <x v="7"/>
    <n v="-0.15"/>
  </r>
  <r>
    <s v="CA-2017-123036"/>
    <x v="5"/>
    <d v="2017-09-17T00:00:00"/>
    <x v="0"/>
    <s v="HA-14905"/>
    <s v="Helen Abelman"/>
    <x v="0"/>
    <s v="United States"/>
    <x v="84"/>
    <x v="9"/>
    <x v="2"/>
    <s v="TEC-AC-10003499"/>
    <x v="0"/>
    <x v="1"/>
    <s v="Memorex Mini Travel Drive 8 GB USB 2.0 Flash Drive"/>
    <n v="37.055999999999997"/>
    <n v="4"/>
    <n v="8.8008000000000006"/>
    <x v="5"/>
    <x v="3"/>
    <x v="4"/>
    <n v="0.23749999999999999"/>
  </r>
  <r>
    <s v="CA-2017-123036"/>
    <x v="5"/>
    <d v="2017-09-17T00:00:00"/>
    <x v="0"/>
    <s v="HA-14905"/>
    <s v="Helen Abelman"/>
    <x v="0"/>
    <s v="United States"/>
    <x v="84"/>
    <x v="9"/>
    <x v="2"/>
    <s v="TEC-PH-10003580"/>
    <x v="0"/>
    <x v="0"/>
    <s v="Cisco IP Phone 7961G-GE VoIP phone"/>
    <n v="259.89600000000002"/>
    <n v="2"/>
    <n v="-56.3108"/>
    <x v="5"/>
    <x v="3"/>
    <x v="4"/>
    <n v="-0.21666666666666701"/>
  </r>
  <r>
    <s v="CA-2017-164756"/>
    <x v="572"/>
    <d v="2017-09-22T00:00:00"/>
    <x v="0"/>
    <s v="SS-20140"/>
    <s v="Saphhira Shifley"/>
    <x v="1"/>
    <s v="United States"/>
    <x v="16"/>
    <x v="31"/>
    <x v="3"/>
    <s v="TEC-PH-10001552"/>
    <x v="0"/>
    <x v="0"/>
    <s v="I Need's 3d Hello Kitty Hybrid Silicone Case Cover for HTC One X 4g with 3d Hello Kitty Stylus Pen Green/pink"/>
    <n v="95.68"/>
    <n v="8"/>
    <n v="26.790400000000002"/>
    <x v="1"/>
    <x v="3"/>
    <x v="4"/>
    <n v="0.28000000000000003"/>
  </r>
  <r>
    <s v="CA-2017-164756"/>
    <x v="572"/>
    <d v="2017-09-22T00:00:00"/>
    <x v="0"/>
    <s v="SS-20140"/>
    <s v="Saphhira Shifley"/>
    <x v="1"/>
    <s v="United States"/>
    <x v="16"/>
    <x v="31"/>
    <x v="3"/>
    <s v="TEC-PH-10002447"/>
    <x v="0"/>
    <x v="0"/>
    <s v="AT&amp;T CL83451 4-Handset Telephone"/>
    <n v="411.98"/>
    <n v="2"/>
    <n v="119.4742"/>
    <x v="1"/>
    <x v="3"/>
    <x v="4"/>
    <n v="0.28999999999999998"/>
  </r>
  <r>
    <s v="CA-2015-140557"/>
    <x v="544"/>
    <d v="2015-09-11T00:00:00"/>
    <x v="0"/>
    <s v="TN-21040"/>
    <s v="Tanja Norvell"/>
    <x v="2"/>
    <s v="United States"/>
    <x v="7"/>
    <x v="5"/>
    <x v="2"/>
    <s v="TEC-AC-10002402"/>
    <x v="0"/>
    <x v="1"/>
    <s v="Razer Kraken PRO Over Ear PC and Music Headset"/>
    <n v="559.92999999999995"/>
    <n v="7"/>
    <n v="167.97900000000001"/>
    <x v="1"/>
    <x v="2"/>
    <x v="4"/>
    <n v="0.3"/>
  </r>
  <r>
    <s v="US-2017-135013"/>
    <x v="668"/>
    <d v="2017-07-24T00:00:00"/>
    <x v="3"/>
    <s v="HR-14830"/>
    <s v="Harold Ryan"/>
    <x v="1"/>
    <s v="United States"/>
    <x v="280"/>
    <x v="0"/>
    <x v="0"/>
    <s v="TEC-CO-10001449"/>
    <x v="0"/>
    <x v="3"/>
    <s v="Hewlett Packard LaserJet 3310 Copier"/>
    <n v="2399.96"/>
    <n v="5"/>
    <n v="839.98599999999999"/>
    <x v="7"/>
    <x v="3"/>
    <x v="10"/>
    <n v="0.35"/>
  </r>
  <r>
    <s v="CA-2016-140249"/>
    <x v="669"/>
    <d v="2016-10-03T00:00:00"/>
    <x v="0"/>
    <s v="SW-20455"/>
    <s v="Shaun Weien"/>
    <x v="0"/>
    <s v="United States"/>
    <x v="45"/>
    <x v="17"/>
    <x v="0"/>
    <s v="TEC-PH-10002584"/>
    <x v="0"/>
    <x v="0"/>
    <s v="Samsung Galaxy S4"/>
    <n v="1001.5839999999999"/>
    <n v="2"/>
    <n v="125.19799999999999"/>
    <x v="3"/>
    <x v="1"/>
    <x v="4"/>
    <n v="0.125"/>
  </r>
  <r>
    <s v="US-2017-128398"/>
    <x v="670"/>
    <d v="2017-05-05T00:00:00"/>
    <x v="1"/>
    <s v="EM-13825"/>
    <s v="Elizabeth Moffitt"/>
    <x v="1"/>
    <s v="United States"/>
    <x v="0"/>
    <x v="0"/>
    <x v="0"/>
    <s v="TEC-AC-10001714"/>
    <x v="0"/>
    <x v="1"/>
    <s v="Logitech MX Performance Wireless Mouse"/>
    <n v="159.56"/>
    <n v="4"/>
    <n v="59.037199999999999"/>
    <x v="6"/>
    <x v="3"/>
    <x v="11"/>
    <n v="0.37"/>
  </r>
  <r>
    <s v="CA-2015-104115"/>
    <x v="671"/>
    <d v="2015-06-16T00:00:00"/>
    <x v="0"/>
    <s v="JH-15910"/>
    <s v="Jonathan Howell"/>
    <x v="0"/>
    <s v="United States"/>
    <x v="281"/>
    <x v="15"/>
    <x v="3"/>
    <s v="TEC-PH-10002844"/>
    <x v="0"/>
    <x v="0"/>
    <s v="Speck Products Candyshell Flip Case"/>
    <n v="55.984000000000002"/>
    <n v="2"/>
    <n v="4.1988000000000003"/>
    <x v="1"/>
    <x v="2"/>
    <x v="0"/>
    <n v="7.4999999999999997E-2"/>
  </r>
  <r>
    <s v="CA-2016-140382"/>
    <x v="672"/>
    <d v="2016-06-25T00:00:00"/>
    <x v="1"/>
    <s v="RD-19900"/>
    <s v="Ruben Dartt"/>
    <x v="0"/>
    <s v="United States"/>
    <x v="1"/>
    <x v="0"/>
    <x v="0"/>
    <s v="TEC-PH-10003012"/>
    <x v="0"/>
    <x v="0"/>
    <s v="Nortel Meridian M3904 Professional Digital phone"/>
    <n v="862.34400000000005"/>
    <n v="7"/>
    <n v="97.0137"/>
    <x v="2"/>
    <x v="1"/>
    <x v="0"/>
    <n v="0.1125"/>
  </r>
  <r>
    <s v="CA-2014-164182"/>
    <x v="289"/>
    <d v="2014-07-18T00:00:00"/>
    <x v="0"/>
    <s v="ST-20530"/>
    <s v="Shui Tom"/>
    <x v="0"/>
    <s v="United States"/>
    <x v="20"/>
    <x v="12"/>
    <x v="2"/>
    <s v="TEC-PH-10002070"/>
    <x v="0"/>
    <x v="0"/>
    <s v="Griffin GC36547 PowerJolt SE Lightning Charger"/>
    <n v="13.494"/>
    <n v="1"/>
    <n v="-2.2490000000000001"/>
    <x v="1"/>
    <x v="0"/>
    <x v="10"/>
    <n v="-0.16666666666666699"/>
  </r>
  <r>
    <s v="CA-2014-164182"/>
    <x v="289"/>
    <d v="2014-07-18T00:00:00"/>
    <x v="0"/>
    <s v="ST-20530"/>
    <s v="Shui Tom"/>
    <x v="0"/>
    <s v="United States"/>
    <x v="20"/>
    <x v="12"/>
    <x v="2"/>
    <s v="TEC-PH-10002583"/>
    <x v="0"/>
    <x v="0"/>
    <s v="iOttie HLCRIO102 Car Mount"/>
    <n v="23.988"/>
    <n v="2"/>
    <n v="-13.993"/>
    <x v="1"/>
    <x v="0"/>
    <x v="10"/>
    <n v="-0.58333333333333304"/>
  </r>
  <r>
    <s v="CA-2017-137365"/>
    <x v="449"/>
    <d v="2017-12-03T00:00:00"/>
    <x v="1"/>
    <s v="BP-11095"/>
    <s v="Bart Pistole"/>
    <x v="1"/>
    <s v="United States"/>
    <x v="115"/>
    <x v="1"/>
    <x v="1"/>
    <s v="TEC-AC-10001767"/>
    <x v="0"/>
    <x v="1"/>
    <s v="SanDisk Ultra 64 GB MicroSDHC Class 10 Memory Card"/>
    <n v="95.975999999999999"/>
    <n v="3"/>
    <n v="-10.7973"/>
    <x v="6"/>
    <x v="3"/>
    <x v="6"/>
    <n v="-0.1125"/>
  </r>
  <r>
    <s v="CA-2016-125094"/>
    <x v="355"/>
    <d v="2016-11-09T00:00:00"/>
    <x v="0"/>
    <s v="NP-18700"/>
    <s v="Nora Preis"/>
    <x v="0"/>
    <s v="United States"/>
    <x v="45"/>
    <x v="17"/>
    <x v="0"/>
    <s v="TEC-AC-10004420"/>
    <x v="0"/>
    <x v="1"/>
    <s v="Cherry 142-key Programmable Keyboard"/>
    <n v="479.72"/>
    <n v="4"/>
    <n v="52.769199999999998"/>
    <x v="1"/>
    <x v="1"/>
    <x v="6"/>
    <n v="0.11"/>
  </r>
  <r>
    <s v="CA-2015-139248"/>
    <x v="673"/>
    <d v="2015-07-30T00:00:00"/>
    <x v="0"/>
    <s v="RD-19930"/>
    <s v="Russell D'Ascenzo"/>
    <x v="0"/>
    <s v="United States"/>
    <x v="0"/>
    <x v="0"/>
    <x v="0"/>
    <s v="TEC-PH-10004094"/>
    <x v="0"/>
    <x v="0"/>
    <s v="Motorola L703CM"/>
    <n v="623.96"/>
    <n v="5"/>
    <n v="38.997500000000002"/>
    <x v="0"/>
    <x v="2"/>
    <x v="10"/>
    <n v="6.25E-2"/>
  </r>
  <r>
    <s v="CA-2015-161767"/>
    <x v="477"/>
    <d v="2015-11-24T00:00:00"/>
    <x v="0"/>
    <s v="GK-14620"/>
    <s v="Grace Kelly"/>
    <x v="1"/>
    <s v="United States"/>
    <x v="26"/>
    <x v="1"/>
    <x v="1"/>
    <s v="TEC-MA-10002790"/>
    <x v="0"/>
    <x v="2"/>
    <s v="NeatDesk Desktop Scanner &amp; Digital Filing System"/>
    <n v="479.988"/>
    <n v="2"/>
    <n v="55.998600000000003"/>
    <x v="1"/>
    <x v="2"/>
    <x v="6"/>
    <n v="0.116666666666667"/>
  </r>
  <r>
    <s v="CA-2015-129917"/>
    <x v="394"/>
    <d v="2015-10-03T00:00:00"/>
    <x v="2"/>
    <s v="HM-14980"/>
    <s v="Henry MacAllister"/>
    <x v="0"/>
    <s v="United States"/>
    <x v="0"/>
    <x v="0"/>
    <x v="0"/>
    <s v="TEC-PH-10000369"/>
    <x v="0"/>
    <x v="0"/>
    <s v="HTC One Mini"/>
    <n v="503.96"/>
    <n v="5"/>
    <n v="50.396000000000001"/>
    <x v="4"/>
    <x v="2"/>
    <x v="7"/>
    <n v="0.1"/>
  </r>
  <r>
    <s v="CA-2016-157161"/>
    <x v="87"/>
    <d v="2016-07-20T00:00:00"/>
    <x v="1"/>
    <s v="JD-15895"/>
    <s v="Jonathan Doherty"/>
    <x v="1"/>
    <s v="United States"/>
    <x v="135"/>
    <x v="42"/>
    <x v="3"/>
    <s v="TEC-AC-10000358"/>
    <x v="0"/>
    <x v="1"/>
    <s v="Imation Secure Drive + Hardware Encrypted USB flash drive - 16 GB"/>
    <n v="75.98"/>
    <n v="2"/>
    <n v="18.235199999999999"/>
    <x v="1"/>
    <x v="1"/>
    <x v="10"/>
    <n v="0.24"/>
  </r>
  <r>
    <s v="CA-2015-110765"/>
    <x v="674"/>
    <d v="2015-10-20T00:00:00"/>
    <x v="1"/>
    <s v="MP-17965"/>
    <s v="Michael Paige"/>
    <x v="1"/>
    <s v="United States"/>
    <x v="7"/>
    <x v="5"/>
    <x v="2"/>
    <s v="TEC-PH-10004165"/>
    <x v="0"/>
    <x v="0"/>
    <s v="Mitel MiVoice 5330e IP Phone"/>
    <n v="824.97"/>
    <n v="3"/>
    <n v="214.4922"/>
    <x v="1"/>
    <x v="2"/>
    <x v="7"/>
    <n v="0.26"/>
  </r>
  <r>
    <s v="CA-2017-153822"/>
    <x v="619"/>
    <d v="2017-09-25T00:00:00"/>
    <x v="0"/>
    <s v="AB-10105"/>
    <s v="Adrian Barton"/>
    <x v="0"/>
    <s v="United States"/>
    <x v="80"/>
    <x v="6"/>
    <x v="0"/>
    <s v="TEC-AC-10000109"/>
    <x v="0"/>
    <x v="1"/>
    <s v="Sony Micro Vault Click 16 GB USB 2.0 Flash Drive"/>
    <n v="89.584000000000003"/>
    <n v="2"/>
    <n v="4.4791999999999996"/>
    <x v="3"/>
    <x v="3"/>
    <x v="4"/>
    <n v="0.05"/>
  </r>
  <r>
    <s v="CA-2017-153822"/>
    <x v="619"/>
    <d v="2017-09-25T00:00:00"/>
    <x v="0"/>
    <s v="AB-10105"/>
    <s v="Adrian Barton"/>
    <x v="0"/>
    <s v="United States"/>
    <x v="80"/>
    <x v="6"/>
    <x v="0"/>
    <s v="TEC-PH-10002415"/>
    <x v="0"/>
    <x v="0"/>
    <s v="Polycom VoiceStation 500 Conference phone"/>
    <n v="471.92"/>
    <n v="2"/>
    <n v="29.495000000000001"/>
    <x v="3"/>
    <x v="3"/>
    <x v="4"/>
    <n v="6.25E-2"/>
  </r>
  <r>
    <s v="US-2016-119298"/>
    <x v="653"/>
    <d v="2016-11-28T00:00:00"/>
    <x v="2"/>
    <s v="EP-13915"/>
    <s v="Emily Phan"/>
    <x v="0"/>
    <s v="United States"/>
    <x v="92"/>
    <x v="32"/>
    <x v="3"/>
    <s v="TEC-PH-10002564"/>
    <x v="0"/>
    <x v="0"/>
    <s v="OtterBox Defender Series Case - Samsung Galaxy S4"/>
    <n v="59.98"/>
    <n v="2"/>
    <n v="17.994"/>
    <x v="6"/>
    <x v="1"/>
    <x v="6"/>
    <n v="0.3"/>
  </r>
  <r>
    <s v="CA-2016-116526"/>
    <x v="51"/>
    <d v="2016-09-05T00:00:00"/>
    <x v="0"/>
    <s v="JA-15970"/>
    <s v="Joseph Airdo"/>
    <x v="0"/>
    <s v="United States"/>
    <x v="77"/>
    <x v="14"/>
    <x v="1"/>
    <s v="TEC-PH-10002365"/>
    <x v="0"/>
    <x v="0"/>
    <s v="Belkin Grip Candy Sheer Case / Cover for iPhone 5 and 5S"/>
    <n v="8.7799999999999994"/>
    <n v="1"/>
    <n v="2.2827999999999999"/>
    <x v="1"/>
    <x v="1"/>
    <x v="4"/>
    <n v="0.26"/>
  </r>
  <r>
    <s v="CA-2015-109386"/>
    <x v="294"/>
    <d v="2015-11-13T00:00:00"/>
    <x v="1"/>
    <s v="RH-19600"/>
    <s v="Rob Haberlin"/>
    <x v="0"/>
    <s v="United States"/>
    <x v="282"/>
    <x v="23"/>
    <x v="3"/>
    <s v="TEC-PH-10002890"/>
    <x v="0"/>
    <x v="0"/>
    <s v="AT&amp;T 17929 Lendline Telephone"/>
    <n v="226.2"/>
    <n v="5"/>
    <n v="58.811999999999998"/>
    <x v="0"/>
    <x v="2"/>
    <x v="6"/>
    <n v="0.26"/>
  </r>
  <r>
    <s v="CA-2014-114790"/>
    <x v="675"/>
    <d v="2014-03-13T00:00:00"/>
    <x v="1"/>
    <s v="FM-14215"/>
    <s v="Filia McAdams"/>
    <x v="1"/>
    <s v="United States"/>
    <x v="184"/>
    <x v="27"/>
    <x v="3"/>
    <s v="TEC-AC-10000710"/>
    <x v="0"/>
    <x v="1"/>
    <s v="Maxell DVD-RAM Discs"/>
    <n v="32.96"/>
    <n v="2"/>
    <n v="14.172800000000001"/>
    <x v="2"/>
    <x v="0"/>
    <x v="5"/>
    <n v="0.43"/>
  </r>
  <r>
    <s v="CA-2014-114790"/>
    <x v="675"/>
    <d v="2014-03-13T00:00:00"/>
    <x v="1"/>
    <s v="FM-14215"/>
    <s v="Filia McAdams"/>
    <x v="1"/>
    <s v="United States"/>
    <x v="184"/>
    <x v="27"/>
    <x v="3"/>
    <s v="TEC-PH-10000984"/>
    <x v="0"/>
    <x v="0"/>
    <s v="Panasonic KX-TG9471B"/>
    <n v="587.97"/>
    <n v="3"/>
    <n v="164.63159999999999"/>
    <x v="2"/>
    <x v="0"/>
    <x v="5"/>
    <n v="0.28000000000000003"/>
  </r>
  <r>
    <s v="CA-2014-124737"/>
    <x v="676"/>
    <d v="2014-08-27T00:00:00"/>
    <x v="0"/>
    <s v="AP-10915"/>
    <s v="Arthur Prichep"/>
    <x v="0"/>
    <s v="United States"/>
    <x v="52"/>
    <x v="7"/>
    <x v="0"/>
    <s v="TEC-PH-10000149"/>
    <x v="0"/>
    <x v="0"/>
    <s v="Cisco SPA525G2 IP Phone - Wireless"/>
    <n v="143.63999999999999"/>
    <n v="9"/>
    <n v="10.773"/>
    <x v="1"/>
    <x v="0"/>
    <x v="1"/>
    <n v="7.4999999999999997E-2"/>
  </r>
  <r>
    <s v="US-2017-101840"/>
    <x v="677"/>
    <d v="2017-02-12T00:00:00"/>
    <x v="0"/>
    <s v="SP-20545"/>
    <s v="Sibella Parks"/>
    <x v="1"/>
    <s v="United States"/>
    <x v="7"/>
    <x v="5"/>
    <x v="2"/>
    <s v="TEC-PH-10002538"/>
    <x v="0"/>
    <x v="0"/>
    <s v="Grandstream GXP1160 VoIP phone"/>
    <n v="227.46"/>
    <n v="6"/>
    <n v="65.963399999999993"/>
    <x v="3"/>
    <x v="3"/>
    <x v="8"/>
    <n v="0.28999999999999998"/>
  </r>
  <r>
    <s v="CA-2016-145548"/>
    <x v="239"/>
    <d v="2016-11-16T00:00:00"/>
    <x v="0"/>
    <s v="EB-13750"/>
    <s v="Edward Becker"/>
    <x v="1"/>
    <s v="United States"/>
    <x v="7"/>
    <x v="5"/>
    <x v="2"/>
    <s v="TEC-AC-10002305"/>
    <x v="0"/>
    <x v="1"/>
    <s v="KeyTronic E03601U1 - Keyboard - Beige"/>
    <n v="36"/>
    <n v="2"/>
    <n v="6.48"/>
    <x v="0"/>
    <x v="1"/>
    <x v="6"/>
    <n v="0.18"/>
  </r>
  <r>
    <s v="CA-2014-124618"/>
    <x v="678"/>
    <d v="2014-05-04T00:00:00"/>
    <x v="1"/>
    <s v="CS-11860"/>
    <s v="Cari Schnelling"/>
    <x v="0"/>
    <s v="United States"/>
    <x v="175"/>
    <x v="15"/>
    <x v="3"/>
    <s v="TEC-CO-10004202"/>
    <x v="0"/>
    <x v="3"/>
    <s v="Brother DCP1000 Digital 3 in 1 Multifunction Machine"/>
    <n v="479.98399999999998"/>
    <n v="2"/>
    <n v="89.997"/>
    <x v="2"/>
    <x v="0"/>
    <x v="11"/>
    <n v="0.1875"/>
  </r>
  <r>
    <s v="US-2017-165358"/>
    <x v="679"/>
    <d v="2017-07-23T00:00:00"/>
    <x v="0"/>
    <s v="SV-20365"/>
    <s v="Seth Vernon"/>
    <x v="0"/>
    <s v="United States"/>
    <x v="20"/>
    <x v="12"/>
    <x v="2"/>
    <s v="TEC-CO-10001943"/>
    <x v="0"/>
    <x v="3"/>
    <s v="Canon PC-428 Personal Copier"/>
    <n v="599.97"/>
    <n v="5"/>
    <n v="69.996499999999997"/>
    <x v="0"/>
    <x v="3"/>
    <x v="10"/>
    <n v="0.116666666666667"/>
  </r>
  <r>
    <s v="CA-2014-150581"/>
    <x v="680"/>
    <d v="2014-04-12T00:00:00"/>
    <x v="0"/>
    <s v="NM-18445"/>
    <s v="Nathan Mautz"/>
    <x v="2"/>
    <s v="United States"/>
    <x v="76"/>
    <x v="0"/>
    <x v="0"/>
    <s v="TEC-AC-10001908"/>
    <x v="0"/>
    <x v="1"/>
    <s v="Logitech Wireless Headset h800"/>
    <n v="399.96"/>
    <n v="4"/>
    <n v="139.98599999999999"/>
    <x v="1"/>
    <x v="0"/>
    <x v="9"/>
    <n v="0.35"/>
  </r>
  <r>
    <s v="CA-2016-165330"/>
    <x v="8"/>
    <d v="2016-12-11T00:00:00"/>
    <x v="3"/>
    <s v="WB-21850"/>
    <s v="William Brown"/>
    <x v="0"/>
    <s v="United States"/>
    <x v="168"/>
    <x v="0"/>
    <x v="0"/>
    <s v="TEC-AC-10000057"/>
    <x v="0"/>
    <x v="1"/>
    <s v="Microsoft Natural Ergonomic Keyboard 4000"/>
    <n v="119.96"/>
    <n v="4"/>
    <n v="25.191600000000001"/>
    <x v="7"/>
    <x v="1"/>
    <x v="3"/>
    <n v="0.21"/>
  </r>
  <r>
    <s v="CA-2016-106950"/>
    <x v="659"/>
    <d v="2016-09-06T00:00:00"/>
    <x v="0"/>
    <s v="JE-15715"/>
    <s v="Joe Elijah"/>
    <x v="0"/>
    <s v="United States"/>
    <x v="13"/>
    <x v="8"/>
    <x v="3"/>
    <s v="TEC-AC-10002049"/>
    <x v="0"/>
    <x v="1"/>
    <s v="Plantronics Savi W720 Multi-Device Wireless Headset System"/>
    <n v="1012.68"/>
    <n v="3"/>
    <n v="303.80399999999997"/>
    <x v="1"/>
    <x v="1"/>
    <x v="4"/>
    <n v="0.3"/>
  </r>
  <r>
    <s v="CA-2017-118724"/>
    <x v="492"/>
    <d v="2017-07-25T00:00:00"/>
    <x v="1"/>
    <s v="AR-10825"/>
    <s v="Anthony Rawles"/>
    <x v="1"/>
    <s v="United States"/>
    <x v="76"/>
    <x v="0"/>
    <x v="0"/>
    <s v="TEC-PH-10002549"/>
    <x v="0"/>
    <x v="0"/>
    <s v="Polycom SoundPoint IP 450 VoIP phone"/>
    <n v="1626.192"/>
    <n v="9"/>
    <n v="121.9644"/>
    <x v="1"/>
    <x v="3"/>
    <x v="10"/>
    <n v="7.4999999999999997E-2"/>
  </r>
  <r>
    <s v="CA-2017-118864"/>
    <x v="50"/>
    <d v="2017-06-19T00:00:00"/>
    <x v="1"/>
    <s v="KH-16690"/>
    <s v="Kristen Hastings"/>
    <x v="1"/>
    <s v="United States"/>
    <x v="0"/>
    <x v="0"/>
    <x v="0"/>
    <s v="TEC-PH-10001809"/>
    <x v="0"/>
    <x v="0"/>
    <s v="Panasonic KX T7736-B Digital phone"/>
    <n v="119.96"/>
    <n v="1"/>
    <n v="7.4974999999999996"/>
    <x v="1"/>
    <x v="3"/>
    <x v="0"/>
    <n v="6.25E-2"/>
  </r>
  <r>
    <s v="US-2015-153374"/>
    <x v="30"/>
    <d v="2015-02-13T00:00:00"/>
    <x v="1"/>
    <s v="JF-15565"/>
    <s v="Jill Fjeld"/>
    <x v="0"/>
    <s v="United States"/>
    <x v="22"/>
    <x v="2"/>
    <x v="1"/>
    <s v="TEC-AC-10001908"/>
    <x v="0"/>
    <x v="1"/>
    <s v="Logitech Wireless Headset h800"/>
    <n v="479.952"/>
    <n v="6"/>
    <n v="89.991"/>
    <x v="1"/>
    <x v="2"/>
    <x v="8"/>
    <n v="0.1875"/>
  </r>
  <r>
    <s v="CA-2017-128944"/>
    <x v="93"/>
    <d v="2017-06-21T00:00:00"/>
    <x v="1"/>
    <s v="KH-16330"/>
    <s v="Katharine Harms"/>
    <x v="1"/>
    <s v="United States"/>
    <x v="129"/>
    <x v="9"/>
    <x v="2"/>
    <s v="TEC-AC-10001553"/>
    <x v="0"/>
    <x v="1"/>
    <s v="Memorex 25GB 6X Branded Blu-Ray Recordable Disc, 15/Pack"/>
    <n v="122.328"/>
    <n v="9"/>
    <n v="1.5290999999999999"/>
    <x v="2"/>
    <x v="3"/>
    <x v="0"/>
    <n v="1.2500000000000001E-2"/>
  </r>
  <r>
    <s v="CA-2016-109666"/>
    <x v="217"/>
    <d v="2016-04-26T00:00:00"/>
    <x v="0"/>
    <s v="KM-16720"/>
    <s v="Kunst Miller"/>
    <x v="0"/>
    <s v="United States"/>
    <x v="7"/>
    <x v="5"/>
    <x v="2"/>
    <s v="TEC-PH-10004774"/>
    <x v="0"/>
    <x v="0"/>
    <s v="Gear Head AU3700S Headset"/>
    <n v="25.98"/>
    <n v="2"/>
    <n v="0.77939999999999998"/>
    <x v="5"/>
    <x v="1"/>
    <x v="9"/>
    <n v="0.03"/>
  </r>
  <r>
    <s v="CA-2016-166282"/>
    <x v="493"/>
    <d v="2016-04-22T00:00:00"/>
    <x v="0"/>
    <s v="PK-19075"/>
    <s v="Pete Kriz"/>
    <x v="0"/>
    <s v="United States"/>
    <x v="283"/>
    <x v="44"/>
    <x v="3"/>
    <s v="TEC-AC-10004209"/>
    <x v="0"/>
    <x v="1"/>
    <s v="Memorex Froggy Flash Drive 4 GB"/>
    <n v="35.167999999999999"/>
    <n v="4"/>
    <n v="8.3523999999999994"/>
    <x v="3"/>
    <x v="1"/>
    <x v="9"/>
    <n v="0.23749999999999999"/>
  </r>
  <r>
    <s v="CA-2017-141439"/>
    <x v="74"/>
    <d v="2017-12-01T00:00:00"/>
    <x v="0"/>
    <s v="TT-21460"/>
    <s v="Tonja Turnell"/>
    <x v="2"/>
    <s v="United States"/>
    <x v="184"/>
    <x v="21"/>
    <x v="1"/>
    <s v="TEC-PH-10002624"/>
    <x v="0"/>
    <x v="0"/>
    <s v="Samsung Galaxy S4 Mini"/>
    <n v="1879.96"/>
    <n v="4"/>
    <n v="545.1884"/>
    <x v="0"/>
    <x v="3"/>
    <x v="6"/>
    <n v="0.28999999999999998"/>
  </r>
  <r>
    <s v="CA-2017-141439"/>
    <x v="74"/>
    <d v="2017-12-01T00:00:00"/>
    <x v="0"/>
    <s v="TT-21460"/>
    <s v="Tonja Turnell"/>
    <x v="2"/>
    <s v="United States"/>
    <x v="184"/>
    <x v="21"/>
    <x v="1"/>
    <s v="TEC-PH-10001819"/>
    <x v="0"/>
    <x v="0"/>
    <s v="Innergie mMini Combo Duo USB Travel Charging Kit"/>
    <n v="89.98"/>
    <n v="2"/>
    <n v="43.190399999999997"/>
    <x v="0"/>
    <x v="3"/>
    <x v="6"/>
    <n v="0.48"/>
  </r>
  <r>
    <s v="CA-2017-128783"/>
    <x v="277"/>
    <d v="2017-09-07T00:00:00"/>
    <x v="3"/>
    <s v="TG-21640"/>
    <s v="Trudy Glocke"/>
    <x v="0"/>
    <s v="United States"/>
    <x v="284"/>
    <x v="18"/>
    <x v="1"/>
    <s v="TEC-AC-10002473"/>
    <x v="0"/>
    <x v="1"/>
    <s v="Maxell 4.7GB DVD-R"/>
    <n v="113.52"/>
    <n v="4"/>
    <n v="46.543199999999999"/>
    <x v="7"/>
    <x v="3"/>
    <x v="4"/>
    <n v="0.41"/>
  </r>
  <r>
    <s v="US-2017-141558"/>
    <x v="681"/>
    <d v="2017-03-16T00:00:00"/>
    <x v="0"/>
    <s v="MH-17290"/>
    <s v="Marc Harrigan"/>
    <x v="2"/>
    <s v="United States"/>
    <x v="20"/>
    <x v="12"/>
    <x v="2"/>
    <s v="TEC-PH-10002555"/>
    <x v="0"/>
    <x v="0"/>
    <s v="Nortel Meridian M5316 Digital phone"/>
    <n v="776.85"/>
    <n v="5"/>
    <n v="-181.26499999999999"/>
    <x v="0"/>
    <x v="3"/>
    <x v="5"/>
    <n v="-0.233333333333333"/>
  </r>
  <r>
    <s v="CA-2015-166583"/>
    <x v="53"/>
    <d v="2015-06-30T00:00:00"/>
    <x v="0"/>
    <s v="VD-21670"/>
    <s v="Valerie Dominguez"/>
    <x v="0"/>
    <s v="United States"/>
    <x v="3"/>
    <x v="1"/>
    <x v="1"/>
    <s v="TEC-PH-10001578"/>
    <x v="0"/>
    <x v="0"/>
    <s v="Polycom SoundStation2 EX Conference phone"/>
    <n v="971.88"/>
    <n v="3"/>
    <n v="109.3365"/>
    <x v="1"/>
    <x v="2"/>
    <x v="0"/>
    <n v="0.1125"/>
  </r>
  <r>
    <s v="CA-2015-145835"/>
    <x v="682"/>
    <d v="2015-05-18T00:00:00"/>
    <x v="1"/>
    <s v="BF-11170"/>
    <s v="Ben Ferrer"/>
    <x v="2"/>
    <s v="United States"/>
    <x v="11"/>
    <x v="2"/>
    <x v="1"/>
    <s v="TEC-PH-10004447"/>
    <x v="0"/>
    <x v="0"/>
    <s v="Toshiba IPT2010-SD IP Telephone"/>
    <n v="222.38399999999999"/>
    <n v="2"/>
    <n v="16.678799999999999"/>
    <x v="0"/>
    <x v="2"/>
    <x v="11"/>
    <n v="7.4999999999999997E-2"/>
  </r>
  <r>
    <s v="CA-2017-125381"/>
    <x v="683"/>
    <d v="2017-04-27T00:00:00"/>
    <x v="1"/>
    <s v="SG-20605"/>
    <s v="Speros Goranitis"/>
    <x v="0"/>
    <s v="United States"/>
    <x v="1"/>
    <x v="0"/>
    <x v="0"/>
    <s v="TEC-AC-10000158"/>
    <x v="0"/>
    <x v="1"/>
    <s v="Sony 64GB Class 10 Micro SDHC R40 Memory Card"/>
    <n v="107.97"/>
    <n v="3"/>
    <n v="22.6737"/>
    <x v="2"/>
    <x v="3"/>
    <x v="9"/>
    <n v="0.21"/>
  </r>
  <r>
    <s v="US-2017-141677"/>
    <x v="249"/>
    <d v="2017-03-30T00:00:00"/>
    <x v="0"/>
    <s v="HK-14890"/>
    <s v="Heather Kirkland"/>
    <x v="1"/>
    <s v="United States"/>
    <x v="3"/>
    <x v="1"/>
    <x v="1"/>
    <s v="TEC-AC-10000158"/>
    <x v="0"/>
    <x v="1"/>
    <s v="Sony 64GB Class 10 Micro SDHC R40 Memory Card"/>
    <n v="143.96"/>
    <n v="5"/>
    <n v="1.7995000000000001"/>
    <x v="1"/>
    <x v="3"/>
    <x v="5"/>
    <n v="1.2500000000000001E-2"/>
  </r>
  <r>
    <s v="US-2017-141677"/>
    <x v="249"/>
    <d v="2017-03-30T00:00:00"/>
    <x v="0"/>
    <s v="HK-14890"/>
    <s v="Heather Kirkland"/>
    <x v="1"/>
    <s v="United States"/>
    <x v="3"/>
    <x v="1"/>
    <x v="1"/>
    <s v="TEC-CO-10002313"/>
    <x v="0"/>
    <x v="3"/>
    <s v="Canon PC1080F Personal Copier"/>
    <n v="2399.96"/>
    <n v="5"/>
    <n v="569.9905"/>
    <x v="1"/>
    <x v="3"/>
    <x v="5"/>
    <n v="0.23749999999999999"/>
  </r>
  <r>
    <s v="US-2016-144351"/>
    <x v="296"/>
    <d v="2016-11-18T00:00:00"/>
    <x v="0"/>
    <s v="RC-19960"/>
    <s v="Ryan Crowe"/>
    <x v="0"/>
    <s v="United States"/>
    <x v="212"/>
    <x v="33"/>
    <x v="2"/>
    <s v="TEC-PH-10001644"/>
    <x v="0"/>
    <x v="0"/>
    <s v="BlueLounge Milo Smartphone Stand, White/Metallic"/>
    <n v="89.97"/>
    <n v="3"/>
    <n v="25.191600000000001"/>
    <x v="1"/>
    <x v="1"/>
    <x v="6"/>
    <n v="0.28000000000000003"/>
  </r>
  <r>
    <s v="CA-2016-138667"/>
    <x v="684"/>
    <d v="2016-12-30T00:00:00"/>
    <x v="1"/>
    <s v="MW-18220"/>
    <s v="Mitch Webber"/>
    <x v="0"/>
    <s v="United States"/>
    <x v="192"/>
    <x v="9"/>
    <x v="2"/>
    <s v="TEC-AC-10003063"/>
    <x v="0"/>
    <x v="1"/>
    <s v="Micro Innovations USB RF Wireless Keyboard with Mouse"/>
    <n v="40"/>
    <n v="2"/>
    <n v="0.5"/>
    <x v="6"/>
    <x v="1"/>
    <x v="3"/>
    <n v="1.2500000000000001E-2"/>
  </r>
  <r>
    <s v="CA-2016-164399"/>
    <x v="153"/>
    <d v="2016-11-15T00:00:00"/>
    <x v="2"/>
    <s v="DW-13480"/>
    <s v="Dianna Wilson"/>
    <x v="2"/>
    <s v="United States"/>
    <x v="30"/>
    <x v="0"/>
    <x v="0"/>
    <s v="TEC-PH-10004908"/>
    <x v="0"/>
    <x v="0"/>
    <s v="Panasonic KX TS3282W Corded phone"/>
    <n v="203.976"/>
    <n v="3"/>
    <n v="25.497"/>
    <x v="6"/>
    <x v="1"/>
    <x v="6"/>
    <n v="0.125"/>
  </r>
  <r>
    <s v="US-2015-156797"/>
    <x v="685"/>
    <d v="2015-08-15T00:00:00"/>
    <x v="0"/>
    <s v="PO-19180"/>
    <s v="Philisse Overcash"/>
    <x v="2"/>
    <s v="United States"/>
    <x v="7"/>
    <x v="5"/>
    <x v="2"/>
    <s v="TEC-PH-10004614"/>
    <x v="0"/>
    <x v="0"/>
    <s v="AT&amp;T 841000 Phone"/>
    <n v="138"/>
    <n v="2"/>
    <n v="34.5"/>
    <x v="1"/>
    <x v="2"/>
    <x v="1"/>
    <n v="0.25"/>
  </r>
  <r>
    <s v="CA-2016-104276"/>
    <x v="238"/>
    <d v="2016-12-03T00:00:00"/>
    <x v="0"/>
    <s v="HF-14995"/>
    <s v="Herbert Flentye"/>
    <x v="0"/>
    <s v="United States"/>
    <x v="196"/>
    <x v="15"/>
    <x v="3"/>
    <s v="TEC-PH-10001944"/>
    <x v="0"/>
    <x v="0"/>
    <s v="Wi-Ex zBoost YX540 Cellular Phone Signal Booster"/>
    <n v="116.76"/>
    <n v="1"/>
    <n v="14.595000000000001"/>
    <x v="3"/>
    <x v="1"/>
    <x v="6"/>
    <n v="0.125"/>
  </r>
  <r>
    <s v="CA-2017-137414"/>
    <x v="388"/>
    <d v="2017-10-06T00:00:00"/>
    <x v="0"/>
    <s v="CM-12115"/>
    <s v="Chad McGuire"/>
    <x v="0"/>
    <s v="United States"/>
    <x v="1"/>
    <x v="0"/>
    <x v="0"/>
    <s v="TEC-MA-10002930"/>
    <x v="0"/>
    <x v="2"/>
    <s v="Ricoh - Ink Collector Unit for GX3000 Series Printers"/>
    <n v="369.16"/>
    <n v="11"/>
    <n v="32.301499999999997"/>
    <x v="1"/>
    <x v="3"/>
    <x v="7"/>
    <n v="8.7499999999999994E-2"/>
  </r>
  <r>
    <s v="CA-2015-150770"/>
    <x v="514"/>
    <d v="2015-05-06T00:00:00"/>
    <x v="2"/>
    <s v="LC-16870"/>
    <s v="Lena Cacioppo"/>
    <x v="0"/>
    <s v="United States"/>
    <x v="1"/>
    <x v="0"/>
    <x v="0"/>
    <s v="TEC-AC-10000844"/>
    <x v="0"/>
    <x v="1"/>
    <s v="Logitech Gaming G510s - Keyboard"/>
    <n v="339.96"/>
    <n v="4"/>
    <n v="122.3856"/>
    <x v="6"/>
    <x v="2"/>
    <x v="11"/>
    <n v="0.36"/>
  </r>
  <r>
    <s v="US-2017-104437"/>
    <x v="284"/>
    <d v="2017-01-31T00:00:00"/>
    <x v="0"/>
    <s v="TG-21310"/>
    <s v="Toby Gnade"/>
    <x v="0"/>
    <s v="United States"/>
    <x v="7"/>
    <x v="5"/>
    <x v="2"/>
    <s v="TEC-PH-10000193"/>
    <x v="0"/>
    <x v="0"/>
    <s v="Jensen SMPS-640 - speaker phone"/>
    <n v="137.94"/>
    <n v="3"/>
    <n v="35.864400000000003"/>
    <x v="1"/>
    <x v="3"/>
    <x v="2"/>
    <n v="0.26"/>
  </r>
  <r>
    <s v="CA-2017-113075"/>
    <x v="130"/>
    <d v="2017-09-06T00:00:00"/>
    <x v="0"/>
    <s v="MC-18100"/>
    <s v="Mick Crebagga"/>
    <x v="0"/>
    <s v="United States"/>
    <x v="11"/>
    <x v="2"/>
    <x v="1"/>
    <s v="TEC-AC-10003441"/>
    <x v="0"/>
    <x v="1"/>
    <s v="Kingston Digital DataTraveler 32GB USB 2.0"/>
    <n v="40.68"/>
    <n v="3"/>
    <n v="-7.1189999999999998"/>
    <x v="1"/>
    <x v="3"/>
    <x v="4"/>
    <n v="-0.17499999999999999"/>
  </r>
  <r>
    <s v="CA-2016-109953"/>
    <x v="80"/>
    <d v="2016-07-18T00:00:00"/>
    <x v="0"/>
    <s v="RB-19360"/>
    <s v="Raymond Buch"/>
    <x v="0"/>
    <s v="United States"/>
    <x v="1"/>
    <x v="0"/>
    <x v="0"/>
    <s v="TEC-PH-10004093"/>
    <x v="0"/>
    <x v="0"/>
    <s v="Panasonic Kx-TS550"/>
    <n v="110.376"/>
    <n v="3"/>
    <n v="12.417299999999999"/>
    <x v="1"/>
    <x v="1"/>
    <x v="10"/>
    <n v="0.1125"/>
  </r>
  <r>
    <s v="CA-2017-127397"/>
    <x v="686"/>
    <d v="2017-02-28T00:00:00"/>
    <x v="0"/>
    <s v="ES-14080"/>
    <s v="Erin Smith"/>
    <x v="1"/>
    <s v="United States"/>
    <x v="20"/>
    <x v="12"/>
    <x v="2"/>
    <s v="TEC-AC-10003033"/>
    <x v="0"/>
    <x v="1"/>
    <s v="Plantronics CS510 - Over-the-Head monaural Wireless Headset System"/>
    <n v="1319.8"/>
    <n v="5"/>
    <n v="214.4675"/>
    <x v="1"/>
    <x v="3"/>
    <x v="8"/>
    <n v="0.16250000000000001"/>
  </r>
  <r>
    <s v="CA-2016-164924"/>
    <x v="687"/>
    <d v="2016-07-10T00:00:00"/>
    <x v="3"/>
    <s v="EA-14035"/>
    <s v="Erin Ashbrook"/>
    <x v="1"/>
    <s v="United States"/>
    <x v="20"/>
    <x v="12"/>
    <x v="2"/>
    <s v="TEC-MA-10000904"/>
    <x v="0"/>
    <x v="2"/>
    <s v="Brother MFC-9340CDW LED All-In-One Printer, Copier Scanner"/>
    <n v="341.99099999999999"/>
    <n v="3"/>
    <n v="-319.19159999999999"/>
    <x v="7"/>
    <x v="1"/>
    <x v="10"/>
    <n v="-0.93333333333333302"/>
  </r>
  <r>
    <s v="CA-2015-158491"/>
    <x v="688"/>
    <d v="2015-06-09T00:00:00"/>
    <x v="1"/>
    <s v="BP-11155"/>
    <s v="Becky Pak"/>
    <x v="0"/>
    <s v="United States"/>
    <x v="0"/>
    <x v="0"/>
    <x v="0"/>
    <s v="TEC-AC-10001874"/>
    <x v="0"/>
    <x v="1"/>
    <s v="Logitech Wireless Anywhere Mouse MX for PC and Mac"/>
    <n v="119.98"/>
    <n v="2"/>
    <n v="35.994"/>
    <x v="0"/>
    <x v="2"/>
    <x v="0"/>
    <n v="0.3"/>
  </r>
  <r>
    <s v="CA-2015-158491"/>
    <x v="688"/>
    <d v="2015-06-09T00:00:00"/>
    <x v="1"/>
    <s v="BP-11155"/>
    <s v="Becky Pak"/>
    <x v="0"/>
    <s v="United States"/>
    <x v="0"/>
    <x v="0"/>
    <x v="0"/>
    <s v="TEC-AC-10003870"/>
    <x v="0"/>
    <x v="1"/>
    <s v="Logitech Z-906 Speaker sys - home theater - 5.1-CH"/>
    <n v="989.97"/>
    <n v="3"/>
    <n v="395.988"/>
    <x v="0"/>
    <x v="2"/>
    <x v="0"/>
    <n v="0.4"/>
  </r>
  <r>
    <s v="CA-2016-152730"/>
    <x v="175"/>
    <d v="2016-06-04T00:00:00"/>
    <x v="0"/>
    <s v="EM-14140"/>
    <s v="Eugene Moren"/>
    <x v="2"/>
    <s v="United States"/>
    <x v="285"/>
    <x v="10"/>
    <x v="1"/>
    <s v="TEC-PH-10000441"/>
    <x v="0"/>
    <x v="0"/>
    <s v="VTech DS6151"/>
    <n v="125.99"/>
    <n v="1"/>
    <n v="35.277200000000001"/>
    <x v="0"/>
    <x v="1"/>
    <x v="11"/>
    <n v="0.28000000000000003"/>
  </r>
  <r>
    <s v="CA-2017-156363"/>
    <x v="334"/>
    <d v="2017-10-28T00:00:00"/>
    <x v="0"/>
    <s v="ML-17395"/>
    <s v="Marina Lichtenstein"/>
    <x v="1"/>
    <s v="United States"/>
    <x v="20"/>
    <x v="12"/>
    <x v="2"/>
    <s v="TEC-PH-10003988"/>
    <x v="0"/>
    <x v="0"/>
    <s v="LF Elite 3D Dazzle Designer Hard Case Cover, Lf Stylus Pen and Wiper For Apple Iphone 5c Mini Lite"/>
    <n v="32.700000000000003"/>
    <n v="5"/>
    <n v="-6.54"/>
    <x v="3"/>
    <x v="3"/>
    <x v="7"/>
    <n v="-0.2"/>
  </r>
  <r>
    <s v="CA-2015-144519"/>
    <x v="15"/>
    <d v="2015-11-17T00:00:00"/>
    <x v="0"/>
    <s v="AW-10930"/>
    <s v="Arthur Wiediger"/>
    <x v="2"/>
    <s v="United States"/>
    <x v="286"/>
    <x v="19"/>
    <x v="0"/>
    <s v="TEC-PH-10004908"/>
    <x v="0"/>
    <x v="0"/>
    <s v="Panasonic KX TS3282W Corded phone"/>
    <n v="339.96"/>
    <n v="5"/>
    <n v="42.494999999999997"/>
    <x v="1"/>
    <x v="2"/>
    <x v="6"/>
    <n v="0.125"/>
  </r>
  <r>
    <s v="CA-2014-120670"/>
    <x v="629"/>
    <d v="2014-11-06T00:00:00"/>
    <x v="0"/>
    <s v="JK-16120"/>
    <s v="Julie Kriz"/>
    <x v="2"/>
    <s v="United States"/>
    <x v="196"/>
    <x v="15"/>
    <x v="3"/>
    <s v="TEC-AC-10004171"/>
    <x v="0"/>
    <x v="1"/>
    <s v="Razer Kraken 7.1 Surround Sound Over Ear USB Gaming Headset"/>
    <n v="799.92"/>
    <n v="10"/>
    <n v="239.976"/>
    <x v="1"/>
    <x v="0"/>
    <x v="6"/>
    <n v="0.3"/>
  </r>
  <r>
    <s v="CA-2016-157217"/>
    <x v="689"/>
    <d v="2016-07-21T00:00:00"/>
    <x v="2"/>
    <s v="TC-21535"/>
    <s v="Tracy Collins"/>
    <x v="2"/>
    <s v="United States"/>
    <x v="1"/>
    <x v="0"/>
    <x v="0"/>
    <s v="TEC-PH-10002070"/>
    <x v="0"/>
    <x v="0"/>
    <s v="Griffin GC36547 PowerJolt SE Lightning Charger"/>
    <n v="35.984000000000002"/>
    <n v="2"/>
    <n v="4.4980000000000002"/>
    <x v="2"/>
    <x v="1"/>
    <x v="10"/>
    <n v="0.125"/>
  </r>
  <r>
    <s v="CA-2016-157217"/>
    <x v="689"/>
    <d v="2016-07-21T00:00:00"/>
    <x v="2"/>
    <s v="TC-21535"/>
    <s v="Tracy Collins"/>
    <x v="2"/>
    <s v="United States"/>
    <x v="1"/>
    <x v="0"/>
    <x v="0"/>
    <s v="TEC-AC-10003095"/>
    <x v="0"/>
    <x v="1"/>
    <s v="Logitech G35 7.1-Channel Surround Sound Headset"/>
    <n v="389.97"/>
    <n v="3"/>
    <n v="132.5898"/>
    <x v="2"/>
    <x v="1"/>
    <x v="10"/>
    <n v="0.34"/>
  </r>
  <r>
    <s v="CA-2016-108224"/>
    <x v="526"/>
    <d v="2016-05-14T00:00:00"/>
    <x v="3"/>
    <s v="TH-21235"/>
    <s v="Tiffany House"/>
    <x v="1"/>
    <s v="United States"/>
    <x v="287"/>
    <x v="6"/>
    <x v="0"/>
    <s v="TEC-AC-10003832"/>
    <x v="0"/>
    <x v="1"/>
    <s v="Imation 16GB Mini TravelDrive USB 2.0 Flash Drive"/>
    <n v="185.52799999999999"/>
    <n v="7"/>
    <n v="48.701099999999997"/>
    <x v="7"/>
    <x v="1"/>
    <x v="11"/>
    <n v="0.26250000000000001"/>
  </r>
  <r>
    <s v="CA-2017-159282"/>
    <x v="690"/>
    <d v="2017-10-21T00:00:00"/>
    <x v="0"/>
    <s v="GH-14410"/>
    <s v="Gary Hansen"/>
    <x v="2"/>
    <s v="United States"/>
    <x v="287"/>
    <x v="6"/>
    <x v="0"/>
    <s v="TEC-MA-10001148"/>
    <x v="0"/>
    <x v="2"/>
    <s v="Swingline SM12-08 MicroCut Jam Free Shredder"/>
    <n v="599.98500000000001"/>
    <n v="5"/>
    <n v="-479.988"/>
    <x v="0"/>
    <x v="3"/>
    <x v="7"/>
    <n v="-0.8"/>
  </r>
  <r>
    <s v="CA-2017-151183"/>
    <x v="691"/>
    <d v="2017-10-19T00:00:00"/>
    <x v="0"/>
    <s v="BK-11260"/>
    <s v="Berenike Kampe"/>
    <x v="0"/>
    <s v="United States"/>
    <x v="1"/>
    <x v="0"/>
    <x v="0"/>
    <s v="TEC-AC-10003614"/>
    <x v="0"/>
    <x v="1"/>
    <s v="Verbatim 25 GB 6x Blu-ray Single Layer Recordable Disc, 10/Pack"/>
    <n v="46.36"/>
    <n v="4"/>
    <n v="15.2988"/>
    <x v="0"/>
    <x v="3"/>
    <x v="7"/>
    <n v="0.33"/>
  </r>
  <r>
    <s v="CA-2016-149965"/>
    <x v="7"/>
    <d v="2016-06-25T00:00:00"/>
    <x v="0"/>
    <s v="BS-11365"/>
    <s v="Bill Shonely"/>
    <x v="1"/>
    <s v="United States"/>
    <x v="133"/>
    <x v="11"/>
    <x v="1"/>
    <s v="TEC-AC-10004877"/>
    <x v="0"/>
    <x v="1"/>
    <s v="Imation 30456 USB Flash Drive 8GB"/>
    <n v="6.9"/>
    <n v="1"/>
    <n v="0.55200000000000005"/>
    <x v="0"/>
    <x v="1"/>
    <x v="0"/>
    <n v="0.08"/>
  </r>
  <r>
    <s v="CA-2014-158281"/>
    <x v="547"/>
    <d v="2014-09-07T00:00:00"/>
    <x v="0"/>
    <s v="AG-10525"/>
    <s v="Andy Gerbode"/>
    <x v="1"/>
    <s v="United States"/>
    <x v="3"/>
    <x v="1"/>
    <x v="1"/>
    <s v="TEC-MA-10002210"/>
    <x v="0"/>
    <x v="2"/>
    <s v="Epson TM-T88V Direct Thermal Printer - Monochrome - Desktop"/>
    <n v="559.71"/>
    <n v="3"/>
    <n v="-121.2705"/>
    <x v="0"/>
    <x v="0"/>
    <x v="4"/>
    <n v="-0.21666666666666701"/>
  </r>
  <r>
    <s v="CA-2017-109183"/>
    <x v="579"/>
    <d v="2017-12-09T00:00:00"/>
    <x v="0"/>
    <s v="LR-16915"/>
    <s v="Lena Radford"/>
    <x v="0"/>
    <s v="United States"/>
    <x v="283"/>
    <x v="44"/>
    <x v="3"/>
    <s v="TEC-MA-10001856"/>
    <x v="0"/>
    <x v="2"/>
    <s v="Okidata C610n Printer"/>
    <n v="649"/>
    <n v="2"/>
    <n v="-272.58"/>
    <x v="0"/>
    <x v="3"/>
    <x v="3"/>
    <n v="-0.42"/>
  </r>
  <r>
    <s v="CA-2016-144092"/>
    <x v="355"/>
    <d v="2016-11-07T00:00:00"/>
    <x v="1"/>
    <s v="LH-17155"/>
    <s v="Logan Haushalter"/>
    <x v="0"/>
    <s v="United States"/>
    <x v="288"/>
    <x v="0"/>
    <x v="0"/>
    <s v="TEC-AC-10002305"/>
    <x v="0"/>
    <x v="1"/>
    <s v="KeyTronic E03601U1 - Keyboard - Beige"/>
    <n v="72"/>
    <n v="4"/>
    <n v="12.96"/>
    <x v="2"/>
    <x v="1"/>
    <x v="6"/>
    <n v="0.18"/>
  </r>
  <r>
    <s v="CA-2016-121377"/>
    <x v="418"/>
    <d v="2016-06-02T00:00:00"/>
    <x v="0"/>
    <s v="TN-21040"/>
    <s v="Tanja Norvell"/>
    <x v="2"/>
    <s v="United States"/>
    <x v="289"/>
    <x v="2"/>
    <x v="1"/>
    <s v="TEC-PH-10001817"/>
    <x v="0"/>
    <x v="0"/>
    <s v="Wilson Electronics DB Pro Signal Booster"/>
    <n v="286.39999999999998"/>
    <n v="1"/>
    <n v="25.06"/>
    <x v="0"/>
    <x v="1"/>
    <x v="11"/>
    <n v="8.7499999999999994E-2"/>
  </r>
  <r>
    <s v="CA-2017-100097"/>
    <x v="74"/>
    <d v="2017-11-29T00:00:00"/>
    <x v="1"/>
    <s v="MN-17935"/>
    <s v="Michael Nguyen"/>
    <x v="0"/>
    <s v="United States"/>
    <x v="7"/>
    <x v="5"/>
    <x v="2"/>
    <s v="TEC-PH-10002310"/>
    <x v="0"/>
    <x v="0"/>
    <s v="Plantronics Calisto P620-M USB Wireless Speakerphone System"/>
    <n v="979.95"/>
    <n v="5"/>
    <n v="264.5865"/>
    <x v="6"/>
    <x v="3"/>
    <x v="6"/>
    <n v="0.27"/>
  </r>
  <r>
    <s v="CA-2017-167626"/>
    <x v="589"/>
    <d v="2017-09-07T00:00:00"/>
    <x v="0"/>
    <s v="MY-18295"/>
    <s v="Muhammed Yedwab"/>
    <x v="1"/>
    <s v="United States"/>
    <x v="11"/>
    <x v="2"/>
    <x v="1"/>
    <s v="TEC-AC-10004353"/>
    <x v="0"/>
    <x v="1"/>
    <s v="Hypercom P1300 Pinpad"/>
    <n v="100.8"/>
    <n v="2"/>
    <n v="21.42"/>
    <x v="1"/>
    <x v="3"/>
    <x v="4"/>
    <n v="0.21249999999999999"/>
  </r>
  <r>
    <s v="US-2014-131275"/>
    <x v="340"/>
    <d v="2014-03-24T00:00:00"/>
    <x v="0"/>
    <s v="SC-20050"/>
    <s v="Sample Company A"/>
    <x v="2"/>
    <s v="United States"/>
    <x v="290"/>
    <x v="0"/>
    <x v="0"/>
    <s v="TEC-MA-10001148"/>
    <x v="0"/>
    <x v="2"/>
    <s v="Swingline SM12-08 MicroCut Jam Free Shredder"/>
    <n v="1279.9680000000001"/>
    <n v="4"/>
    <n v="415.9896"/>
    <x v="3"/>
    <x v="0"/>
    <x v="5"/>
    <n v="0.32500000000000001"/>
  </r>
  <r>
    <s v="CA-2017-115119"/>
    <x v="12"/>
    <d v="2017-10-30T00:00:00"/>
    <x v="0"/>
    <s v="SC-20440"/>
    <s v="Shaun Chance"/>
    <x v="1"/>
    <s v="United States"/>
    <x v="192"/>
    <x v="12"/>
    <x v="2"/>
    <s v="TEC-PH-10001433"/>
    <x v="0"/>
    <x v="0"/>
    <s v="Cisco Small Business SPA 502G VoIP phone"/>
    <n v="61.542000000000002"/>
    <n v="1"/>
    <n v="-13.334099999999999"/>
    <x v="1"/>
    <x v="3"/>
    <x v="7"/>
    <n v="-0.21666666666666701"/>
  </r>
  <r>
    <s v="CA-2015-113152"/>
    <x v="481"/>
    <d v="2015-12-30T00:00:00"/>
    <x v="0"/>
    <s v="JK-15625"/>
    <s v="Jim Karlsson"/>
    <x v="0"/>
    <s v="United States"/>
    <x v="7"/>
    <x v="5"/>
    <x v="2"/>
    <s v="TEC-AC-10002049"/>
    <x v="0"/>
    <x v="1"/>
    <s v="Plantronics Savi W720 Multi-Device Wireless Headset System"/>
    <n v="843.9"/>
    <n v="2"/>
    <n v="371.31599999999997"/>
    <x v="0"/>
    <x v="2"/>
    <x v="3"/>
    <n v="0.44"/>
  </r>
  <r>
    <s v="CA-2017-168389"/>
    <x v="56"/>
    <d v="2017-12-17T00:00:00"/>
    <x v="0"/>
    <s v="DV-13045"/>
    <s v="Darrin Van Huff"/>
    <x v="1"/>
    <s v="United States"/>
    <x v="42"/>
    <x v="15"/>
    <x v="3"/>
    <s v="TEC-PH-10003555"/>
    <x v="0"/>
    <x v="0"/>
    <s v="Motorola HK250 Universal Bluetooth Headset"/>
    <n v="73.567999999999998"/>
    <n v="4"/>
    <n v="-16.552800000000001"/>
    <x v="3"/>
    <x v="3"/>
    <x v="3"/>
    <n v="-0.22500000000000001"/>
  </r>
  <r>
    <s v="CA-2017-141138"/>
    <x v="191"/>
    <d v="2017-11-16T00:00:00"/>
    <x v="0"/>
    <s v="GH-14425"/>
    <s v="Gary Hwang"/>
    <x v="0"/>
    <s v="United States"/>
    <x v="291"/>
    <x v="0"/>
    <x v="0"/>
    <s v="TEC-AC-10001772"/>
    <x v="0"/>
    <x v="1"/>
    <s v="Memorex Mini Travel Drive 16 GB USB 2.0 Flash Drive"/>
    <n v="111.79"/>
    <n v="7"/>
    <n v="43.598100000000002"/>
    <x v="3"/>
    <x v="3"/>
    <x v="6"/>
    <n v="0.39"/>
  </r>
  <r>
    <s v="CA-2017-152135"/>
    <x v="260"/>
    <d v="2017-03-18T00:00:00"/>
    <x v="1"/>
    <s v="MG-17650"/>
    <s v="Matthew Grinstein"/>
    <x v="2"/>
    <s v="United States"/>
    <x v="95"/>
    <x v="9"/>
    <x v="2"/>
    <s v="TEC-PH-10003505"/>
    <x v="0"/>
    <x v="0"/>
    <s v="Geemarc AmpliPOWER60"/>
    <n v="445.44"/>
    <n v="8"/>
    <n v="-81.664000000000001"/>
    <x v="2"/>
    <x v="3"/>
    <x v="5"/>
    <n v="-0.18333333333333299"/>
  </r>
  <r>
    <s v="US-2014-115189"/>
    <x v="407"/>
    <d v="2015-01-03T00:00:00"/>
    <x v="1"/>
    <s v="AR-10345"/>
    <s v="Alex Russell"/>
    <x v="1"/>
    <s v="United States"/>
    <x v="20"/>
    <x v="12"/>
    <x v="2"/>
    <s v="TEC-PH-10002170"/>
    <x v="0"/>
    <x v="0"/>
    <s v="ClearSounds CSC500 Amplified Spirit Phone Corded phone"/>
    <n v="251.964"/>
    <n v="6"/>
    <n v="-50.392800000000001"/>
    <x v="1"/>
    <x v="0"/>
    <x v="3"/>
    <n v="-0.2"/>
  </r>
  <r>
    <s v="CA-2016-127243"/>
    <x v="532"/>
    <d v="2016-12-04T00:00:00"/>
    <x v="0"/>
    <s v="DS-13180"/>
    <s v="David Smith"/>
    <x v="1"/>
    <s v="United States"/>
    <x v="20"/>
    <x v="12"/>
    <x v="2"/>
    <s v="TEC-PH-10004539"/>
    <x v="0"/>
    <x v="0"/>
    <s v="Wireless Extenders zBoost YX545 SOHO Signal Booster"/>
    <n v="340.18200000000002"/>
    <n v="3"/>
    <n v="-73.706100000000006"/>
    <x v="3"/>
    <x v="1"/>
    <x v="6"/>
    <n v="-0.21666666666666701"/>
  </r>
  <r>
    <s v="CA-2014-107769"/>
    <x v="692"/>
    <d v="2014-11-01T00:00:00"/>
    <x v="0"/>
    <s v="BT-11395"/>
    <s v="Bill Tyler"/>
    <x v="1"/>
    <s v="United States"/>
    <x v="292"/>
    <x v="43"/>
    <x v="1"/>
    <s v="TEC-PH-10001336"/>
    <x v="0"/>
    <x v="0"/>
    <s v="Digium D40 VoIP phone"/>
    <n v="257.98"/>
    <n v="2"/>
    <n v="74.8142"/>
    <x v="1"/>
    <x v="0"/>
    <x v="7"/>
    <n v="0.28999999999999998"/>
  </r>
  <r>
    <s v="CA-2016-105732"/>
    <x v="693"/>
    <d v="2016-09-18T00:00:00"/>
    <x v="0"/>
    <s v="AG-10270"/>
    <s v="Alejandro Grove"/>
    <x v="0"/>
    <s v="United States"/>
    <x v="70"/>
    <x v="25"/>
    <x v="1"/>
    <s v="TEC-PH-10001644"/>
    <x v="0"/>
    <x v="0"/>
    <s v="BlueLounge Milo Smartphone Stand, White/Metallic"/>
    <n v="149.94999999999999"/>
    <n v="5"/>
    <n v="41.985999999999997"/>
    <x v="0"/>
    <x v="1"/>
    <x v="4"/>
    <n v="0.28000000000000003"/>
  </r>
  <r>
    <s v="CA-2016-105732"/>
    <x v="693"/>
    <d v="2016-09-18T00:00:00"/>
    <x v="0"/>
    <s v="AG-10270"/>
    <s v="Alejandro Grove"/>
    <x v="0"/>
    <s v="United States"/>
    <x v="70"/>
    <x v="25"/>
    <x v="1"/>
    <s v="TEC-PH-10004897"/>
    <x v="0"/>
    <x v="0"/>
    <s v="Mediabridge Sport Armband iPhone 5s"/>
    <n v="29.97"/>
    <n v="3"/>
    <n v="0.29970000000000002"/>
    <x v="0"/>
    <x v="1"/>
    <x v="4"/>
    <n v="0.01"/>
  </r>
  <r>
    <s v="CA-2014-124807"/>
    <x v="173"/>
    <d v="2014-07-15T00:00:00"/>
    <x v="1"/>
    <s v="ME-17725"/>
    <s v="Max Engle"/>
    <x v="0"/>
    <s v="United States"/>
    <x v="11"/>
    <x v="2"/>
    <x v="1"/>
    <s v="TEC-AC-10002857"/>
    <x v="0"/>
    <x v="1"/>
    <s v="Verbatim 25 GB 6x Blu-ray Single Layer Recordable Disc, 1/Pack"/>
    <n v="23.84"/>
    <n v="4"/>
    <n v="3.278"/>
    <x v="6"/>
    <x v="0"/>
    <x v="10"/>
    <n v="0.13750000000000001"/>
  </r>
  <r>
    <s v="CA-2014-103058"/>
    <x v="52"/>
    <d v="2014-07-24T00:00:00"/>
    <x v="2"/>
    <s v="AG-10270"/>
    <s v="Alejandro Grove"/>
    <x v="0"/>
    <s v="United States"/>
    <x v="7"/>
    <x v="5"/>
    <x v="2"/>
    <s v="TEC-AC-10001314"/>
    <x v="0"/>
    <x v="1"/>
    <s v="Case Logic 2.4GHz Wireless Keyboard"/>
    <n v="99.98"/>
    <n v="2"/>
    <n v="7.9984000000000002"/>
    <x v="4"/>
    <x v="0"/>
    <x v="10"/>
    <n v="0.08"/>
  </r>
  <r>
    <s v="CA-2017-121125"/>
    <x v="694"/>
    <d v="2017-06-03T00:00:00"/>
    <x v="0"/>
    <s v="MG-17890"/>
    <s v="Michael Granlund"/>
    <x v="2"/>
    <s v="United States"/>
    <x v="119"/>
    <x v="16"/>
    <x v="0"/>
    <s v="TEC-PH-10001619"/>
    <x v="0"/>
    <x v="0"/>
    <s v="LG G3"/>
    <n v="156.792"/>
    <n v="1"/>
    <n v="17.639099999999999"/>
    <x v="1"/>
    <x v="3"/>
    <x v="11"/>
    <n v="0.1125"/>
  </r>
  <r>
    <s v="CA-2017-121125"/>
    <x v="694"/>
    <d v="2017-06-03T00:00:00"/>
    <x v="0"/>
    <s v="MG-17890"/>
    <s v="Michael Granlund"/>
    <x v="2"/>
    <s v="United States"/>
    <x v="119"/>
    <x v="16"/>
    <x v="0"/>
    <s v="TEC-AC-10002323"/>
    <x v="0"/>
    <x v="1"/>
    <s v="SanDisk Ultra 32 GB MicroSDHC Class 10 Memory Card"/>
    <n v="35.36"/>
    <n v="2"/>
    <n v="-3.0939999999999999"/>
    <x v="1"/>
    <x v="3"/>
    <x v="11"/>
    <n v="-8.7499999999999994E-2"/>
  </r>
  <r>
    <s v="US-2016-114013"/>
    <x v="21"/>
    <d v="2016-03-15T00:00:00"/>
    <x v="1"/>
    <s v="SC-20770"/>
    <s v="Stewart Carmichael"/>
    <x v="1"/>
    <s v="United States"/>
    <x v="20"/>
    <x v="12"/>
    <x v="2"/>
    <s v="TEC-AC-10000474"/>
    <x v="0"/>
    <x v="1"/>
    <s v="Kensington Expert Mouse Optical USB Trackball for PC or Mac"/>
    <n v="379.96"/>
    <n v="5"/>
    <n v="47.494999999999997"/>
    <x v="2"/>
    <x v="1"/>
    <x v="5"/>
    <n v="0.125"/>
  </r>
  <r>
    <s v="US-2016-114013"/>
    <x v="21"/>
    <d v="2016-03-15T00:00:00"/>
    <x v="1"/>
    <s v="SC-20770"/>
    <s v="Stewart Carmichael"/>
    <x v="1"/>
    <s v="United States"/>
    <x v="20"/>
    <x v="12"/>
    <x v="2"/>
    <s v="TEC-PH-10001494"/>
    <x v="0"/>
    <x v="0"/>
    <s v="Polycom CX600 IP Phone VoIP phone"/>
    <n v="539.91"/>
    <n v="3"/>
    <n v="-116.98050000000001"/>
    <x v="2"/>
    <x v="1"/>
    <x v="5"/>
    <n v="-0.21666666666666701"/>
  </r>
  <r>
    <s v="US-2016-114013"/>
    <x v="21"/>
    <d v="2016-03-15T00:00:00"/>
    <x v="1"/>
    <s v="SC-20770"/>
    <s v="Stewart Carmichael"/>
    <x v="1"/>
    <s v="United States"/>
    <x v="20"/>
    <x v="12"/>
    <x v="2"/>
    <s v="TEC-MA-10001148"/>
    <x v="0"/>
    <x v="2"/>
    <s v="Okidata MB491 Multifunction Printer"/>
    <n v="449.1"/>
    <n v="3"/>
    <n v="-643.71"/>
    <x v="2"/>
    <x v="1"/>
    <x v="5"/>
    <n v="-1.43333333333333"/>
  </r>
  <r>
    <s v="CA-2017-105669"/>
    <x v="695"/>
    <d v="2017-09-22T00:00:00"/>
    <x v="1"/>
    <s v="SJ-20125"/>
    <s v="Sanjit Jacobs"/>
    <x v="2"/>
    <s v="United States"/>
    <x v="3"/>
    <x v="1"/>
    <x v="1"/>
    <s v="TEC-PH-10002415"/>
    <x v="0"/>
    <x v="0"/>
    <s v="Polycom VoiceStation 500 Conference phone"/>
    <n v="1415.76"/>
    <n v="6"/>
    <n v="88.484999999999999"/>
    <x v="0"/>
    <x v="3"/>
    <x v="4"/>
    <n v="6.25E-2"/>
  </r>
  <r>
    <s v="CA-2017-134796"/>
    <x v="696"/>
    <d v="2017-07-01T00:00:00"/>
    <x v="0"/>
    <s v="FM-14380"/>
    <s v="Fred McMath"/>
    <x v="0"/>
    <s v="United States"/>
    <x v="293"/>
    <x v="2"/>
    <x v="1"/>
    <s v="TEC-PH-10003505"/>
    <x v="0"/>
    <x v="0"/>
    <s v="Geemarc AmpliPOWER60"/>
    <n v="148.47999999999999"/>
    <n v="2"/>
    <n v="16.704000000000001"/>
    <x v="3"/>
    <x v="3"/>
    <x v="0"/>
    <n v="0.1125"/>
  </r>
  <r>
    <s v="CA-2015-137974"/>
    <x v="152"/>
    <d v="2015-04-18T00:00:00"/>
    <x v="2"/>
    <s v="LL-16840"/>
    <s v="Lauren Leatherbury"/>
    <x v="0"/>
    <s v="United States"/>
    <x v="62"/>
    <x v="23"/>
    <x v="3"/>
    <s v="TEC-PH-10002033"/>
    <x v="0"/>
    <x v="0"/>
    <s v="Konftel 250 Conference phone - Charcoal black"/>
    <n v="569.64"/>
    <n v="2"/>
    <n v="148.10640000000001"/>
    <x v="2"/>
    <x v="2"/>
    <x v="9"/>
    <n v="0.26"/>
  </r>
  <r>
    <s v="US-2015-136987"/>
    <x v="132"/>
    <d v="2015-04-14T00:00:00"/>
    <x v="1"/>
    <s v="AR-10540"/>
    <s v="Andy Reiter"/>
    <x v="0"/>
    <s v="United States"/>
    <x v="0"/>
    <x v="0"/>
    <x v="0"/>
    <s v="TEC-CO-10001943"/>
    <x v="0"/>
    <x v="3"/>
    <s v="Canon PC-428 Personal Copier"/>
    <n v="639.96799999999996"/>
    <n v="4"/>
    <n v="215.98920000000001"/>
    <x v="6"/>
    <x v="2"/>
    <x v="9"/>
    <n v="0.33750000000000002"/>
  </r>
  <r>
    <s v="CA-2015-138485"/>
    <x v="509"/>
    <d v="2015-03-01T00:00:00"/>
    <x v="1"/>
    <s v="NP-18670"/>
    <s v="Nora Paige"/>
    <x v="0"/>
    <s v="United States"/>
    <x v="45"/>
    <x v="17"/>
    <x v="0"/>
    <s v="TEC-AC-10002076"/>
    <x v="0"/>
    <x v="1"/>
    <s v="Microsoft Natural Keyboard Elite"/>
    <n v="538.91999999999996"/>
    <n v="9"/>
    <n v="80.837999999999994"/>
    <x v="2"/>
    <x v="2"/>
    <x v="8"/>
    <n v="0.15"/>
  </r>
  <r>
    <s v="CA-2016-139997"/>
    <x v="697"/>
    <d v="2016-07-03T00:00:00"/>
    <x v="2"/>
    <s v="EM-14140"/>
    <s v="Eugene Moren"/>
    <x v="2"/>
    <s v="United States"/>
    <x v="238"/>
    <x v="34"/>
    <x v="0"/>
    <s v="TEC-CO-10000971"/>
    <x v="0"/>
    <x v="3"/>
    <s v="Hewlett Packard 310 Color Digital Copier"/>
    <n v="1499.95"/>
    <n v="5"/>
    <n v="449.98500000000001"/>
    <x v="2"/>
    <x v="1"/>
    <x v="10"/>
    <n v="0.3"/>
  </r>
  <r>
    <s v="CA-2014-167199"/>
    <x v="698"/>
    <d v="2014-01-10T00:00:00"/>
    <x v="0"/>
    <s v="ME-17320"/>
    <s v="Maria Etezadi"/>
    <x v="2"/>
    <s v="United States"/>
    <x v="174"/>
    <x v="27"/>
    <x v="3"/>
    <s v="TEC-PH-10004977"/>
    <x v="0"/>
    <x v="0"/>
    <s v="GE 30524EE4"/>
    <n v="391.98"/>
    <n v="2"/>
    <n v="113.6742"/>
    <x v="1"/>
    <x v="0"/>
    <x v="2"/>
    <n v="0.28999999999999998"/>
  </r>
  <r>
    <s v="CA-2014-167199"/>
    <x v="698"/>
    <d v="2014-01-10T00:00:00"/>
    <x v="0"/>
    <s v="ME-17320"/>
    <s v="Maria Etezadi"/>
    <x v="2"/>
    <s v="United States"/>
    <x v="174"/>
    <x v="27"/>
    <x v="3"/>
    <s v="TEC-PH-10004539"/>
    <x v="0"/>
    <x v="0"/>
    <s v="Wireless Extenders zBoost YX545 SOHO Signal Booster"/>
    <n v="755.96"/>
    <n v="4"/>
    <n v="204.10919999999999"/>
    <x v="1"/>
    <x v="0"/>
    <x v="2"/>
    <n v="0.27"/>
  </r>
  <r>
    <s v="US-2015-134558"/>
    <x v="221"/>
    <d v="2015-12-24T00:00:00"/>
    <x v="1"/>
    <s v="PM-19135"/>
    <s v="Peter McVee"/>
    <x v="2"/>
    <s v="United States"/>
    <x v="6"/>
    <x v="28"/>
    <x v="2"/>
    <s v="TEC-AC-10004145"/>
    <x v="0"/>
    <x v="1"/>
    <s v="Logitech diNovo Edge Keyboard"/>
    <n v="2249.91"/>
    <n v="9"/>
    <n v="517.47929999999997"/>
    <x v="0"/>
    <x v="2"/>
    <x v="3"/>
    <n v="0.23"/>
  </r>
  <r>
    <s v="US-2017-118598"/>
    <x v="405"/>
    <d v="2017-11-16T00:00:00"/>
    <x v="3"/>
    <s v="CM-12190"/>
    <s v="Charlotte Melton"/>
    <x v="0"/>
    <s v="United States"/>
    <x v="259"/>
    <x v="5"/>
    <x v="2"/>
    <s v="TEC-PH-10002583"/>
    <x v="0"/>
    <x v="0"/>
    <s v="iOttie HLCRIO102 Car Mount"/>
    <n v="119.94"/>
    <n v="6"/>
    <n v="5.9969999999999999"/>
    <x v="7"/>
    <x v="3"/>
    <x v="6"/>
    <n v="0.05"/>
  </r>
  <r>
    <s v="CA-2017-121048"/>
    <x v="699"/>
    <d v="2017-07-18T00:00:00"/>
    <x v="0"/>
    <s v="TC-21295"/>
    <s v="Toby Carlisle"/>
    <x v="0"/>
    <s v="United States"/>
    <x v="111"/>
    <x v="0"/>
    <x v="0"/>
    <s v="TEC-AC-10000991"/>
    <x v="0"/>
    <x v="1"/>
    <s v="Sony Micro Vault Click 8 GB USB 2.0 Flash Drive"/>
    <n v="140.97"/>
    <n v="3"/>
    <n v="19.735800000000001"/>
    <x v="1"/>
    <x v="3"/>
    <x v="10"/>
    <n v="0.14000000000000001"/>
  </r>
  <r>
    <s v="CA-2017-121048"/>
    <x v="699"/>
    <d v="2017-07-18T00:00:00"/>
    <x v="0"/>
    <s v="TC-21295"/>
    <s v="Toby Carlisle"/>
    <x v="0"/>
    <s v="United States"/>
    <x v="111"/>
    <x v="0"/>
    <x v="0"/>
    <s v="TEC-PH-10004977"/>
    <x v="0"/>
    <x v="0"/>
    <s v="GE 30524EE4"/>
    <n v="470.37599999999998"/>
    <n v="3"/>
    <n v="52.917299999999997"/>
    <x v="1"/>
    <x v="3"/>
    <x v="10"/>
    <n v="0.1125"/>
  </r>
  <r>
    <s v="US-2017-120147"/>
    <x v="700"/>
    <d v="2017-03-30T00:00:00"/>
    <x v="3"/>
    <s v="TB-21400"/>
    <s v="Tom Boeckenhauer"/>
    <x v="0"/>
    <s v="United States"/>
    <x v="0"/>
    <x v="0"/>
    <x v="0"/>
    <s v="TEC-PH-10002447"/>
    <x v="0"/>
    <x v="0"/>
    <s v="AT&amp;T CL83451 4-Handset Telephone"/>
    <n v="164.792"/>
    <n v="1"/>
    <n v="18.539100000000001"/>
    <x v="7"/>
    <x v="3"/>
    <x v="5"/>
    <n v="0.1125"/>
  </r>
  <r>
    <s v="CA-2014-115889"/>
    <x v="629"/>
    <d v="2014-11-06T00:00:00"/>
    <x v="0"/>
    <s v="SH-20395"/>
    <s v="Shahid Hopkins"/>
    <x v="0"/>
    <s v="United States"/>
    <x v="1"/>
    <x v="0"/>
    <x v="0"/>
    <s v="TEC-PH-10001615"/>
    <x v="0"/>
    <x v="0"/>
    <s v="AT&amp;T CL82213"/>
    <n v="46.384"/>
    <n v="2"/>
    <n v="5.2182000000000004"/>
    <x v="1"/>
    <x v="0"/>
    <x v="6"/>
    <n v="0.1125"/>
  </r>
  <r>
    <s v="US-2017-161935"/>
    <x v="699"/>
    <d v="2017-07-18T00:00:00"/>
    <x v="0"/>
    <s v="JL-15835"/>
    <s v="John Lee"/>
    <x v="0"/>
    <s v="United States"/>
    <x v="16"/>
    <x v="9"/>
    <x v="2"/>
    <s v="TEC-PH-10000560"/>
    <x v="0"/>
    <x v="0"/>
    <s v="Samsung Galaxy S III - 16GB - pebble blue (T-Mobile)"/>
    <n v="1889.9459999999999"/>
    <n v="9"/>
    <n v="-377.98919999999998"/>
    <x v="1"/>
    <x v="3"/>
    <x v="10"/>
    <n v="-0.2"/>
  </r>
  <r>
    <s v="US-2017-167920"/>
    <x v="28"/>
    <d v="2017-12-12T00:00:00"/>
    <x v="1"/>
    <s v="JL-15835"/>
    <s v="John Lee"/>
    <x v="0"/>
    <s v="United States"/>
    <x v="184"/>
    <x v="27"/>
    <x v="3"/>
    <s v="TEC-AC-10001013"/>
    <x v="0"/>
    <x v="1"/>
    <s v="Logitech ClearChat Comfort/USB Headset H390"/>
    <n v="146.44999999999999"/>
    <n v="5"/>
    <n v="48.328499999999998"/>
    <x v="6"/>
    <x v="3"/>
    <x v="3"/>
    <n v="0.33"/>
  </r>
  <r>
    <s v="US-2017-167920"/>
    <x v="28"/>
    <d v="2017-12-12T00:00:00"/>
    <x v="1"/>
    <s v="JL-15835"/>
    <s v="John Lee"/>
    <x v="0"/>
    <s v="United States"/>
    <x v="184"/>
    <x v="27"/>
    <x v="3"/>
    <s v="TEC-CO-10001046"/>
    <x v="0"/>
    <x v="3"/>
    <s v="Canon Imageclass D680 Copier / Fax"/>
    <n v="1399.98"/>
    <n v="2"/>
    <n v="629.99099999999999"/>
    <x v="6"/>
    <x v="3"/>
    <x v="3"/>
    <n v="0.45"/>
  </r>
  <r>
    <s v="US-2017-112347"/>
    <x v="581"/>
    <d v="2017-12-06T00:00:00"/>
    <x v="0"/>
    <s v="BS-11380"/>
    <s v="Bill Stewart"/>
    <x v="1"/>
    <s v="United States"/>
    <x v="52"/>
    <x v="7"/>
    <x v="0"/>
    <s v="TEC-PH-10000213"/>
    <x v="0"/>
    <x v="0"/>
    <s v="Seidio BD2-HK3IPH5-BK DILEX Case and Holster Combo for Apple iPhone 5/5s - Black"/>
    <n v="49.616"/>
    <n v="2"/>
    <n v="4.9615999999999998"/>
    <x v="1"/>
    <x v="3"/>
    <x v="3"/>
    <n v="0.1"/>
  </r>
  <r>
    <s v="US-2017-112347"/>
    <x v="581"/>
    <d v="2017-12-06T00:00:00"/>
    <x v="0"/>
    <s v="BS-11380"/>
    <s v="Bill Stewart"/>
    <x v="1"/>
    <s v="United States"/>
    <x v="52"/>
    <x v="7"/>
    <x v="0"/>
    <s v="TEC-PH-10004833"/>
    <x v="0"/>
    <x v="0"/>
    <s v="Macally Suction Cup Mount"/>
    <n v="57.36"/>
    <n v="6"/>
    <n v="-14.34"/>
    <x v="1"/>
    <x v="3"/>
    <x v="3"/>
    <n v="-0.25"/>
  </r>
  <r>
    <s v="CA-2014-103492"/>
    <x v="701"/>
    <d v="2014-10-15T00:00:00"/>
    <x v="0"/>
    <s v="CM-12715"/>
    <s v="Craig Molinari"/>
    <x v="1"/>
    <s v="United States"/>
    <x v="46"/>
    <x v="1"/>
    <x v="1"/>
    <s v="TEC-PH-10001128"/>
    <x v="0"/>
    <x v="0"/>
    <s v="Motorola Droid Maxx"/>
    <n v="719.952"/>
    <n v="6"/>
    <n v="71.995199999999997"/>
    <x v="0"/>
    <x v="0"/>
    <x v="7"/>
    <n v="0.1"/>
  </r>
  <r>
    <s v="CA-2014-103492"/>
    <x v="701"/>
    <d v="2014-10-15T00:00:00"/>
    <x v="0"/>
    <s v="CM-12715"/>
    <s v="Craig Molinari"/>
    <x v="1"/>
    <s v="United States"/>
    <x v="46"/>
    <x v="1"/>
    <x v="1"/>
    <s v="TEC-PH-10004667"/>
    <x v="0"/>
    <x v="0"/>
    <s v="Cisco 8x8 Inc. 6753i IP Business Phone System"/>
    <n v="755.94399999999996"/>
    <n v="7"/>
    <n v="66.145099999999999"/>
    <x v="0"/>
    <x v="0"/>
    <x v="7"/>
    <n v="8.7499999999999994E-2"/>
  </r>
  <r>
    <s v="CA-2014-140396"/>
    <x v="702"/>
    <d v="2014-11-25T00:00:00"/>
    <x v="0"/>
    <s v="KH-16330"/>
    <s v="Katharine Harms"/>
    <x v="1"/>
    <s v="United States"/>
    <x v="7"/>
    <x v="5"/>
    <x v="2"/>
    <s v="TEC-PH-10004447"/>
    <x v="0"/>
    <x v="0"/>
    <s v="Toshiba IPT2010-SD IP Telephone"/>
    <n v="833.94"/>
    <n v="6"/>
    <n v="216.8244"/>
    <x v="0"/>
    <x v="0"/>
    <x v="6"/>
    <n v="0.26"/>
  </r>
  <r>
    <s v="CA-2017-157672"/>
    <x v="137"/>
    <d v="2017-10-07T00:00:00"/>
    <x v="2"/>
    <s v="RB-19795"/>
    <s v="Ross Baird"/>
    <x v="2"/>
    <s v="United States"/>
    <x v="52"/>
    <x v="7"/>
    <x v="0"/>
    <s v="TEC-AC-10001714"/>
    <x v="0"/>
    <x v="1"/>
    <s v="Logitech MX Performance Wireless Mouse"/>
    <n v="63.823999999999998"/>
    <n v="2"/>
    <n v="13.5626"/>
    <x v="2"/>
    <x v="3"/>
    <x v="7"/>
    <n v="0.21249999999999999"/>
  </r>
  <r>
    <s v="CA-2017-140802"/>
    <x v="442"/>
    <d v="2017-04-23T00:00:00"/>
    <x v="2"/>
    <s v="KN-16390"/>
    <s v="Katherine Nockton"/>
    <x v="1"/>
    <s v="United States"/>
    <x v="3"/>
    <x v="1"/>
    <x v="1"/>
    <s v="TEC-AC-10001998"/>
    <x v="0"/>
    <x v="1"/>
    <s v="Logitech LS21 Speaker System - PC Multimedia - 2.1-CH - Wired"/>
    <n v="47.975999999999999"/>
    <n v="3"/>
    <n v="8.3957999999999995"/>
    <x v="2"/>
    <x v="3"/>
    <x v="9"/>
    <n v="0.17499999999999999"/>
  </r>
  <r>
    <s v="CA-2015-129532"/>
    <x v="237"/>
    <d v="2015-12-12T00:00:00"/>
    <x v="0"/>
    <s v="YS-21880"/>
    <s v="Yana Sorensen"/>
    <x v="1"/>
    <s v="United States"/>
    <x v="0"/>
    <x v="0"/>
    <x v="0"/>
    <s v="TEC-AC-10000865"/>
    <x v="0"/>
    <x v="1"/>
    <s v="WD My Passport Ultra 500GB Portable External Hard Drive"/>
    <n v="236"/>
    <n v="4"/>
    <n v="40.119999999999997"/>
    <x v="1"/>
    <x v="2"/>
    <x v="3"/>
    <n v="0.17"/>
  </r>
  <r>
    <s v="CA-2014-134726"/>
    <x v="629"/>
    <d v="2014-11-07T00:00:00"/>
    <x v="1"/>
    <s v="SW-20755"/>
    <s v="Steven Ward"/>
    <x v="1"/>
    <s v="United States"/>
    <x v="45"/>
    <x v="17"/>
    <x v="0"/>
    <s v="TEC-AC-10000023"/>
    <x v="0"/>
    <x v="1"/>
    <s v="Maxell 74 Minute CD-R Spindle, 50/Pack"/>
    <n v="41.94"/>
    <n v="2"/>
    <n v="15.0984"/>
    <x v="0"/>
    <x v="0"/>
    <x v="6"/>
    <n v="0.36"/>
  </r>
  <r>
    <s v="CA-2014-134726"/>
    <x v="629"/>
    <d v="2014-11-07T00:00:00"/>
    <x v="1"/>
    <s v="SW-20755"/>
    <s v="Steven Ward"/>
    <x v="1"/>
    <s v="United States"/>
    <x v="45"/>
    <x v="17"/>
    <x v="0"/>
    <s v="TEC-PH-10001750"/>
    <x v="0"/>
    <x v="0"/>
    <s v="Samsung Rugby III"/>
    <n v="52.792000000000002"/>
    <n v="1"/>
    <n v="4.6193"/>
    <x v="0"/>
    <x v="0"/>
    <x v="6"/>
    <n v="8.7499999999999994E-2"/>
  </r>
  <r>
    <s v="CA-2014-163223"/>
    <x v="703"/>
    <d v="2014-03-25T00:00:00"/>
    <x v="0"/>
    <s v="KH-16690"/>
    <s v="Kristen Hastings"/>
    <x v="1"/>
    <s v="United States"/>
    <x v="84"/>
    <x v="23"/>
    <x v="3"/>
    <s v="TEC-PH-10000730"/>
    <x v="0"/>
    <x v="0"/>
    <s v="Samsung Galaxy S4 Active"/>
    <n v="3499.93"/>
    <n v="7"/>
    <n v="909.98180000000002"/>
    <x v="1"/>
    <x v="0"/>
    <x v="5"/>
    <n v="0.26"/>
  </r>
  <r>
    <s v="CA-2015-164567"/>
    <x v="599"/>
    <d v="2015-06-19T00:00:00"/>
    <x v="0"/>
    <s v="GK-14620"/>
    <s v="Grace Kelly"/>
    <x v="1"/>
    <s v="United States"/>
    <x v="0"/>
    <x v="0"/>
    <x v="0"/>
    <s v="TEC-PH-10002103"/>
    <x v="0"/>
    <x v="0"/>
    <s v="Jabra SPEAK 410"/>
    <n v="225.57599999999999"/>
    <n v="3"/>
    <n v="22.557600000000001"/>
    <x v="1"/>
    <x v="2"/>
    <x v="0"/>
    <n v="0.1"/>
  </r>
  <r>
    <s v="CA-2014-131947"/>
    <x v="402"/>
    <d v="2014-09-22T00:00:00"/>
    <x v="0"/>
    <s v="JA-15970"/>
    <s v="Joseph Airdo"/>
    <x v="0"/>
    <s v="United States"/>
    <x v="84"/>
    <x v="16"/>
    <x v="0"/>
    <s v="TEC-MA-10004086"/>
    <x v="0"/>
    <x v="2"/>
    <s v="Plantronics Single Ear Headset"/>
    <n v="29.925000000000001"/>
    <n v="5"/>
    <n v="-21.945"/>
    <x v="0"/>
    <x v="0"/>
    <x v="4"/>
    <n v="-0.73333333333333295"/>
  </r>
  <r>
    <s v="CA-2014-131947"/>
    <x v="402"/>
    <d v="2014-09-22T00:00:00"/>
    <x v="0"/>
    <s v="JA-15970"/>
    <s v="Joseph Airdo"/>
    <x v="0"/>
    <s v="United States"/>
    <x v="84"/>
    <x v="16"/>
    <x v="0"/>
    <s v="TEC-AC-10004633"/>
    <x v="0"/>
    <x v="1"/>
    <s v="Verbatim 25 GB 6x Blu-ray Single Layer Recordable Disc, 3/Pack"/>
    <n v="55.92"/>
    <n v="10"/>
    <n v="16.776"/>
    <x v="0"/>
    <x v="0"/>
    <x v="4"/>
    <n v="0.3"/>
  </r>
  <r>
    <s v="CA-2017-151225"/>
    <x v="396"/>
    <d v="2017-10-29T00:00:00"/>
    <x v="2"/>
    <s v="JM-15655"/>
    <s v="Jim Mitchum"/>
    <x v="1"/>
    <s v="United States"/>
    <x v="0"/>
    <x v="0"/>
    <x v="0"/>
    <s v="TEC-PH-10004100"/>
    <x v="0"/>
    <x v="0"/>
    <s v="Griffin GC17055 Auxiliary Audio Cable"/>
    <n v="71.959999999999994"/>
    <n v="5"/>
    <n v="7.1959999999999997"/>
    <x v="2"/>
    <x v="3"/>
    <x v="7"/>
    <n v="0.1"/>
  </r>
  <r>
    <s v="US-2014-144078"/>
    <x v="333"/>
    <d v="2014-11-29T00:00:00"/>
    <x v="0"/>
    <s v="RB-19435"/>
    <s v="Richard Bierner"/>
    <x v="0"/>
    <s v="United States"/>
    <x v="0"/>
    <x v="0"/>
    <x v="0"/>
    <s v="TEC-PH-10001580"/>
    <x v="0"/>
    <x v="0"/>
    <s v="Logitech Mobile Speakerphone P710e - speaker phone"/>
    <n v="539.91999999999996"/>
    <n v="5"/>
    <n v="47.243000000000002"/>
    <x v="1"/>
    <x v="0"/>
    <x v="6"/>
    <n v="8.7499999999999994E-2"/>
  </r>
  <r>
    <s v="US-2015-159499"/>
    <x v="494"/>
    <d v="2015-11-23T00:00:00"/>
    <x v="1"/>
    <s v="EM-14095"/>
    <s v="Eudokia Martin"/>
    <x v="1"/>
    <s v="United States"/>
    <x v="80"/>
    <x v="6"/>
    <x v="0"/>
    <s v="TEC-AC-10002718"/>
    <x v="0"/>
    <x v="1"/>
    <s v="Belkin Standard 104 key USB Keyboard"/>
    <n v="23.344000000000001"/>
    <n v="2"/>
    <n v="-1.4590000000000001"/>
    <x v="2"/>
    <x v="2"/>
    <x v="6"/>
    <n v="-6.25E-2"/>
  </r>
  <r>
    <s v="CA-2014-162089"/>
    <x v="704"/>
    <d v="2014-04-01T00:00:00"/>
    <x v="2"/>
    <s v="MP-17470"/>
    <s v="Mark Packer"/>
    <x v="2"/>
    <s v="United States"/>
    <x v="294"/>
    <x v="1"/>
    <x v="1"/>
    <s v="TEC-PH-10001819"/>
    <x v="0"/>
    <x v="0"/>
    <s v="Innergie mMini Combo Duo USB Travel Charging Kit"/>
    <n v="251.94399999999999"/>
    <n v="7"/>
    <n v="88.180400000000006"/>
    <x v="2"/>
    <x v="0"/>
    <x v="5"/>
    <n v="0.35"/>
  </r>
  <r>
    <s v="US-2016-157490"/>
    <x v="705"/>
    <d v="2016-10-07T00:00:00"/>
    <x v="2"/>
    <s v="LB-16795"/>
    <s v="Laurel Beltran"/>
    <x v="2"/>
    <s v="United States"/>
    <x v="295"/>
    <x v="7"/>
    <x v="0"/>
    <s v="TEC-MA-10001695"/>
    <x v="0"/>
    <x v="2"/>
    <s v="Zebra GK420t Direct Thermal/Thermal Transfer Printer"/>
    <n v="703.71"/>
    <n v="6"/>
    <n v="-938.28"/>
    <x v="4"/>
    <x v="1"/>
    <x v="7"/>
    <n v="-1.3333333333333299"/>
  </r>
  <r>
    <s v="US-2016-157490"/>
    <x v="705"/>
    <d v="2016-10-07T00:00:00"/>
    <x v="2"/>
    <s v="LB-16795"/>
    <s v="Laurel Beltran"/>
    <x v="2"/>
    <s v="United States"/>
    <x v="295"/>
    <x v="7"/>
    <x v="0"/>
    <s v="TEC-AC-10001553"/>
    <x v="0"/>
    <x v="1"/>
    <s v="Memorex 25GB 6X Branded Blu-Ray Recordable Disc, 15/Pack"/>
    <n v="67.959999999999994"/>
    <n v="5"/>
    <n v="0.84950000000000003"/>
    <x v="4"/>
    <x v="1"/>
    <x v="7"/>
    <n v="1.2500000000000001E-2"/>
  </r>
  <r>
    <s v="US-2014-115196"/>
    <x v="434"/>
    <d v="2014-09-13T00:00:00"/>
    <x v="0"/>
    <s v="DL-12925"/>
    <s v="Daniel Lacy"/>
    <x v="0"/>
    <s v="United States"/>
    <x v="255"/>
    <x v="8"/>
    <x v="3"/>
    <s v="TEC-MA-10002073"/>
    <x v="0"/>
    <x v="2"/>
    <s v="3D Systems Cube Printer, 2nd Generation, White"/>
    <n v="1299.99"/>
    <n v="2"/>
    <n v="-571.99559999999997"/>
    <x v="1"/>
    <x v="0"/>
    <x v="4"/>
    <n v="-0.44"/>
  </r>
  <r>
    <s v="CA-2017-110821"/>
    <x v="350"/>
    <d v="2017-08-08T00:00:00"/>
    <x v="2"/>
    <s v="CK-12205"/>
    <s v="Chloris Kastensmidt"/>
    <x v="0"/>
    <s v="United States"/>
    <x v="26"/>
    <x v="1"/>
    <x v="1"/>
    <s v="TEC-AC-10001552"/>
    <x v="0"/>
    <x v="1"/>
    <s v="Logitech K350 2.4Ghz Wireless Keyboard"/>
    <n v="119.44799999999999"/>
    <n v="3"/>
    <n v="-13.437900000000001"/>
    <x v="4"/>
    <x v="3"/>
    <x v="1"/>
    <n v="-0.1125"/>
  </r>
  <r>
    <s v="US-2016-140158"/>
    <x v="706"/>
    <d v="2016-10-08T00:00:00"/>
    <x v="0"/>
    <s v="DR-12940"/>
    <s v="Daniel Raglin"/>
    <x v="2"/>
    <s v="United States"/>
    <x v="227"/>
    <x v="41"/>
    <x v="2"/>
    <s v="TEC-CO-10001449"/>
    <x v="0"/>
    <x v="3"/>
    <s v="Hewlett Packard LaserJet 3310 Copier"/>
    <n v="5399.91"/>
    <n v="9"/>
    <n v="2591.9567999999999"/>
    <x v="1"/>
    <x v="1"/>
    <x v="7"/>
    <n v="0.48"/>
  </r>
  <r>
    <s v="CA-2015-130974"/>
    <x v="54"/>
    <d v="2015-11-29T00:00:00"/>
    <x v="1"/>
    <s v="MA-17560"/>
    <s v="Matt Abelman"/>
    <x v="2"/>
    <s v="United States"/>
    <x v="112"/>
    <x v="35"/>
    <x v="2"/>
    <s v="TEC-AC-10003095"/>
    <x v="0"/>
    <x v="1"/>
    <s v="Logitech G35 7.1-Channel Surround Sound Headset"/>
    <n v="259.98"/>
    <n v="2"/>
    <n v="88.393199999999993"/>
    <x v="2"/>
    <x v="2"/>
    <x v="6"/>
    <n v="0.34"/>
  </r>
  <r>
    <s v="CA-2014-142951"/>
    <x v="707"/>
    <d v="2014-10-08T00:00:00"/>
    <x v="3"/>
    <s v="JG-15115"/>
    <s v="Jack Garza"/>
    <x v="0"/>
    <s v="United States"/>
    <x v="13"/>
    <x v="8"/>
    <x v="3"/>
    <s v="TEC-AC-10002331"/>
    <x v="0"/>
    <x v="1"/>
    <s v="Maxell 74 Minute CDR, 10/Pack"/>
    <n v="23.472000000000001"/>
    <n v="3"/>
    <n v="4.9878"/>
    <x v="7"/>
    <x v="0"/>
    <x v="7"/>
    <n v="0.21249999999999999"/>
  </r>
  <r>
    <s v="CA-2014-133592"/>
    <x v="270"/>
    <d v="2015-01-07T00:00:00"/>
    <x v="0"/>
    <s v="KM-16375"/>
    <s v="Katherine Murray"/>
    <x v="2"/>
    <s v="United States"/>
    <x v="227"/>
    <x v="41"/>
    <x v="2"/>
    <s v="TEC-AC-10002049"/>
    <x v="0"/>
    <x v="1"/>
    <s v="Plantronics Savi W720 Multi-Device Wireless Headset System"/>
    <n v="1687.8"/>
    <n v="4"/>
    <n v="742.63199999999995"/>
    <x v="5"/>
    <x v="0"/>
    <x v="3"/>
    <n v="0.44"/>
  </r>
  <r>
    <s v="CA-2015-116876"/>
    <x v="497"/>
    <d v="2015-02-21T00:00:00"/>
    <x v="0"/>
    <s v="TT-21070"/>
    <s v="Ted Trevino"/>
    <x v="0"/>
    <s v="United States"/>
    <x v="10"/>
    <x v="5"/>
    <x v="2"/>
    <s v="TEC-PH-10002584"/>
    <x v="0"/>
    <x v="0"/>
    <s v="Samsung Galaxy S4"/>
    <n v="625.99"/>
    <n v="1"/>
    <n v="187.797"/>
    <x v="5"/>
    <x v="2"/>
    <x v="8"/>
    <n v="0.3"/>
  </r>
  <r>
    <s v="CA-2016-169838"/>
    <x v="653"/>
    <d v="2016-11-29T00:00:00"/>
    <x v="0"/>
    <s v="BB-11545"/>
    <s v="Brenda Bowman"/>
    <x v="1"/>
    <s v="United States"/>
    <x v="61"/>
    <x v="14"/>
    <x v="1"/>
    <s v="TEC-AC-10004518"/>
    <x v="0"/>
    <x v="1"/>
    <s v="Memorex Mini Travel Drive 32 GB USB 2.0 Flash Drive"/>
    <n v="160"/>
    <n v="8"/>
    <n v="62.4"/>
    <x v="1"/>
    <x v="1"/>
    <x v="6"/>
    <n v="0.39"/>
  </r>
  <r>
    <s v="CA-2014-102330"/>
    <x v="106"/>
    <d v="2015-01-03T00:00:00"/>
    <x v="0"/>
    <s v="AI-10855"/>
    <s v="Arianne Irving"/>
    <x v="0"/>
    <s v="United States"/>
    <x v="31"/>
    <x v="0"/>
    <x v="0"/>
    <s v="TEC-PH-10001051"/>
    <x v="0"/>
    <x v="0"/>
    <s v="HTC One"/>
    <n v="319.96800000000002"/>
    <n v="4"/>
    <n v="35.996400000000001"/>
    <x v="0"/>
    <x v="0"/>
    <x v="3"/>
    <n v="0.1125"/>
  </r>
  <r>
    <s v="CA-2017-151799"/>
    <x v="408"/>
    <d v="2017-12-18T00:00:00"/>
    <x v="0"/>
    <s v="BF-11170"/>
    <s v="Ben Ferrer"/>
    <x v="2"/>
    <s v="United States"/>
    <x v="200"/>
    <x v="35"/>
    <x v="2"/>
    <s v="TEC-CO-10002313"/>
    <x v="0"/>
    <x v="3"/>
    <s v="Canon PC1080F Personal Copier"/>
    <n v="1199.98"/>
    <n v="2"/>
    <n v="467.99220000000003"/>
    <x v="1"/>
    <x v="3"/>
    <x v="3"/>
    <n v="0.39"/>
  </r>
  <r>
    <s v="CA-2016-114601"/>
    <x v="204"/>
    <d v="2016-09-02T00:00:00"/>
    <x v="0"/>
    <s v="AA-10480"/>
    <s v="Andrew Allen"/>
    <x v="0"/>
    <s v="United States"/>
    <x v="77"/>
    <x v="14"/>
    <x v="1"/>
    <s v="TEC-PH-10002170"/>
    <x v="0"/>
    <x v="0"/>
    <s v="ClearSounds CSC500 Amplified Spirit Phone Corded phone"/>
    <n v="209.97"/>
    <n v="3"/>
    <n v="58.791600000000003"/>
    <x v="5"/>
    <x v="1"/>
    <x v="1"/>
    <n v="0.28000000000000003"/>
  </r>
  <r>
    <s v="CA-2016-114601"/>
    <x v="204"/>
    <d v="2016-09-02T00:00:00"/>
    <x v="0"/>
    <s v="AA-10480"/>
    <s v="Andrew Allen"/>
    <x v="0"/>
    <s v="United States"/>
    <x v="77"/>
    <x v="14"/>
    <x v="1"/>
    <s v="TEC-AC-10003911"/>
    <x v="0"/>
    <x v="1"/>
    <s v="NETGEAR AC1750 Dual Band Gigabit Smart WiFi Router"/>
    <n v="479.97"/>
    <n v="3"/>
    <n v="163.18979999999999"/>
    <x v="5"/>
    <x v="1"/>
    <x v="1"/>
    <n v="0.34"/>
  </r>
  <r>
    <s v="CA-2014-139542"/>
    <x v="708"/>
    <d v="2014-10-29T00:00:00"/>
    <x v="0"/>
    <s v="EH-14185"/>
    <s v="Evan Henry"/>
    <x v="0"/>
    <s v="United States"/>
    <x v="20"/>
    <x v="12"/>
    <x v="2"/>
    <s v="TEC-AC-10001553"/>
    <x v="0"/>
    <x v="1"/>
    <s v="Memorex 25GB 6X Branded Blu-Ray Recordable Disc, 15/Pack"/>
    <n v="40.776000000000003"/>
    <n v="3"/>
    <n v="0.50970000000000004"/>
    <x v="1"/>
    <x v="0"/>
    <x v="7"/>
    <n v="1.2500000000000001E-2"/>
  </r>
  <r>
    <s v="US-2015-142811"/>
    <x v="354"/>
    <d v="2015-04-07T00:00:00"/>
    <x v="0"/>
    <s v="JL-15850"/>
    <s v="John Lucas"/>
    <x v="0"/>
    <s v="United States"/>
    <x v="87"/>
    <x v="6"/>
    <x v="0"/>
    <s v="TEC-PH-10003095"/>
    <x v="0"/>
    <x v="0"/>
    <s v="Samsung HM1900 Bluetooth Headset"/>
    <n v="87.8"/>
    <n v="5"/>
    <n v="32.924999999999997"/>
    <x v="0"/>
    <x v="2"/>
    <x v="9"/>
    <n v="0.375"/>
  </r>
  <r>
    <s v="US-2017-101518"/>
    <x v="564"/>
    <d v="2017-11-08T00:00:00"/>
    <x v="0"/>
    <s v="PB-19105"/>
    <s v="Peter Bühler"/>
    <x v="0"/>
    <s v="United States"/>
    <x v="20"/>
    <x v="12"/>
    <x v="2"/>
    <s v="TEC-AC-10001553"/>
    <x v="0"/>
    <x v="1"/>
    <s v="Memorex 25GB 6X Branded Blu-Ray Recordable Disc, 15/Pack"/>
    <n v="40.776000000000003"/>
    <n v="3"/>
    <n v="0.50970000000000004"/>
    <x v="0"/>
    <x v="3"/>
    <x v="6"/>
    <n v="1.2500000000000001E-2"/>
  </r>
  <r>
    <s v="US-2017-146213"/>
    <x v="172"/>
    <d v="2017-09-14T00:00:00"/>
    <x v="0"/>
    <s v="MC-17605"/>
    <s v="Matt Connell"/>
    <x v="1"/>
    <s v="United States"/>
    <x v="0"/>
    <x v="0"/>
    <x v="0"/>
    <s v="TEC-AC-10001114"/>
    <x v="0"/>
    <x v="1"/>
    <s v="Microsoft Wireless Mobile Mouse 4000"/>
    <n v="159.96"/>
    <n v="4"/>
    <n v="51.187199999999997"/>
    <x v="0"/>
    <x v="3"/>
    <x v="4"/>
    <n v="0.32"/>
  </r>
  <r>
    <s v="US-2016-109260"/>
    <x v="474"/>
    <d v="2016-10-01T00:00:00"/>
    <x v="0"/>
    <s v="TN-21040"/>
    <s v="Tanja Norvell"/>
    <x v="2"/>
    <s v="United States"/>
    <x v="156"/>
    <x v="15"/>
    <x v="3"/>
    <s v="TEC-AC-10002637"/>
    <x v="0"/>
    <x v="1"/>
    <s v="Logitech VX Revolution Cordless Laser Mouse for Notebooks (Black)"/>
    <n v="431.976"/>
    <n v="3"/>
    <n v="-75.595799999999997"/>
    <x v="0"/>
    <x v="1"/>
    <x v="4"/>
    <n v="-0.17499999999999999"/>
  </r>
  <r>
    <s v="CA-2017-141103"/>
    <x v="709"/>
    <d v="2017-08-06T00:00:00"/>
    <x v="0"/>
    <s v="JF-15355"/>
    <s v="Jay Fein"/>
    <x v="0"/>
    <s v="United States"/>
    <x v="212"/>
    <x v="33"/>
    <x v="2"/>
    <s v="TEC-PH-10003589"/>
    <x v="0"/>
    <x v="0"/>
    <s v="invisibleSHIELD by ZAGG Smudge-Free Screen Protector"/>
    <n v="89.95"/>
    <n v="5"/>
    <n v="43.176000000000002"/>
    <x v="5"/>
    <x v="3"/>
    <x v="10"/>
    <n v="0.48"/>
  </r>
  <r>
    <s v="CA-2014-154781"/>
    <x v="417"/>
    <d v="2014-11-26T00:00:00"/>
    <x v="0"/>
    <s v="SC-20680"/>
    <s v="Steve Carroll"/>
    <x v="2"/>
    <s v="United States"/>
    <x v="1"/>
    <x v="0"/>
    <x v="0"/>
    <s v="TEC-AC-10000474"/>
    <x v="0"/>
    <x v="1"/>
    <s v="Kensington Expert Mouse Optical USB Trackball for PC or Mac"/>
    <n v="94.99"/>
    <n v="1"/>
    <n v="28.497"/>
    <x v="0"/>
    <x v="0"/>
    <x v="6"/>
    <n v="0.3"/>
  </r>
  <r>
    <s v="CA-2015-147816"/>
    <x v="479"/>
    <d v="2015-09-26T00:00:00"/>
    <x v="1"/>
    <s v="CM-11935"/>
    <s v="Carlos Meador"/>
    <x v="0"/>
    <s v="United States"/>
    <x v="35"/>
    <x v="6"/>
    <x v="0"/>
    <s v="TEC-PH-10003095"/>
    <x v="0"/>
    <x v="0"/>
    <s v="Samsung HM1900 Bluetooth Headset"/>
    <n v="35.119999999999997"/>
    <n v="2"/>
    <n v="13.17"/>
    <x v="2"/>
    <x v="2"/>
    <x v="4"/>
    <n v="0.375"/>
  </r>
  <r>
    <s v="CA-2016-133613"/>
    <x v="9"/>
    <d v="2016-06-22T00:00:00"/>
    <x v="0"/>
    <s v="CP-12340"/>
    <s v="Christine Phan"/>
    <x v="1"/>
    <s v="United States"/>
    <x v="273"/>
    <x v="37"/>
    <x v="2"/>
    <s v="TEC-PH-10004539"/>
    <x v="0"/>
    <x v="0"/>
    <s v="Wireless Extenders zBoost YX545 SOHO Signal Booster"/>
    <n v="566.97"/>
    <n v="3"/>
    <n v="153.08189999999999"/>
    <x v="0"/>
    <x v="1"/>
    <x v="0"/>
    <n v="0.27"/>
  </r>
  <r>
    <s v="CA-2015-109113"/>
    <x v="221"/>
    <d v="2015-12-23T00:00:00"/>
    <x v="0"/>
    <s v="EK-13795"/>
    <s v="Eileen Kiefer"/>
    <x v="2"/>
    <s v="United States"/>
    <x v="11"/>
    <x v="2"/>
    <x v="1"/>
    <s v="TEC-AC-10004761"/>
    <x v="0"/>
    <x v="1"/>
    <s v="Maxell 4.7GB DVD+RW 3/Pack"/>
    <n v="25.488"/>
    <n v="2"/>
    <n v="4.7789999999999999"/>
    <x v="1"/>
    <x v="2"/>
    <x v="3"/>
    <n v="0.1875"/>
  </r>
  <r>
    <s v="CA-2015-133242"/>
    <x v="710"/>
    <d v="2015-06-24T00:00:00"/>
    <x v="0"/>
    <s v="KH-16510"/>
    <s v="Keith Herrera"/>
    <x v="0"/>
    <s v="United States"/>
    <x v="130"/>
    <x v="23"/>
    <x v="3"/>
    <s v="TEC-PH-10002496"/>
    <x v="0"/>
    <x v="0"/>
    <s v="Cisco SPA301"/>
    <n v="467.97"/>
    <n v="3"/>
    <n v="140.39099999999999"/>
    <x v="3"/>
    <x v="2"/>
    <x v="0"/>
    <n v="0.3"/>
  </r>
  <r>
    <s v="CA-2017-100902"/>
    <x v="487"/>
    <d v="2017-11-21T00:00:00"/>
    <x v="0"/>
    <s v="CK-12595"/>
    <s v="Clytie Kelty"/>
    <x v="0"/>
    <s v="United States"/>
    <x v="13"/>
    <x v="8"/>
    <x v="3"/>
    <s v="TEC-AC-10003174"/>
    <x v="0"/>
    <x v="1"/>
    <s v="Plantronics S12 Corded Telephone Headset System"/>
    <n v="431.16"/>
    <n v="5"/>
    <n v="107.79"/>
    <x v="1"/>
    <x v="3"/>
    <x v="6"/>
    <n v="0.25"/>
  </r>
  <r>
    <s v="CA-2017-112844"/>
    <x v="335"/>
    <d v="2017-11-16T00:00:00"/>
    <x v="1"/>
    <s v="SP-20620"/>
    <s v="Stefania Perrino"/>
    <x v="1"/>
    <s v="United States"/>
    <x v="296"/>
    <x v="5"/>
    <x v="2"/>
    <s v="TEC-PH-10003988"/>
    <x v="0"/>
    <x v="0"/>
    <s v="LF Elite 3D Dazzle Designer Hard Case Cover, Lf Stylus Pen and Wiper For Apple Iphone 5c Mini Lite"/>
    <n v="43.6"/>
    <n v="4"/>
    <n v="12.208"/>
    <x v="6"/>
    <x v="3"/>
    <x v="6"/>
    <n v="0.28000000000000003"/>
  </r>
  <r>
    <s v="CA-2016-155978"/>
    <x v="711"/>
    <d v="2016-08-01T00:00:00"/>
    <x v="3"/>
    <s v="TS-21205"/>
    <s v="Thomas Seio"/>
    <x v="1"/>
    <s v="United States"/>
    <x v="297"/>
    <x v="0"/>
    <x v="0"/>
    <s v="TEC-PH-10002885"/>
    <x v="0"/>
    <x v="0"/>
    <s v="Apple iPhone 5"/>
    <n v="1039.7280000000001"/>
    <n v="2"/>
    <n v="90.976200000000006"/>
    <x v="7"/>
    <x v="1"/>
    <x v="1"/>
    <n v="8.7499999999999994E-2"/>
  </r>
  <r>
    <s v="CA-2016-108196"/>
    <x v="653"/>
    <d v="2016-12-02T00:00:00"/>
    <x v="0"/>
    <s v="CS-12505"/>
    <s v="Cindy Stewart"/>
    <x v="0"/>
    <s v="United States"/>
    <x v="192"/>
    <x v="9"/>
    <x v="2"/>
    <s v="TEC-MA-10000418"/>
    <x v="0"/>
    <x v="2"/>
    <s v="Cubify CubeX 3D Printer Double Head Print"/>
    <n v="4499.9849999999997"/>
    <n v="5"/>
    <n v="-6599.9780000000001"/>
    <x v="5"/>
    <x v="1"/>
    <x v="6"/>
    <n v="-1.4666666666666699"/>
  </r>
  <r>
    <s v="CA-2016-108196"/>
    <x v="653"/>
    <d v="2016-12-02T00:00:00"/>
    <x v="0"/>
    <s v="CS-12505"/>
    <s v="Cindy Stewart"/>
    <x v="0"/>
    <s v="United States"/>
    <x v="192"/>
    <x v="9"/>
    <x v="2"/>
    <s v="TEC-AC-10000926"/>
    <x v="0"/>
    <x v="1"/>
    <s v="NETGEAR RangeMax WNR1000 Wireless Router"/>
    <n v="59.975999999999999"/>
    <n v="3"/>
    <n v="11.995200000000001"/>
    <x v="5"/>
    <x v="1"/>
    <x v="6"/>
    <n v="0.2"/>
  </r>
  <r>
    <s v="CA-2016-139381"/>
    <x v="712"/>
    <d v="2016-04-22T00:00:00"/>
    <x v="0"/>
    <s v="RF-19840"/>
    <s v="Roy Französisch"/>
    <x v="0"/>
    <s v="United States"/>
    <x v="134"/>
    <x v="23"/>
    <x v="3"/>
    <s v="TEC-PH-10004924"/>
    <x v="0"/>
    <x v="0"/>
    <s v="SKILCRAFT Telephone Shoulder Rest, 2&quot; x 6.5&quot; x 2.5&quot;, Black"/>
    <n v="29.56"/>
    <n v="4"/>
    <n v="7.9812000000000003"/>
    <x v="1"/>
    <x v="1"/>
    <x v="9"/>
    <n v="0.27"/>
  </r>
  <r>
    <s v="CA-2017-169362"/>
    <x v="307"/>
    <d v="2017-10-15T00:00:00"/>
    <x v="2"/>
    <s v="SP-20860"/>
    <s v="Sung Pak"/>
    <x v="1"/>
    <s v="United States"/>
    <x v="26"/>
    <x v="1"/>
    <x v="1"/>
    <s v="TEC-AC-10001383"/>
    <x v="0"/>
    <x v="1"/>
    <s v="Logitech Wireless Touch Keyboard K400"/>
    <n v="39.984000000000002"/>
    <n v="2"/>
    <n v="-1.4994000000000001"/>
    <x v="6"/>
    <x v="3"/>
    <x v="7"/>
    <n v="-3.7499999999999999E-2"/>
  </r>
  <r>
    <s v="CA-2015-112711"/>
    <x v="510"/>
    <d v="2015-07-18T00:00:00"/>
    <x v="0"/>
    <s v="FM-14380"/>
    <s v="Fred McMath"/>
    <x v="0"/>
    <s v="United States"/>
    <x v="108"/>
    <x v="1"/>
    <x v="1"/>
    <s v="TEC-PH-10000526"/>
    <x v="0"/>
    <x v="0"/>
    <s v="Vtech CS6719"/>
    <n v="307.16800000000001"/>
    <n v="4"/>
    <n v="30.716799999999999"/>
    <x v="3"/>
    <x v="2"/>
    <x v="10"/>
    <n v="0.1"/>
  </r>
  <r>
    <s v="CA-2017-166184"/>
    <x v="278"/>
    <d v="2017-03-27T00:00:00"/>
    <x v="2"/>
    <s v="HR-14830"/>
    <s v="Harold Ryan"/>
    <x v="1"/>
    <s v="United States"/>
    <x v="7"/>
    <x v="5"/>
    <x v="2"/>
    <s v="TEC-PH-10002624"/>
    <x v="0"/>
    <x v="0"/>
    <s v="Samsung Galaxy S4 Mini"/>
    <n v="469.99"/>
    <n v="1"/>
    <n v="136.2971"/>
    <x v="6"/>
    <x v="3"/>
    <x v="5"/>
    <n v="0.28999999999999998"/>
  </r>
  <r>
    <s v="US-2016-137295"/>
    <x v="713"/>
    <d v="2016-01-13T00:00:00"/>
    <x v="0"/>
    <s v="VS-21820"/>
    <s v="Vivek Sundaresam"/>
    <x v="0"/>
    <s v="United States"/>
    <x v="125"/>
    <x v="8"/>
    <x v="3"/>
    <s v="TEC-PH-10004080"/>
    <x v="0"/>
    <x v="0"/>
    <s v="Avaya 5410 Digital phone"/>
    <n v="108.78400000000001"/>
    <n v="2"/>
    <n v="10.878399999999999"/>
    <x v="0"/>
    <x v="1"/>
    <x v="2"/>
    <n v="0.1"/>
  </r>
  <r>
    <s v="US-2017-109316"/>
    <x v="94"/>
    <d v="2017-06-10T00:00:00"/>
    <x v="2"/>
    <s v="MG-17680"/>
    <s v="Maureen Gastineau"/>
    <x v="2"/>
    <s v="United States"/>
    <x v="0"/>
    <x v="0"/>
    <x v="0"/>
    <s v="TEC-PH-10000307"/>
    <x v="0"/>
    <x v="0"/>
    <s v="Shocksock Galaxy S4 Armband"/>
    <n v="17.52"/>
    <n v="2"/>
    <n v="-3.504"/>
    <x v="2"/>
    <x v="3"/>
    <x v="0"/>
    <n v="-0.2"/>
  </r>
  <r>
    <s v="US-2014-115413"/>
    <x v="26"/>
    <d v="2014-09-01T00:00:00"/>
    <x v="0"/>
    <s v="PP-18955"/>
    <s v="Paul Prost"/>
    <x v="2"/>
    <s v="United States"/>
    <x v="129"/>
    <x v="4"/>
    <x v="2"/>
    <s v="TEC-AC-10002800"/>
    <x v="0"/>
    <x v="1"/>
    <s v="Plantronics Audio 478 Stereo USB Headset"/>
    <n v="149.97"/>
    <n v="3"/>
    <n v="52.4895"/>
    <x v="3"/>
    <x v="0"/>
    <x v="1"/>
    <n v="0.35"/>
  </r>
  <r>
    <s v="CA-2017-117114"/>
    <x v="714"/>
    <d v="2017-11-05T00:00:00"/>
    <x v="0"/>
    <s v="CY-12745"/>
    <s v="Craig Yedwab"/>
    <x v="1"/>
    <s v="United States"/>
    <x v="11"/>
    <x v="2"/>
    <x v="1"/>
    <s v="TEC-PH-10004042"/>
    <x v="0"/>
    <x v="0"/>
    <s v="ClearOne Communications CHAT 70 OC Speaker Phone"/>
    <n v="508.76799999999997"/>
    <n v="4"/>
    <n v="38.157600000000002"/>
    <x v="0"/>
    <x v="3"/>
    <x v="7"/>
    <n v="7.4999999999999997E-2"/>
  </r>
  <r>
    <s v="CA-2015-137302"/>
    <x v="715"/>
    <d v="2015-05-01T00:00:00"/>
    <x v="0"/>
    <s v="BW-11110"/>
    <s v="Bart Watters"/>
    <x v="1"/>
    <s v="United States"/>
    <x v="30"/>
    <x v="0"/>
    <x v="0"/>
    <s v="TEC-PH-10003174"/>
    <x v="0"/>
    <x v="0"/>
    <s v="RCA ViSYS 25825 Wireless digital phone"/>
    <n v="311.976"/>
    <n v="3"/>
    <n v="38.997"/>
    <x v="0"/>
    <x v="2"/>
    <x v="9"/>
    <n v="0.125"/>
  </r>
  <r>
    <s v="CA-2016-112382"/>
    <x v="73"/>
    <d v="2016-05-13T00:00:00"/>
    <x v="0"/>
    <s v="MB-18085"/>
    <s v="Mick Brown"/>
    <x v="0"/>
    <s v="United States"/>
    <x v="3"/>
    <x v="1"/>
    <x v="1"/>
    <s v="TEC-PH-10001552"/>
    <x v="0"/>
    <x v="0"/>
    <s v="I Need's 3d Hello Kitty Hybrid Silicone Case Cover for HTC One X 4g with 3d Hello Kitty Stylus Pen Green/pink"/>
    <n v="19.135999999999999"/>
    <n v="2"/>
    <n v="1.9136"/>
    <x v="1"/>
    <x v="1"/>
    <x v="11"/>
    <n v="0.1"/>
  </r>
  <r>
    <s v="CA-2015-106257"/>
    <x v="275"/>
    <d v="2015-04-17T00:00:00"/>
    <x v="1"/>
    <s v="EB-14110"/>
    <s v="Eugene Barchas"/>
    <x v="0"/>
    <s v="United States"/>
    <x v="0"/>
    <x v="0"/>
    <x v="0"/>
    <s v="TEC-PH-10001494"/>
    <x v="0"/>
    <x v="0"/>
    <s v="Polycom CX600 IP Phone VoIP phone"/>
    <n v="479.92"/>
    <n v="2"/>
    <n v="41.993000000000002"/>
    <x v="1"/>
    <x v="2"/>
    <x v="9"/>
    <n v="8.7499999999999994E-2"/>
  </r>
  <r>
    <s v="CA-2015-149083"/>
    <x v="231"/>
    <d v="2015-09-30T00:00:00"/>
    <x v="0"/>
    <s v="SH-19975"/>
    <s v="Sally Hughsby"/>
    <x v="1"/>
    <s v="United States"/>
    <x v="45"/>
    <x v="17"/>
    <x v="0"/>
    <s v="TEC-AC-10002567"/>
    <x v="0"/>
    <x v="1"/>
    <s v="Logitech G602 Wireless Gaming Mouse"/>
    <n v="159.97999999999999"/>
    <n v="2"/>
    <n v="57.592799999999997"/>
    <x v="0"/>
    <x v="2"/>
    <x v="4"/>
    <n v="0.36"/>
  </r>
  <r>
    <s v="CA-2015-125976"/>
    <x v="716"/>
    <d v="2015-10-02T00:00:00"/>
    <x v="0"/>
    <s v="JK-15205"/>
    <s v="Jamie Kunitz"/>
    <x v="0"/>
    <s v="United States"/>
    <x v="130"/>
    <x v="23"/>
    <x v="3"/>
    <s v="TEC-PH-10002496"/>
    <x v="0"/>
    <x v="0"/>
    <s v="Cisco SPA301"/>
    <n v="1871.88"/>
    <n v="12"/>
    <n v="561.56399999999996"/>
    <x v="0"/>
    <x v="2"/>
    <x v="4"/>
    <n v="0.3"/>
  </r>
  <r>
    <s v="CA-2017-135587"/>
    <x v="82"/>
    <d v="2017-12-12T00:00:00"/>
    <x v="0"/>
    <s v="BH-11710"/>
    <s v="Brosina Hoffman"/>
    <x v="0"/>
    <s v="United States"/>
    <x v="228"/>
    <x v="22"/>
    <x v="3"/>
    <s v="TEC-AC-10001266"/>
    <x v="0"/>
    <x v="1"/>
    <s v="Memorex Micro Travel Drive 8 GB"/>
    <n v="52"/>
    <n v="4"/>
    <n v="23.4"/>
    <x v="0"/>
    <x v="3"/>
    <x v="3"/>
    <n v="0.45"/>
  </r>
  <r>
    <s v="CA-2014-103429"/>
    <x v="717"/>
    <d v="2014-06-01T00:00:00"/>
    <x v="2"/>
    <s v="LW-16825"/>
    <s v="Laurel Workman"/>
    <x v="1"/>
    <s v="United States"/>
    <x v="7"/>
    <x v="5"/>
    <x v="2"/>
    <s v="TEC-PH-10003505"/>
    <x v="0"/>
    <x v="0"/>
    <s v="Geemarc AmpliPOWER60"/>
    <n v="464"/>
    <n v="5"/>
    <n v="134.56"/>
    <x v="2"/>
    <x v="0"/>
    <x v="11"/>
    <n v="0.28999999999999998"/>
  </r>
  <r>
    <s v="CA-2015-142993"/>
    <x v="27"/>
    <d v="2015-10-17T00:00:00"/>
    <x v="0"/>
    <s v="KA-16525"/>
    <s v="Kelly Andreada"/>
    <x v="0"/>
    <s v="United States"/>
    <x v="45"/>
    <x v="17"/>
    <x v="0"/>
    <s v="TEC-AC-10003038"/>
    <x v="0"/>
    <x v="1"/>
    <s v="Kingston Digital DataTraveler 16GB USB 2.0"/>
    <n v="17.899999999999999"/>
    <n v="2"/>
    <n v="3.4009999999999998"/>
    <x v="0"/>
    <x v="2"/>
    <x v="7"/>
    <n v="0.19"/>
  </r>
  <r>
    <s v="US-2017-166233"/>
    <x v="183"/>
    <d v="2017-07-09T00:00:00"/>
    <x v="0"/>
    <s v="MO-17950"/>
    <s v="Michael Oakman"/>
    <x v="0"/>
    <s v="United States"/>
    <x v="42"/>
    <x v="8"/>
    <x v="3"/>
    <s v="TEC-AC-10002167"/>
    <x v="0"/>
    <x v="1"/>
    <s v="Imation 8gb Micro Traveldrive Usb 2.0 Flash Drive"/>
    <n v="24"/>
    <n v="2"/>
    <n v="-2.7"/>
    <x v="3"/>
    <x v="3"/>
    <x v="10"/>
    <n v="-0.1125"/>
  </r>
  <r>
    <s v="CA-2017-118017"/>
    <x v="313"/>
    <d v="2017-12-06T00:00:00"/>
    <x v="1"/>
    <s v="LC-16870"/>
    <s v="Lena Cacioppo"/>
    <x v="0"/>
    <s v="United States"/>
    <x v="199"/>
    <x v="7"/>
    <x v="0"/>
    <s v="TEC-AC-10002006"/>
    <x v="0"/>
    <x v="1"/>
    <s v="Memorex Micro Travel Drive 16 GB"/>
    <n v="76.751999999999995"/>
    <n v="6"/>
    <n v="10.5534"/>
    <x v="6"/>
    <x v="3"/>
    <x v="3"/>
    <n v="0.13750000000000001"/>
  </r>
  <r>
    <s v="CA-2017-118017"/>
    <x v="313"/>
    <d v="2017-12-06T00:00:00"/>
    <x v="1"/>
    <s v="LC-16870"/>
    <s v="Lena Cacioppo"/>
    <x v="0"/>
    <s v="United States"/>
    <x v="199"/>
    <x v="7"/>
    <x v="0"/>
    <s v="TEC-AC-10002006"/>
    <x v="0"/>
    <x v="1"/>
    <s v="Memorex Micro Travel Drive 16 GB"/>
    <n v="102.336"/>
    <n v="8"/>
    <n v="14.071199999999999"/>
    <x v="6"/>
    <x v="3"/>
    <x v="3"/>
    <n v="0.13750000000000001"/>
  </r>
  <r>
    <s v="CA-2016-148684"/>
    <x v="243"/>
    <d v="2016-12-29T00:00:00"/>
    <x v="0"/>
    <s v="TS-21655"/>
    <s v="Trudy Schmidt"/>
    <x v="0"/>
    <s v="United States"/>
    <x v="190"/>
    <x v="32"/>
    <x v="3"/>
    <s v="TEC-AC-10001838"/>
    <x v="0"/>
    <x v="1"/>
    <s v="Razer Tiamat Over Ear 7.1 Surround Sound PC Gaming Headset"/>
    <n v="399.98"/>
    <n v="2"/>
    <n v="171.9914"/>
    <x v="1"/>
    <x v="1"/>
    <x v="3"/>
    <n v="0.43"/>
  </r>
  <r>
    <s v="CA-2017-128363"/>
    <x v="718"/>
    <d v="2017-08-18T00:00:00"/>
    <x v="0"/>
    <s v="DC-12850"/>
    <s v="Dan Campbell"/>
    <x v="0"/>
    <s v="United States"/>
    <x v="298"/>
    <x v="44"/>
    <x v="3"/>
    <s v="TEC-AC-10003709"/>
    <x v="0"/>
    <x v="1"/>
    <s v="Maxell 4.7GB DVD-R 5/Pack"/>
    <n v="1.5840000000000001"/>
    <n v="2"/>
    <n v="0.47520000000000001"/>
    <x v="0"/>
    <x v="3"/>
    <x v="1"/>
    <n v="0.3"/>
  </r>
  <r>
    <s v="CA-2017-165323"/>
    <x v="719"/>
    <d v="2017-06-21T00:00:00"/>
    <x v="0"/>
    <s v="SR-20740"/>
    <s v="Steven Roelle"/>
    <x v="2"/>
    <s v="United States"/>
    <x v="7"/>
    <x v="5"/>
    <x v="2"/>
    <s v="TEC-MA-10003673"/>
    <x v="0"/>
    <x v="2"/>
    <s v="Hewlett-Packard Desktjet 6988DT Refurbished Printer"/>
    <n v="3404.5"/>
    <n v="5"/>
    <n v="1668.2049999999999"/>
    <x v="1"/>
    <x v="3"/>
    <x v="0"/>
    <n v="0.49"/>
  </r>
  <r>
    <s v="CA-2017-165323"/>
    <x v="719"/>
    <d v="2017-06-21T00:00:00"/>
    <x v="0"/>
    <s v="SR-20740"/>
    <s v="Steven Roelle"/>
    <x v="2"/>
    <s v="United States"/>
    <x v="7"/>
    <x v="5"/>
    <x v="2"/>
    <s v="TEC-AC-10004992"/>
    <x v="0"/>
    <x v="1"/>
    <s v="Kingston Digital DataTraveler 64GB USB 2.0"/>
    <n v="101.34"/>
    <n v="3"/>
    <n v="8.1072000000000006"/>
    <x v="1"/>
    <x v="3"/>
    <x v="0"/>
    <n v="0.08"/>
  </r>
  <r>
    <s v="CA-2017-139822"/>
    <x v="128"/>
    <d v="2017-09-21T00:00:00"/>
    <x v="0"/>
    <s v="Dp-13240"/>
    <s v="Dean percer"/>
    <x v="2"/>
    <s v="United States"/>
    <x v="273"/>
    <x v="37"/>
    <x v="2"/>
    <s v="TEC-AC-10001090"/>
    <x v="0"/>
    <x v="1"/>
    <s v="Micro Innovations Wireless Classic Keyboard with Mouse"/>
    <n v="59.98"/>
    <n v="2"/>
    <n v="10.7964"/>
    <x v="3"/>
    <x v="3"/>
    <x v="4"/>
    <n v="0.18"/>
  </r>
  <r>
    <s v="CA-2017-134096"/>
    <x v="92"/>
    <d v="2017-09-29T00:00:00"/>
    <x v="0"/>
    <s v="PP-18955"/>
    <s v="Paul Prost"/>
    <x v="2"/>
    <s v="United States"/>
    <x v="299"/>
    <x v="15"/>
    <x v="3"/>
    <s v="TEC-PH-10000526"/>
    <x v="0"/>
    <x v="0"/>
    <s v="Vtech CS6719"/>
    <n v="383.96"/>
    <n v="5"/>
    <n v="38.396000000000001"/>
    <x v="0"/>
    <x v="3"/>
    <x v="4"/>
    <n v="0.1"/>
  </r>
  <r>
    <s v="CA-2017-120404"/>
    <x v="501"/>
    <d v="2017-11-24T00:00:00"/>
    <x v="1"/>
    <s v="KH-16330"/>
    <s v="Katharine Harms"/>
    <x v="1"/>
    <s v="United States"/>
    <x v="7"/>
    <x v="5"/>
    <x v="2"/>
    <s v="TEC-AC-10003433"/>
    <x v="0"/>
    <x v="1"/>
    <s v="Maxell 4.7GB DVD+R 5/Pack"/>
    <n v="2.97"/>
    <n v="3"/>
    <n v="1.3365"/>
    <x v="1"/>
    <x v="3"/>
    <x v="6"/>
    <n v="0.45"/>
  </r>
  <r>
    <s v="CA-2017-120404"/>
    <x v="501"/>
    <d v="2017-11-24T00:00:00"/>
    <x v="1"/>
    <s v="KH-16330"/>
    <s v="Katharine Harms"/>
    <x v="1"/>
    <s v="United States"/>
    <x v="7"/>
    <x v="5"/>
    <x v="2"/>
    <s v="TEC-PH-10001363"/>
    <x v="0"/>
    <x v="0"/>
    <s v="Apple iPhone 5S"/>
    <n v="569.99"/>
    <n v="1"/>
    <n v="170.99700000000001"/>
    <x v="1"/>
    <x v="3"/>
    <x v="6"/>
    <n v="0.3"/>
  </r>
  <r>
    <s v="CA-2017-166093"/>
    <x v="642"/>
    <d v="2017-08-24T00:00:00"/>
    <x v="0"/>
    <s v="RW-19540"/>
    <s v="Rick Wilson"/>
    <x v="1"/>
    <s v="United States"/>
    <x v="31"/>
    <x v="0"/>
    <x v="0"/>
    <s v="TEC-PH-10002564"/>
    <x v="0"/>
    <x v="0"/>
    <s v="OtterBox Defender Series Case - Samsung Galaxy S4"/>
    <n v="71.975999999999999"/>
    <n v="3"/>
    <n v="8.9969999999999999"/>
    <x v="5"/>
    <x v="3"/>
    <x v="1"/>
    <n v="0.125"/>
  </r>
  <r>
    <s v="CA-2015-145814"/>
    <x v="720"/>
    <d v="2015-11-24T00:00:00"/>
    <x v="0"/>
    <s v="KD-16345"/>
    <s v="Katherine Ducich"/>
    <x v="0"/>
    <s v="United States"/>
    <x v="7"/>
    <x v="5"/>
    <x v="2"/>
    <s v="TEC-PH-10002200"/>
    <x v="0"/>
    <x v="0"/>
    <s v="Aastra 6757i CT Wireless VoIP phone"/>
    <n v="861.76"/>
    <n v="4"/>
    <n v="249.91040000000001"/>
    <x v="0"/>
    <x v="2"/>
    <x v="6"/>
    <n v="0.28999999999999998"/>
  </r>
  <r>
    <s v="CA-2017-131807"/>
    <x v="137"/>
    <d v="2017-10-10T00:00:00"/>
    <x v="0"/>
    <s v="GG-14650"/>
    <s v="Greg Guthrie"/>
    <x v="1"/>
    <s v="United States"/>
    <x v="300"/>
    <x v="0"/>
    <x v="0"/>
    <s v="TEC-PH-10000702"/>
    <x v="0"/>
    <x v="0"/>
    <s v="Square Credit Card Reader, 4 1/2&quot; x 4 1/2&quot; x 1&quot;, White"/>
    <n v="7.992"/>
    <n v="1"/>
    <n v="2.6972999999999998"/>
    <x v="0"/>
    <x v="3"/>
    <x v="7"/>
    <n v="0.33750000000000002"/>
  </r>
  <r>
    <s v="CA-2016-157707"/>
    <x v="721"/>
    <d v="2016-10-12T00:00:00"/>
    <x v="2"/>
    <s v="CC-12610"/>
    <s v="Corey Catlett"/>
    <x v="1"/>
    <s v="United States"/>
    <x v="52"/>
    <x v="7"/>
    <x v="0"/>
    <s v="TEC-PH-10002583"/>
    <x v="0"/>
    <x v="0"/>
    <s v="iOttie HLCRIO102 Car Mount"/>
    <n v="15.992000000000001"/>
    <n v="1"/>
    <n v="-2.9984999999999999"/>
    <x v="2"/>
    <x v="1"/>
    <x v="7"/>
    <n v="-0.1875"/>
  </r>
  <r>
    <s v="US-2015-126753"/>
    <x v="325"/>
    <d v="2015-08-20T00:00:00"/>
    <x v="0"/>
    <s v="SP-20860"/>
    <s v="Sung Pak"/>
    <x v="1"/>
    <s v="United States"/>
    <x v="20"/>
    <x v="12"/>
    <x v="2"/>
    <s v="TEC-PH-10003580"/>
    <x v="0"/>
    <x v="0"/>
    <s v="Cisco IP Phone 7961G-GE VoIP phone"/>
    <n v="519.79200000000003"/>
    <n v="4"/>
    <n v="-112.6216"/>
    <x v="1"/>
    <x v="2"/>
    <x v="1"/>
    <n v="-0.21666666666666701"/>
  </r>
  <r>
    <s v="US-2015-126753"/>
    <x v="325"/>
    <d v="2015-08-20T00:00:00"/>
    <x v="0"/>
    <s v="SP-20860"/>
    <s v="Sung Pak"/>
    <x v="1"/>
    <s v="United States"/>
    <x v="20"/>
    <x v="12"/>
    <x v="2"/>
    <s v="TEC-AC-10004227"/>
    <x v="0"/>
    <x v="1"/>
    <s v="SanDisk Ultra 16 GB MicroSDHC Class 10 Memory Card"/>
    <n v="31.175999999999998"/>
    <n v="3"/>
    <n v="-5.4558"/>
    <x v="1"/>
    <x v="2"/>
    <x v="1"/>
    <n v="-0.17499999999999999"/>
  </r>
  <r>
    <s v="CA-2014-166051"/>
    <x v="722"/>
    <d v="2014-06-05T00:00:00"/>
    <x v="0"/>
    <s v="JK-15625"/>
    <s v="Jim Karlsson"/>
    <x v="0"/>
    <s v="United States"/>
    <x v="61"/>
    <x v="22"/>
    <x v="3"/>
    <s v="TEC-PH-10002680"/>
    <x v="0"/>
    <x v="0"/>
    <s v="Samsung Galaxy Note 3"/>
    <n v="659.97"/>
    <n v="3"/>
    <n v="197.99100000000001"/>
    <x v="0"/>
    <x v="0"/>
    <x v="11"/>
    <n v="0.3"/>
  </r>
  <r>
    <s v="CA-2014-166051"/>
    <x v="722"/>
    <d v="2014-06-05T00:00:00"/>
    <x v="0"/>
    <s v="JK-15625"/>
    <s v="Jim Karlsson"/>
    <x v="0"/>
    <s v="United States"/>
    <x v="61"/>
    <x v="22"/>
    <x v="3"/>
    <s v="TEC-PH-10002538"/>
    <x v="0"/>
    <x v="0"/>
    <s v="Grandstream GXP1160 VoIP phone"/>
    <n v="113.73"/>
    <n v="3"/>
    <n v="32.981699999999996"/>
    <x v="0"/>
    <x v="0"/>
    <x v="11"/>
    <n v="0.28999999999999998"/>
  </r>
  <r>
    <s v="CA-2016-137939"/>
    <x v="723"/>
    <d v="2016-07-23T00:00:00"/>
    <x v="1"/>
    <s v="PJ-19015"/>
    <s v="Pauline Johnson"/>
    <x v="0"/>
    <s v="United States"/>
    <x v="113"/>
    <x v="5"/>
    <x v="2"/>
    <s v="TEC-PH-10003589"/>
    <x v="0"/>
    <x v="0"/>
    <s v="invisibleSHIELD by ZAGG Smudge-Free Screen Protector"/>
    <n v="89.95"/>
    <n v="5"/>
    <n v="43.176000000000002"/>
    <x v="6"/>
    <x v="1"/>
    <x v="10"/>
    <n v="0.48"/>
  </r>
  <r>
    <s v="US-2016-117793"/>
    <x v="369"/>
    <d v="2016-08-29T00:00:00"/>
    <x v="0"/>
    <s v="MA-17560"/>
    <s v="Matt Abelman"/>
    <x v="2"/>
    <s v="United States"/>
    <x v="301"/>
    <x v="10"/>
    <x v="1"/>
    <s v="TEC-AC-10003433"/>
    <x v="0"/>
    <x v="1"/>
    <s v="Maxell 4.7GB DVD+R 5/Pack"/>
    <n v="1.98"/>
    <n v="2"/>
    <n v="0.89100000000000001"/>
    <x v="3"/>
    <x v="1"/>
    <x v="1"/>
    <n v="0.45"/>
  </r>
  <r>
    <s v="CA-2016-133872"/>
    <x v="158"/>
    <d v="2016-06-17T00:00:00"/>
    <x v="2"/>
    <s v="VM-21835"/>
    <s v="Vivian Mathis"/>
    <x v="0"/>
    <s v="United States"/>
    <x v="302"/>
    <x v="15"/>
    <x v="3"/>
    <s v="TEC-AC-10000521"/>
    <x v="0"/>
    <x v="1"/>
    <s v="Verbatim Slim CD and DVD Storage Cases, 50/Pack"/>
    <n v="18.463999999999999"/>
    <n v="2"/>
    <n v="2.3079999999999998"/>
    <x v="6"/>
    <x v="1"/>
    <x v="0"/>
    <n v="0.125"/>
  </r>
  <r>
    <s v="US-2017-105998"/>
    <x v="564"/>
    <d v="2017-11-05T00:00:00"/>
    <x v="2"/>
    <s v="CR-12580"/>
    <s v="Clay Rozendal"/>
    <x v="2"/>
    <s v="United States"/>
    <x v="30"/>
    <x v="0"/>
    <x v="0"/>
    <s v="TEC-AC-10004469"/>
    <x v="0"/>
    <x v="1"/>
    <s v="Microsoft Sculpt Comfort Mouse"/>
    <n v="199.75"/>
    <n v="5"/>
    <n v="87.89"/>
    <x v="2"/>
    <x v="3"/>
    <x v="6"/>
    <n v="0.44"/>
  </r>
  <r>
    <s v="US-2015-151407"/>
    <x v="294"/>
    <d v="2015-11-12T00:00:00"/>
    <x v="0"/>
    <s v="RD-19585"/>
    <s v="Rob Dowd"/>
    <x v="0"/>
    <s v="United States"/>
    <x v="303"/>
    <x v="24"/>
    <x v="1"/>
    <s v="TEC-PH-10003885"/>
    <x v="0"/>
    <x v="0"/>
    <s v="Cisco SPA508G"/>
    <n v="263.95999999999998"/>
    <n v="4"/>
    <n v="76.548400000000001"/>
    <x v="1"/>
    <x v="2"/>
    <x v="6"/>
    <n v="0.28999999999999998"/>
  </r>
  <r>
    <s v="CA-2015-110870"/>
    <x v="523"/>
    <d v="2015-12-15T00:00:00"/>
    <x v="2"/>
    <s v="KD-16270"/>
    <s v="Karen Daniels"/>
    <x v="0"/>
    <s v="United States"/>
    <x v="0"/>
    <x v="0"/>
    <x v="0"/>
    <s v="TEC-AC-10002926"/>
    <x v="0"/>
    <x v="1"/>
    <s v="Logitech Wireless Marathon Mouse M705"/>
    <n v="299.94"/>
    <n v="6"/>
    <n v="128.9742"/>
    <x v="6"/>
    <x v="2"/>
    <x v="3"/>
    <n v="0.43"/>
  </r>
  <r>
    <s v="CA-2014-143210"/>
    <x v="390"/>
    <d v="2014-12-03T00:00:00"/>
    <x v="2"/>
    <s v="AA-10645"/>
    <s v="Anna Andreadi"/>
    <x v="0"/>
    <s v="United States"/>
    <x v="177"/>
    <x v="35"/>
    <x v="2"/>
    <s v="TEC-PH-10004434"/>
    <x v="0"/>
    <x v="0"/>
    <s v="Cisco IP Phone 7961G VoIP phone - Dark gray"/>
    <n v="271.89999999999998"/>
    <n v="2"/>
    <n v="78.850999999999999"/>
    <x v="2"/>
    <x v="0"/>
    <x v="3"/>
    <n v="0.28999999999999998"/>
  </r>
  <r>
    <s v="US-2015-136427"/>
    <x v="349"/>
    <d v="2015-06-23T00:00:00"/>
    <x v="2"/>
    <s v="JM-16195"/>
    <s v="Justin MacKendrick"/>
    <x v="0"/>
    <s v="United States"/>
    <x v="12"/>
    <x v="7"/>
    <x v="0"/>
    <s v="TEC-PH-10002070"/>
    <x v="0"/>
    <x v="0"/>
    <s v="Griffin GC36547 PowerJolt SE Lightning Charger"/>
    <n v="125.944"/>
    <n v="7"/>
    <n v="15.743"/>
    <x v="6"/>
    <x v="2"/>
    <x v="0"/>
    <n v="0.125"/>
  </r>
  <r>
    <s v="CA-2017-120168"/>
    <x v="724"/>
    <d v="2017-05-25T00:00:00"/>
    <x v="3"/>
    <s v="TB-21625"/>
    <s v="Trudy Brown"/>
    <x v="0"/>
    <s v="United States"/>
    <x v="7"/>
    <x v="5"/>
    <x v="2"/>
    <s v="TEC-AC-10002167"/>
    <x v="0"/>
    <x v="1"/>
    <s v="Imation 8gb Micro Traveldrive Usb 2.0 Flash Drive"/>
    <n v="120"/>
    <n v="8"/>
    <n v="13.2"/>
    <x v="7"/>
    <x v="3"/>
    <x v="11"/>
    <n v="0.11"/>
  </r>
  <r>
    <s v="CA-2017-114804"/>
    <x v="725"/>
    <d v="2017-10-19T00:00:00"/>
    <x v="1"/>
    <s v="BF-11020"/>
    <s v="Barry Französisch"/>
    <x v="1"/>
    <s v="United States"/>
    <x v="291"/>
    <x v="0"/>
    <x v="0"/>
    <s v="TEC-PH-10001700"/>
    <x v="0"/>
    <x v="0"/>
    <s v="Panasonic KX-TG6844B Expandable Digital Cordless Telephone"/>
    <n v="52.792000000000002"/>
    <n v="1"/>
    <n v="4.6193"/>
    <x v="2"/>
    <x v="3"/>
    <x v="7"/>
    <n v="8.7499999999999994E-2"/>
  </r>
  <r>
    <s v="CA-2015-132465"/>
    <x v="726"/>
    <d v="2015-09-15T00:00:00"/>
    <x v="1"/>
    <s v="DM-13525"/>
    <s v="Don Miller"/>
    <x v="1"/>
    <s v="United States"/>
    <x v="7"/>
    <x v="5"/>
    <x v="2"/>
    <s v="TEC-AC-10001998"/>
    <x v="0"/>
    <x v="1"/>
    <s v="Logitech LS21 Speaker System - PC Multimedia - 2.1-CH - Wired"/>
    <n v="19.989999999999998"/>
    <n v="1"/>
    <n v="6.7965999999999998"/>
    <x v="1"/>
    <x v="2"/>
    <x v="4"/>
    <n v="0.34"/>
  </r>
  <r>
    <s v="CA-2016-166373"/>
    <x v="486"/>
    <d v="2016-10-25T00:00:00"/>
    <x v="0"/>
    <s v="JF-15565"/>
    <s v="Jill Fjeld"/>
    <x v="0"/>
    <s v="United States"/>
    <x v="21"/>
    <x v="1"/>
    <x v="1"/>
    <s v="TEC-AC-10002323"/>
    <x v="0"/>
    <x v="1"/>
    <s v="SanDisk Ultra 32 GB MicroSDHC Class 10 Memory Card"/>
    <n v="106.08"/>
    <n v="6"/>
    <n v="-9.282"/>
    <x v="1"/>
    <x v="1"/>
    <x v="7"/>
    <n v="-8.7499999999999994E-2"/>
  </r>
  <r>
    <s v="CA-2017-121489"/>
    <x v="409"/>
    <d v="2017-08-25T00:00:00"/>
    <x v="1"/>
    <s v="CM-11815"/>
    <s v="Candace McMahon"/>
    <x v="1"/>
    <s v="United States"/>
    <x v="45"/>
    <x v="17"/>
    <x v="0"/>
    <s v="TEC-AC-10000682"/>
    <x v="0"/>
    <x v="1"/>
    <s v="Kensington K72356US Mouse-in-a-Box USB Desktop Mouse"/>
    <n v="33.18"/>
    <n v="2"/>
    <n v="11.613"/>
    <x v="1"/>
    <x v="3"/>
    <x v="1"/>
    <n v="0.35"/>
  </r>
  <r>
    <s v="US-2017-133081"/>
    <x v="681"/>
    <d v="2017-03-15T00:00:00"/>
    <x v="0"/>
    <s v="PV-18985"/>
    <s v="Paul Van Hugh"/>
    <x v="2"/>
    <s v="United States"/>
    <x v="268"/>
    <x v="35"/>
    <x v="2"/>
    <s v="TEC-AC-10001772"/>
    <x v="0"/>
    <x v="1"/>
    <s v="Memorex Mini Travel Drive 16 GB USB 2.0 Flash Drive"/>
    <n v="63.88"/>
    <n v="4"/>
    <n v="24.9132"/>
    <x v="1"/>
    <x v="3"/>
    <x v="5"/>
    <n v="0.39"/>
  </r>
  <r>
    <s v="CA-2015-121188"/>
    <x v="375"/>
    <d v="2015-09-04T00:00:00"/>
    <x v="0"/>
    <s v="CB-12025"/>
    <s v="Cassandra Brandow"/>
    <x v="0"/>
    <s v="United States"/>
    <x v="0"/>
    <x v="0"/>
    <x v="0"/>
    <s v="TEC-PH-10003589"/>
    <x v="0"/>
    <x v="0"/>
    <s v="invisibleSHIELD by ZAGG Smudge-Free Screen Protector"/>
    <n v="43.176000000000002"/>
    <n v="3"/>
    <n v="15.111599999999999"/>
    <x v="5"/>
    <x v="2"/>
    <x v="1"/>
    <n v="0.35"/>
  </r>
  <r>
    <s v="CA-2016-132997"/>
    <x v="376"/>
    <d v="2016-11-09T00:00:00"/>
    <x v="2"/>
    <s v="LW-17215"/>
    <s v="Luke Weiss"/>
    <x v="0"/>
    <s v="United States"/>
    <x v="10"/>
    <x v="5"/>
    <x v="2"/>
    <s v="TEC-PH-10000586"/>
    <x v="0"/>
    <x v="0"/>
    <s v="AT&amp;T SB67148 SynJ"/>
    <n v="263.95999999999998"/>
    <n v="4"/>
    <n v="71.269199999999998"/>
    <x v="2"/>
    <x v="1"/>
    <x v="6"/>
    <n v="0.27"/>
  </r>
  <r>
    <s v="CA-2016-132997"/>
    <x v="376"/>
    <d v="2016-11-09T00:00:00"/>
    <x v="2"/>
    <s v="LW-17215"/>
    <s v="Luke Weiss"/>
    <x v="0"/>
    <s v="United States"/>
    <x v="10"/>
    <x v="5"/>
    <x v="2"/>
    <s v="TEC-PH-10003811"/>
    <x v="0"/>
    <x v="0"/>
    <s v="Jabra Supreme Plus Driver Edition Headset"/>
    <n v="359.97"/>
    <n v="3"/>
    <n v="100.7916"/>
    <x v="2"/>
    <x v="1"/>
    <x v="6"/>
    <n v="0.28000000000000003"/>
  </r>
  <r>
    <s v="US-2015-160563"/>
    <x v="727"/>
    <d v="2015-10-24T00:00:00"/>
    <x v="0"/>
    <s v="NS-18640"/>
    <s v="Noel Staavos"/>
    <x v="1"/>
    <s v="United States"/>
    <x v="1"/>
    <x v="0"/>
    <x v="0"/>
    <s v="TEC-AC-10002567"/>
    <x v="0"/>
    <x v="1"/>
    <s v="Logitech G602 Wireless Gaming Mouse"/>
    <n v="239.97"/>
    <n v="3"/>
    <n v="86.389200000000002"/>
    <x v="1"/>
    <x v="2"/>
    <x v="7"/>
    <n v="0.36"/>
  </r>
  <r>
    <s v="CA-2015-106187"/>
    <x v="216"/>
    <d v="2015-06-29T00:00:00"/>
    <x v="0"/>
    <s v="RF-19345"/>
    <s v="Randy Ferguson"/>
    <x v="1"/>
    <s v="United States"/>
    <x v="304"/>
    <x v="31"/>
    <x v="3"/>
    <s v="TEC-AC-10001590"/>
    <x v="0"/>
    <x v="1"/>
    <s v="Dell Slim USB Multimedia Keyboard"/>
    <n v="75"/>
    <n v="3"/>
    <n v="18"/>
    <x v="3"/>
    <x v="2"/>
    <x v="0"/>
    <n v="0.24"/>
  </r>
  <r>
    <s v="CA-2017-133046"/>
    <x v="565"/>
    <d v="2017-08-01T00:00:00"/>
    <x v="1"/>
    <s v="DK-13375"/>
    <s v="Dennis Kane"/>
    <x v="0"/>
    <s v="United States"/>
    <x v="45"/>
    <x v="17"/>
    <x v="0"/>
    <s v="TEC-AC-10000991"/>
    <x v="0"/>
    <x v="1"/>
    <s v="Sony Micro Vault Click 8 GB USB 2.0 Flash Drive"/>
    <n v="234.95"/>
    <n v="5"/>
    <n v="32.893000000000001"/>
    <x v="0"/>
    <x v="3"/>
    <x v="10"/>
    <n v="0.14000000000000001"/>
  </r>
  <r>
    <s v="CA-2016-169663"/>
    <x v="478"/>
    <d v="2016-03-13T00:00:00"/>
    <x v="2"/>
    <s v="RH-19510"/>
    <s v="Rick Huthwaite"/>
    <x v="2"/>
    <s v="United States"/>
    <x v="0"/>
    <x v="0"/>
    <x v="0"/>
    <s v="TEC-AC-10003038"/>
    <x v="0"/>
    <x v="1"/>
    <s v="Kingston Digital DataTraveler 16GB USB 2.0"/>
    <n v="26.85"/>
    <n v="3"/>
    <n v="5.1014999999999997"/>
    <x v="6"/>
    <x v="1"/>
    <x v="5"/>
    <n v="0.19"/>
  </r>
  <r>
    <s v="CA-2016-169663"/>
    <x v="478"/>
    <d v="2016-03-13T00:00:00"/>
    <x v="2"/>
    <s v="RH-19510"/>
    <s v="Rick Huthwaite"/>
    <x v="2"/>
    <s v="United States"/>
    <x v="0"/>
    <x v="0"/>
    <x v="0"/>
    <s v="TEC-MA-10000984"/>
    <x v="0"/>
    <x v="2"/>
    <s v="Okidata MB760 Printer"/>
    <n v="3357.6"/>
    <n v="3"/>
    <n v="377.73"/>
    <x v="6"/>
    <x v="1"/>
    <x v="5"/>
    <n v="0.1125"/>
  </r>
  <r>
    <s v="CA-2015-149846"/>
    <x v="728"/>
    <d v="2015-05-26T00:00:00"/>
    <x v="0"/>
    <s v="SB-20185"/>
    <s v="Sarah Brown"/>
    <x v="0"/>
    <s v="United States"/>
    <x v="0"/>
    <x v="0"/>
    <x v="0"/>
    <s v="TEC-MA-10004002"/>
    <x v="0"/>
    <x v="2"/>
    <s v="Zebra GX420t Direct Thermal/Thermal Transfer Printer"/>
    <n v="2973.32"/>
    <n v="7"/>
    <n v="334.49849999999998"/>
    <x v="1"/>
    <x v="2"/>
    <x v="11"/>
    <n v="0.1125"/>
  </r>
  <r>
    <s v="CA-2015-149846"/>
    <x v="728"/>
    <d v="2015-05-26T00:00:00"/>
    <x v="0"/>
    <s v="SB-20185"/>
    <s v="Sarah Brown"/>
    <x v="0"/>
    <s v="United States"/>
    <x v="0"/>
    <x v="0"/>
    <x v="0"/>
    <s v="TEC-PH-10003645"/>
    <x v="0"/>
    <x v="0"/>
    <s v="Aastra 57i VoIP phone"/>
    <n v="775.72799999999995"/>
    <n v="6"/>
    <n v="58.179600000000001"/>
    <x v="1"/>
    <x v="2"/>
    <x v="11"/>
    <n v="7.4999999999999997E-2"/>
  </r>
  <r>
    <s v="CA-2017-159149"/>
    <x v="457"/>
    <d v="2017-02-19T00:00:00"/>
    <x v="2"/>
    <s v="CR-12820"/>
    <s v="Cyra Reiten"/>
    <x v="2"/>
    <s v="United States"/>
    <x v="3"/>
    <x v="1"/>
    <x v="1"/>
    <s v="TEC-PH-10000038"/>
    <x v="0"/>
    <x v="0"/>
    <s v="Jawbone MINI JAMBOX Wireless Bluetooth Speaker"/>
    <n v="438.33600000000001"/>
    <n v="4"/>
    <n v="-87.667199999999994"/>
    <x v="2"/>
    <x v="3"/>
    <x v="8"/>
    <n v="-0.2"/>
  </r>
  <r>
    <s v="CA-2014-138128"/>
    <x v="729"/>
    <d v="2014-12-15T00:00:00"/>
    <x v="0"/>
    <s v="FP-14320"/>
    <s v="Frank Preis"/>
    <x v="0"/>
    <s v="United States"/>
    <x v="20"/>
    <x v="12"/>
    <x v="2"/>
    <s v="TEC-CO-10001766"/>
    <x v="0"/>
    <x v="3"/>
    <s v="Canon PC940 Copier"/>
    <n v="1079.9760000000001"/>
    <n v="4"/>
    <n v="125.99720000000001"/>
    <x v="3"/>
    <x v="0"/>
    <x v="3"/>
    <n v="0.116666666666667"/>
  </r>
  <r>
    <s v="CA-2015-137064"/>
    <x v="730"/>
    <d v="2015-02-13T00:00:00"/>
    <x v="0"/>
    <s v="TS-21655"/>
    <s v="Trudy Schmidt"/>
    <x v="0"/>
    <s v="United States"/>
    <x v="3"/>
    <x v="1"/>
    <x v="1"/>
    <s v="TEC-AC-10003499"/>
    <x v="0"/>
    <x v="1"/>
    <s v="Memorex Mini Travel Drive 8 GB USB 2.0 Flash Drive"/>
    <n v="18.527999999999999"/>
    <n v="2"/>
    <n v="4.4004000000000003"/>
    <x v="5"/>
    <x v="2"/>
    <x v="8"/>
    <n v="0.23749999999999999"/>
  </r>
  <r>
    <s v="CA-2014-127866"/>
    <x v="731"/>
    <d v="2014-07-23T00:00:00"/>
    <x v="2"/>
    <s v="JD-15895"/>
    <s v="Jonathan Doherty"/>
    <x v="1"/>
    <s v="United States"/>
    <x v="297"/>
    <x v="0"/>
    <x v="0"/>
    <s v="TEC-AC-10000023"/>
    <x v="0"/>
    <x v="1"/>
    <s v="Maxell 74 Minute CD-R Spindle, 50/Pack"/>
    <n v="41.94"/>
    <n v="2"/>
    <n v="15.0984"/>
    <x v="6"/>
    <x v="0"/>
    <x v="10"/>
    <n v="0.36"/>
  </r>
  <r>
    <s v="CA-2016-100993"/>
    <x v="194"/>
    <d v="2016-02-10T00:00:00"/>
    <x v="0"/>
    <s v="AZ-10750"/>
    <s v="Annie Zypern"/>
    <x v="0"/>
    <s v="United States"/>
    <x v="30"/>
    <x v="0"/>
    <x v="0"/>
    <s v="TEC-PH-10001448"/>
    <x v="0"/>
    <x v="0"/>
    <s v="Anker Astro 15000mAh USB Portable Charger"/>
    <n v="159.96799999999999"/>
    <n v="4"/>
    <n v="-31.993600000000001"/>
    <x v="0"/>
    <x v="1"/>
    <x v="8"/>
    <n v="-0.2"/>
  </r>
  <r>
    <s v="CA-2017-140151"/>
    <x v="732"/>
    <d v="2017-03-25T00:00:00"/>
    <x v="2"/>
    <s v="RB-19360"/>
    <s v="Raymond Buch"/>
    <x v="0"/>
    <s v="United States"/>
    <x v="45"/>
    <x v="17"/>
    <x v="0"/>
    <s v="TEC-CO-10004722"/>
    <x v="0"/>
    <x v="3"/>
    <s v="Canon imageCLASS 2200 Advanced Copier"/>
    <n v="13999.96"/>
    <n v="4"/>
    <n v="6719.9808000000003"/>
    <x v="2"/>
    <x v="3"/>
    <x v="5"/>
    <n v="0.48"/>
  </r>
  <r>
    <s v="US-2017-143770"/>
    <x v="302"/>
    <d v="2017-03-24T00:00:00"/>
    <x v="0"/>
    <s v="RD-19720"/>
    <s v="Roger Demir"/>
    <x v="0"/>
    <s v="United States"/>
    <x v="305"/>
    <x v="37"/>
    <x v="2"/>
    <s v="TEC-AC-10002842"/>
    <x v="0"/>
    <x v="1"/>
    <s v="WD My Passport Ultra 2TB Portable External Hard Drive"/>
    <n v="238"/>
    <n v="2"/>
    <n v="38.08"/>
    <x v="1"/>
    <x v="3"/>
    <x v="5"/>
    <n v="0.16"/>
  </r>
  <r>
    <s v="CA-2016-103464"/>
    <x v="536"/>
    <d v="2016-11-22T00:00:00"/>
    <x v="0"/>
    <s v="PG-18820"/>
    <s v="Patrick Gardner"/>
    <x v="0"/>
    <s v="United States"/>
    <x v="30"/>
    <x v="0"/>
    <x v="0"/>
    <s v="TEC-AC-10002842"/>
    <x v="0"/>
    <x v="1"/>
    <s v="WD My Passport Ultra 2TB Portable External Hard Drive"/>
    <n v="595"/>
    <n v="5"/>
    <n v="95.2"/>
    <x v="1"/>
    <x v="1"/>
    <x v="6"/>
    <n v="0.16"/>
  </r>
  <r>
    <s v="CA-2016-120803"/>
    <x v="733"/>
    <d v="2016-03-13T00:00:00"/>
    <x v="0"/>
    <s v="RB-19465"/>
    <s v="Rick Bensley"/>
    <x v="2"/>
    <s v="United States"/>
    <x v="306"/>
    <x v="37"/>
    <x v="2"/>
    <s v="TEC-AC-10004469"/>
    <x v="0"/>
    <x v="1"/>
    <s v="Microsoft Sculpt Comfort Mouse"/>
    <n v="199.75"/>
    <n v="5"/>
    <n v="87.89"/>
    <x v="1"/>
    <x v="1"/>
    <x v="5"/>
    <n v="0.44"/>
  </r>
  <r>
    <s v="CA-2015-120915"/>
    <x v="734"/>
    <d v="2015-10-03T00:00:00"/>
    <x v="1"/>
    <s v="JJ-15445"/>
    <s v="Jennifer Jackson"/>
    <x v="0"/>
    <s v="United States"/>
    <x v="7"/>
    <x v="5"/>
    <x v="2"/>
    <s v="TEC-PH-10003012"/>
    <x v="0"/>
    <x v="0"/>
    <s v="Nortel Meridian M3904 Professional Digital phone"/>
    <n v="307.98"/>
    <n v="2"/>
    <n v="89.3142"/>
    <x v="0"/>
    <x v="2"/>
    <x v="4"/>
    <n v="0.28999999999999998"/>
  </r>
  <r>
    <s v="CA-2017-107174"/>
    <x v="604"/>
    <d v="2017-11-13T00:00:00"/>
    <x v="0"/>
    <s v="AB-10060"/>
    <s v="Adam Bellavance"/>
    <x v="2"/>
    <s v="United States"/>
    <x v="45"/>
    <x v="17"/>
    <x v="0"/>
    <s v="TEC-AC-10001465"/>
    <x v="0"/>
    <x v="1"/>
    <s v="SanDisk Cruzer 64 GB USB Flash Drive"/>
    <n v="108.96"/>
    <n v="3"/>
    <n v="32.688000000000002"/>
    <x v="5"/>
    <x v="3"/>
    <x v="6"/>
    <n v="0.3"/>
  </r>
  <r>
    <s v="CA-2017-149699"/>
    <x v="273"/>
    <d v="2017-12-24T00:00:00"/>
    <x v="2"/>
    <s v="CM-12115"/>
    <s v="Chad McGuire"/>
    <x v="0"/>
    <s v="United States"/>
    <x v="0"/>
    <x v="0"/>
    <x v="0"/>
    <s v="TEC-AC-10000474"/>
    <x v="0"/>
    <x v="1"/>
    <s v="Kensington Expert Mouse Optical USB Trackball for PC or Mac"/>
    <n v="474.95"/>
    <n v="5"/>
    <n v="142.48500000000001"/>
    <x v="2"/>
    <x v="3"/>
    <x v="3"/>
    <n v="0.3"/>
  </r>
  <r>
    <s v="CA-2016-166429"/>
    <x v="659"/>
    <d v="2016-09-08T00:00:00"/>
    <x v="0"/>
    <s v="TG-21310"/>
    <s v="Toby Gnade"/>
    <x v="0"/>
    <s v="United States"/>
    <x v="38"/>
    <x v="17"/>
    <x v="0"/>
    <s v="TEC-CO-10002095"/>
    <x v="0"/>
    <x v="3"/>
    <s v="Hewlett Packard 610 Color Digital Copier / Printer"/>
    <n v="999.98"/>
    <n v="2"/>
    <n v="449.99099999999999"/>
    <x v="3"/>
    <x v="1"/>
    <x v="4"/>
    <n v="0.45"/>
  </r>
  <r>
    <s v="CA-2015-119879"/>
    <x v="494"/>
    <d v="2015-11-25T00:00:00"/>
    <x v="0"/>
    <s v="SS-20410"/>
    <s v="Shahid Shariari"/>
    <x v="0"/>
    <s v="United States"/>
    <x v="20"/>
    <x v="12"/>
    <x v="2"/>
    <s v="TEC-PH-10002923"/>
    <x v="0"/>
    <x v="0"/>
    <s v="Logitech B530 USB Headset - headset - Full size, Binaural"/>
    <n v="110.97"/>
    <n v="5"/>
    <n v="-24.043500000000002"/>
    <x v="1"/>
    <x v="2"/>
    <x v="6"/>
    <n v="-0.21666666666666701"/>
  </r>
  <r>
    <s v="CA-2017-102736"/>
    <x v="735"/>
    <d v="2017-09-09T00:00:00"/>
    <x v="0"/>
    <s v="LP-17095"/>
    <s v="Liz Preis"/>
    <x v="0"/>
    <s v="United States"/>
    <x v="307"/>
    <x v="44"/>
    <x v="3"/>
    <s v="TEC-AC-10004568"/>
    <x v="0"/>
    <x v="1"/>
    <s v="Maxell LTO Ultrium - 800 GB"/>
    <n v="89.567999999999998"/>
    <n v="4"/>
    <n v="-1.1195999999999999"/>
    <x v="1"/>
    <x v="3"/>
    <x v="4"/>
    <n v="-1.2500000000000001E-2"/>
  </r>
  <r>
    <s v="CA-2015-114811"/>
    <x v="294"/>
    <d v="2015-11-08T00:00:00"/>
    <x v="3"/>
    <s v="KD-16495"/>
    <s v="Keith Dawkins"/>
    <x v="1"/>
    <s v="United States"/>
    <x v="7"/>
    <x v="5"/>
    <x v="2"/>
    <s v="TEC-PH-10004165"/>
    <x v="0"/>
    <x v="0"/>
    <s v="Mitel MiVoice 5330e IP Phone"/>
    <n v="549.98"/>
    <n v="2"/>
    <n v="142.9948"/>
    <x v="7"/>
    <x v="2"/>
    <x v="6"/>
    <n v="0.26"/>
  </r>
  <r>
    <s v="CA-2015-114811"/>
    <x v="294"/>
    <d v="2015-11-08T00:00:00"/>
    <x v="3"/>
    <s v="KD-16495"/>
    <s v="Keith Dawkins"/>
    <x v="1"/>
    <s v="United States"/>
    <x v="7"/>
    <x v="5"/>
    <x v="2"/>
    <s v="TEC-MA-10000045"/>
    <x v="0"/>
    <x v="2"/>
    <s v="Zebra ZM400 Thermal Label Printer"/>
    <n v="4643.8"/>
    <n v="4"/>
    <n v="2229.0239999999999"/>
    <x v="7"/>
    <x v="2"/>
    <x v="6"/>
    <n v="0.48"/>
  </r>
  <r>
    <s v="CA-2016-123050"/>
    <x v="490"/>
    <d v="2016-04-08T00:00:00"/>
    <x v="1"/>
    <s v="BC-11125"/>
    <s v="Becky Castell"/>
    <x v="2"/>
    <s v="United States"/>
    <x v="8"/>
    <x v="5"/>
    <x v="2"/>
    <s v="TEC-AC-10001109"/>
    <x v="0"/>
    <x v="1"/>
    <s v="Logitech Trackman Marble Mouse"/>
    <n v="89.97"/>
    <n v="3"/>
    <n v="37.787399999999998"/>
    <x v="1"/>
    <x v="1"/>
    <x v="9"/>
    <n v="0.42"/>
  </r>
  <r>
    <s v="CA-2014-109855"/>
    <x v="736"/>
    <d v="2014-09-05T00:00:00"/>
    <x v="0"/>
    <s v="LH-16900"/>
    <s v="Lena Hernandez"/>
    <x v="0"/>
    <s v="United States"/>
    <x v="7"/>
    <x v="5"/>
    <x v="2"/>
    <s v="TEC-AC-10002842"/>
    <x v="0"/>
    <x v="1"/>
    <s v="WD My Passport Ultra 2TB Portable External Hard Drive"/>
    <n v="357"/>
    <n v="3"/>
    <n v="57.12"/>
    <x v="1"/>
    <x v="0"/>
    <x v="4"/>
    <n v="0.16"/>
  </r>
  <r>
    <s v="CA-2014-109897"/>
    <x v="737"/>
    <d v="2014-08-16T00:00:00"/>
    <x v="0"/>
    <s v="BW-11200"/>
    <s v="Ben Wallace"/>
    <x v="0"/>
    <s v="United States"/>
    <x v="1"/>
    <x v="0"/>
    <x v="0"/>
    <s v="TEC-PH-10003691"/>
    <x v="0"/>
    <x v="0"/>
    <s v="BlackBerry Q10"/>
    <n v="806.33600000000001"/>
    <n v="8"/>
    <n v="50.396000000000001"/>
    <x v="1"/>
    <x v="0"/>
    <x v="1"/>
    <n v="6.25E-2"/>
  </r>
  <r>
    <s v="CA-2016-133816"/>
    <x v="738"/>
    <d v="2016-05-13T00:00:00"/>
    <x v="1"/>
    <s v="CS-12400"/>
    <s v="Christopher Schild"/>
    <x v="2"/>
    <s v="United States"/>
    <x v="20"/>
    <x v="12"/>
    <x v="2"/>
    <s v="TEC-PH-10001795"/>
    <x v="0"/>
    <x v="0"/>
    <s v="ClearOne CHATAttach 160 - speaker phone"/>
    <n v="743.98800000000006"/>
    <n v="2"/>
    <n v="-123.998"/>
    <x v="6"/>
    <x v="1"/>
    <x v="11"/>
    <n v="-0.16666666666666699"/>
  </r>
  <r>
    <s v="CA-2017-152310"/>
    <x v="739"/>
    <d v="2017-08-19T00:00:00"/>
    <x v="0"/>
    <s v="DK-12895"/>
    <s v="Dana Kaydos"/>
    <x v="0"/>
    <s v="United States"/>
    <x v="45"/>
    <x v="17"/>
    <x v="0"/>
    <s v="TEC-CO-10000971"/>
    <x v="0"/>
    <x v="3"/>
    <s v="Hewlett Packard 310 Color Digital Copier"/>
    <n v="299.99"/>
    <n v="1"/>
    <n v="89.997"/>
    <x v="5"/>
    <x v="3"/>
    <x v="1"/>
    <n v="0.3"/>
  </r>
  <r>
    <s v="CA-2017-152310"/>
    <x v="739"/>
    <d v="2017-08-19T00:00:00"/>
    <x v="0"/>
    <s v="DK-12895"/>
    <s v="Dana Kaydos"/>
    <x v="0"/>
    <s v="United States"/>
    <x v="45"/>
    <x v="17"/>
    <x v="0"/>
    <s v="TEC-PH-10002538"/>
    <x v="0"/>
    <x v="0"/>
    <s v="Grandstream GXP1160 VoIP phone"/>
    <n v="242.624"/>
    <n v="8"/>
    <n v="27.295200000000001"/>
    <x v="5"/>
    <x v="3"/>
    <x v="1"/>
    <n v="0.1125"/>
  </r>
  <r>
    <s v="CA-2017-152310"/>
    <x v="739"/>
    <d v="2017-08-19T00:00:00"/>
    <x v="0"/>
    <s v="DK-12895"/>
    <s v="Dana Kaydos"/>
    <x v="0"/>
    <s v="United States"/>
    <x v="45"/>
    <x v="17"/>
    <x v="0"/>
    <s v="TEC-AC-10000397"/>
    <x v="0"/>
    <x v="1"/>
    <s v="Perixx PERIBOARD-512B, Ergonomic Split Keyboard"/>
    <n v="174.95"/>
    <n v="5"/>
    <n v="12.246499999999999"/>
    <x v="5"/>
    <x v="3"/>
    <x v="1"/>
    <n v="7.0000000000000007E-2"/>
  </r>
  <r>
    <s v="CA-2014-118304"/>
    <x v="740"/>
    <d v="2014-05-04T00:00:00"/>
    <x v="0"/>
    <s v="KH-16360"/>
    <s v="Katherine Hughes"/>
    <x v="0"/>
    <s v="United States"/>
    <x v="6"/>
    <x v="4"/>
    <x v="2"/>
    <s v="TEC-PH-10000376"/>
    <x v="0"/>
    <x v="0"/>
    <s v="Square Credit Card Reader"/>
    <n v="19.98"/>
    <n v="2"/>
    <n v="5.1947999999999999"/>
    <x v="0"/>
    <x v="0"/>
    <x v="9"/>
    <n v="0.26"/>
  </r>
  <r>
    <s v="CA-2017-121790"/>
    <x v="109"/>
    <d v="2017-02-06T00:00:00"/>
    <x v="0"/>
    <s v="LP-17095"/>
    <s v="Liz Preis"/>
    <x v="0"/>
    <s v="United States"/>
    <x v="12"/>
    <x v="2"/>
    <x v="1"/>
    <s v="TEC-PH-10002584"/>
    <x v="0"/>
    <x v="0"/>
    <s v="Samsung Galaxy S4"/>
    <n v="2003.1679999999999"/>
    <n v="4"/>
    <n v="250.39599999999999"/>
    <x v="5"/>
    <x v="3"/>
    <x v="2"/>
    <n v="0.125"/>
  </r>
  <r>
    <s v="CA-2015-154284"/>
    <x v="144"/>
    <d v="2015-12-26T00:00:00"/>
    <x v="1"/>
    <s v="SZ-20035"/>
    <s v="Sam Zeldin"/>
    <x v="2"/>
    <s v="United States"/>
    <x v="284"/>
    <x v="2"/>
    <x v="1"/>
    <s v="TEC-MA-10004241"/>
    <x v="0"/>
    <x v="2"/>
    <s v="Star Micronics TSP800 TSP847IIU Receipt Printer"/>
    <n v="600.53"/>
    <n v="2"/>
    <n v="137.26400000000001"/>
    <x v="0"/>
    <x v="2"/>
    <x v="3"/>
    <n v="0.22857142857142901"/>
  </r>
  <r>
    <s v="CA-2015-154284"/>
    <x v="144"/>
    <d v="2015-12-26T00:00:00"/>
    <x v="1"/>
    <s v="SZ-20035"/>
    <s v="Sam Zeldin"/>
    <x v="2"/>
    <s v="United States"/>
    <x v="284"/>
    <x v="2"/>
    <x v="1"/>
    <s v="TEC-AC-10003198"/>
    <x v="0"/>
    <x v="1"/>
    <s v="Enermax Acrylux Wireless Keyboard"/>
    <n v="637.44000000000005"/>
    <n v="8"/>
    <n v="135.45599999999999"/>
    <x v="0"/>
    <x v="2"/>
    <x v="3"/>
    <n v="0.21249999999999999"/>
  </r>
  <r>
    <s v="CA-2014-156244"/>
    <x v="737"/>
    <d v="2014-08-16T00:00:00"/>
    <x v="0"/>
    <s v="DH-13675"/>
    <s v="Duane Huffman"/>
    <x v="2"/>
    <s v="United States"/>
    <x v="56"/>
    <x v="15"/>
    <x v="3"/>
    <s v="TEC-AC-10002473"/>
    <x v="0"/>
    <x v="1"/>
    <s v="Maxell 4.7GB DVD-R"/>
    <n v="158.928"/>
    <n v="7"/>
    <n v="41.718600000000002"/>
    <x v="1"/>
    <x v="0"/>
    <x v="1"/>
    <n v="0.26250000000000001"/>
  </r>
  <r>
    <s v="US-2017-146906"/>
    <x v="377"/>
    <d v="2017-03-17T00:00:00"/>
    <x v="0"/>
    <s v="MT-17815"/>
    <s v="Meg Tillman"/>
    <x v="0"/>
    <s v="United States"/>
    <x v="7"/>
    <x v="5"/>
    <x v="2"/>
    <s v="TEC-PH-10001809"/>
    <x v="0"/>
    <x v="0"/>
    <s v="Panasonic KX T7736-B Digital phone"/>
    <n v="299.89999999999998"/>
    <n v="2"/>
    <n v="74.974999999999994"/>
    <x v="1"/>
    <x v="3"/>
    <x v="5"/>
    <n v="0.25"/>
  </r>
  <r>
    <s v="CA-2016-166380"/>
    <x v="175"/>
    <d v="2016-06-03T00:00:00"/>
    <x v="0"/>
    <s v="EB-13750"/>
    <s v="Edward Becker"/>
    <x v="1"/>
    <s v="United States"/>
    <x v="130"/>
    <x v="23"/>
    <x v="3"/>
    <s v="TEC-AC-10000109"/>
    <x v="0"/>
    <x v="1"/>
    <s v="Sony Micro Vault Click 16 GB USB 2.0 Flash Drive"/>
    <n v="111.98"/>
    <n v="2"/>
    <n v="26.8752"/>
    <x v="1"/>
    <x v="1"/>
    <x v="11"/>
    <n v="0.24"/>
  </r>
  <r>
    <s v="US-2017-167318"/>
    <x v="741"/>
    <d v="2017-08-01T00:00:00"/>
    <x v="0"/>
    <s v="GZ-14545"/>
    <s v="George Zrebassa"/>
    <x v="1"/>
    <s v="United States"/>
    <x v="0"/>
    <x v="0"/>
    <x v="0"/>
    <s v="TEC-AC-10003870"/>
    <x v="0"/>
    <x v="1"/>
    <s v="Logitech Z-906 Speaker sys - home theater - 5.1-CH"/>
    <n v="1649.95"/>
    <n v="5"/>
    <n v="659.98"/>
    <x v="3"/>
    <x v="3"/>
    <x v="10"/>
    <n v="0.4"/>
  </r>
  <r>
    <s v="US-2014-120313"/>
    <x v="274"/>
    <d v="2014-11-02T00:00:00"/>
    <x v="1"/>
    <s v="NL-18310"/>
    <s v="Nancy Lomonaco"/>
    <x v="2"/>
    <s v="United States"/>
    <x v="1"/>
    <x v="0"/>
    <x v="0"/>
    <s v="TEC-PH-10003092"/>
    <x v="0"/>
    <x v="0"/>
    <s v="Motorola L804"/>
    <n v="73.584000000000003"/>
    <n v="2"/>
    <n v="8.2782"/>
    <x v="2"/>
    <x v="0"/>
    <x v="7"/>
    <n v="0.1125"/>
  </r>
  <r>
    <s v="US-2017-105935"/>
    <x v="742"/>
    <d v="2017-01-31T00:00:00"/>
    <x v="0"/>
    <s v="BD-11500"/>
    <s v="Bradley Drucker"/>
    <x v="0"/>
    <s v="United States"/>
    <x v="16"/>
    <x v="31"/>
    <x v="3"/>
    <s v="TEC-PH-10001459"/>
    <x v="0"/>
    <x v="0"/>
    <s v="Samsung Galaxy Mega 6.3"/>
    <n v="2939.93"/>
    <n v="7"/>
    <n v="764.3818"/>
    <x v="0"/>
    <x v="3"/>
    <x v="2"/>
    <n v="0.26"/>
  </r>
  <r>
    <s v="CA-2017-144456"/>
    <x v="381"/>
    <d v="2017-09-09T00:00:00"/>
    <x v="2"/>
    <s v="FC-14245"/>
    <s v="Frank Carlisle"/>
    <x v="2"/>
    <s v="United States"/>
    <x v="256"/>
    <x v="15"/>
    <x v="3"/>
    <s v="TEC-PH-10001750"/>
    <x v="0"/>
    <x v="0"/>
    <s v="Samsung Rugby III"/>
    <n v="158.376"/>
    <n v="3"/>
    <n v="13.857900000000001"/>
    <x v="4"/>
    <x v="3"/>
    <x v="4"/>
    <n v="8.7499999999999994E-2"/>
  </r>
  <r>
    <s v="CA-2017-113572"/>
    <x v="276"/>
    <d v="2017-11-11T00:00:00"/>
    <x v="0"/>
    <s v="FP-14320"/>
    <s v="Frank Preis"/>
    <x v="0"/>
    <s v="United States"/>
    <x v="7"/>
    <x v="5"/>
    <x v="2"/>
    <s v="TEC-AC-10002370"/>
    <x v="0"/>
    <x v="1"/>
    <s v="Maxell CD-R Discs"/>
    <n v="7.88"/>
    <n v="4"/>
    <n v="2.5215999999999998"/>
    <x v="1"/>
    <x v="3"/>
    <x v="6"/>
    <n v="0.32"/>
  </r>
  <r>
    <s v="CA-2014-153087"/>
    <x v="743"/>
    <d v="2015-01-03T00:00:00"/>
    <x v="0"/>
    <s v="TC-20980"/>
    <s v="Tamara Chand"/>
    <x v="1"/>
    <s v="United States"/>
    <x v="22"/>
    <x v="20"/>
    <x v="3"/>
    <s v="TEC-AC-10003198"/>
    <x v="0"/>
    <x v="1"/>
    <s v="Enermax Acrylux Wireless Keyboard"/>
    <n v="498"/>
    <n v="5"/>
    <n v="184.26"/>
    <x v="5"/>
    <x v="0"/>
    <x v="3"/>
    <n v="0.37"/>
  </r>
  <r>
    <s v="US-2015-115238"/>
    <x v="372"/>
    <d v="2015-05-04T00:00:00"/>
    <x v="0"/>
    <s v="JW-15220"/>
    <s v="Jane Waco"/>
    <x v="1"/>
    <s v="United States"/>
    <x v="200"/>
    <x v="35"/>
    <x v="2"/>
    <s v="TEC-PH-10001300"/>
    <x v="0"/>
    <x v="0"/>
    <s v="iKross Bluetooth Portable Keyboard + Cell Phone Stand Holder + Brush for Apple iPhone 5S 5C 5, 4S 4"/>
    <n v="209.5"/>
    <n v="10"/>
    <n v="58.66"/>
    <x v="1"/>
    <x v="2"/>
    <x v="9"/>
    <n v="0.28000000000000003"/>
  </r>
  <r>
    <s v="CA-2014-110555"/>
    <x v="448"/>
    <d v="2014-04-18T00:00:00"/>
    <x v="0"/>
    <s v="MM-18055"/>
    <s v="Michelle Moray"/>
    <x v="0"/>
    <s v="United States"/>
    <x v="48"/>
    <x v="19"/>
    <x v="0"/>
    <s v="TEC-PH-10000586"/>
    <x v="0"/>
    <x v="0"/>
    <s v="AT&amp;T SB67148 SynJ"/>
    <n v="105.584"/>
    <n v="2"/>
    <n v="9.2385999999999999"/>
    <x v="5"/>
    <x v="0"/>
    <x v="9"/>
    <n v="8.7499999999999994E-2"/>
  </r>
  <r>
    <s v="CA-2014-110555"/>
    <x v="448"/>
    <d v="2014-04-18T00:00:00"/>
    <x v="0"/>
    <s v="MM-18055"/>
    <s v="Michelle Moray"/>
    <x v="0"/>
    <s v="United States"/>
    <x v="48"/>
    <x v="19"/>
    <x v="0"/>
    <s v="TEC-AC-10003399"/>
    <x v="0"/>
    <x v="1"/>
    <s v="Memorex Mini Travel Drive 64 GB USB 2.0 Flash Drive"/>
    <n v="217.44"/>
    <n v="6"/>
    <n v="91.324799999999996"/>
    <x v="5"/>
    <x v="0"/>
    <x v="9"/>
    <n v="0.42"/>
  </r>
  <r>
    <s v="CA-2017-137631"/>
    <x v="744"/>
    <d v="2017-05-02T00:00:00"/>
    <x v="0"/>
    <s v="JL-15235"/>
    <s v="Janet Lee"/>
    <x v="0"/>
    <s v="United States"/>
    <x v="308"/>
    <x v="15"/>
    <x v="3"/>
    <s v="TEC-PH-10002624"/>
    <x v="0"/>
    <x v="0"/>
    <s v="Samsung Galaxy S4 Mini"/>
    <n v="751.98400000000004"/>
    <n v="2"/>
    <n v="84.598200000000006"/>
    <x v="1"/>
    <x v="3"/>
    <x v="9"/>
    <n v="0.1125"/>
  </r>
  <r>
    <s v="CA-2017-157273"/>
    <x v="109"/>
    <d v="2017-02-02T00:00:00"/>
    <x v="2"/>
    <s v="SZ-20035"/>
    <s v="Sam Zeldin"/>
    <x v="2"/>
    <s v="United States"/>
    <x v="45"/>
    <x v="17"/>
    <x v="0"/>
    <s v="TEC-PH-10002275"/>
    <x v="0"/>
    <x v="0"/>
    <s v="Mitel 5320 IP Phone VoIP phone"/>
    <n v="604.76800000000003"/>
    <n v="4"/>
    <n v="60.476799999999997"/>
    <x v="6"/>
    <x v="3"/>
    <x v="2"/>
    <n v="0.1"/>
  </r>
  <r>
    <s v="CA-2016-134544"/>
    <x v="445"/>
    <d v="2016-03-19T00:00:00"/>
    <x v="1"/>
    <s v="AC-10660"/>
    <s v="Anna Chung"/>
    <x v="0"/>
    <s v="United States"/>
    <x v="1"/>
    <x v="0"/>
    <x v="0"/>
    <s v="TEC-PH-10003800"/>
    <x v="0"/>
    <x v="0"/>
    <s v="i.Sound Portable Power - 8000 mAh"/>
    <n v="84.784000000000006"/>
    <n v="2"/>
    <n v="-20.136199999999999"/>
    <x v="2"/>
    <x v="1"/>
    <x v="5"/>
    <n v="-0.23749999999999999"/>
  </r>
  <r>
    <s v="CA-2016-145135"/>
    <x v="203"/>
    <d v="2016-11-28T00:00:00"/>
    <x v="2"/>
    <s v="CD-12790"/>
    <s v="Cynthia Delaney"/>
    <x v="2"/>
    <s v="United States"/>
    <x v="309"/>
    <x v="37"/>
    <x v="2"/>
    <s v="TEC-AC-10003447"/>
    <x v="0"/>
    <x v="1"/>
    <s v="Micropad Numeric Keypads"/>
    <n v="59.97"/>
    <n v="3"/>
    <n v="14.9925"/>
    <x v="2"/>
    <x v="1"/>
    <x v="6"/>
    <n v="0.25"/>
  </r>
  <r>
    <s v="CA-2016-142594"/>
    <x v="167"/>
    <d v="2016-12-06T00:00:00"/>
    <x v="1"/>
    <s v="EJ-14155"/>
    <s v="Eva Jacobs"/>
    <x v="0"/>
    <s v="United States"/>
    <x v="17"/>
    <x v="35"/>
    <x v="2"/>
    <s v="TEC-PH-10000193"/>
    <x v="0"/>
    <x v="0"/>
    <s v="Jensen SMPS-640 - speaker phone"/>
    <n v="137.94"/>
    <n v="3"/>
    <n v="35.864400000000003"/>
    <x v="0"/>
    <x v="1"/>
    <x v="3"/>
    <n v="0.26"/>
  </r>
  <r>
    <s v="CA-2017-140480"/>
    <x v="220"/>
    <d v="2017-07-12T00:00:00"/>
    <x v="0"/>
    <s v="HE-14800"/>
    <s v="Harold Engle"/>
    <x v="1"/>
    <s v="United States"/>
    <x v="129"/>
    <x v="4"/>
    <x v="2"/>
    <s v="TEC-AC-10002473"/>
    <x v="0"/>
    <x v="1"/>
    <s v="Maxell 4.7GB DVD-R"/>
    <n v="141.9"/>
    <n v="5"/>
    <n v="58.179000000000002"/>
    <x v="1"/>
    <x v="3"/>
    <x v="10"/>
    <n v="0.41"/>
  </r>
  <r>
    <s v="CA-2016-147109"/>
    <x v="745"/>
    <d v="2016-12-21T00:00:00"/>
    <x v="0"/>
    <s v="AH-10075"/>
    <s v="Adam Hart"/>
    <x v="1"/>
    <s v="United States"/>
    <x v="130"/>
    <x v="1"/>
    <x v="1"/>
    <s v="TEC-AC-10002942"/>
    <x v="0"/>
    <x v="1"/>
    <s v="WD My Passport Ultra 1TB Portable External Hard Drive"/>
    <n v="165.6"/>
    <n v="3"/>
    <n v="-6.21"/>
    <x v="1"/>
    <x v="1"/>
    <x v="3"/>
    <n v="-3.7499999999999999E-2"/>
  </r>
  <r>
    <s v="CA-2017-118199"/>
    <x v="746"/>
    <d v="2017-05-11T00:00:00"/>
    <x v="2"/>
    <s v="LB-16795"/>
    <s v="Laurel Beltran"/>
    <x v="2"/>
    <s v="United States"/>
    <x v="45"/>
    <x v="17"/>
    <x v="0"/>
    <s v="TEC-AC-10004171"/>
    <x v="0"/>
    <x v="1"/>
    <s v="Razer Kraken 7.1 Surround Sound Over Ear USB Gaming Headset"/>
    <n v="199.98"/>
    <n v="2"/>
    <n v="87.991200000000006"/>
    <x v="2"/>
    <x v="3"/>
    <x v="11"/>
    <n v="0.44"/>
  </r>
  <r>
    <s v="CA-2017-150091"/>
    <x v="307"/>
    <d v="2017-10-16T00:00:00"/>
    <x v="0"/>
    <s v="NP-18670"/>
    <s v="Nora Paige"/>
    <x v="0"/>
    <s v="United States"/>
    <x v="95"/>
    <x v="26"/>
    <x v="2"/>
    <s v="TEC-AC-10002167"/>
    <x v="0"/>
    <x v="1"/>
    <s v="Imation 8gb Micro Traveldrive Usb 2.0 Flash Drive"/>
    <n v="45"/>
    <n v="3"/>
    <n v="4.95"/>
    <x v="1"/>
    <x v="3"/>
    <x v="7"/>
    <n v="0.11"/>
  </r>
  <r>
    <s v="US-2017-132220"/>
    <x v="250"/>
    <d v="2017-11-16T00:00:00"/>
    <x v="0"/>
    <s v="DJ-13510"/>
    <s v="Don Jones"/>
    <x v="1"/>
    <s v="United States"/>
    <x v="178"/>
    <x v="6"/>
    <x v="0"/>
    <s v="TEC-AC-10004227"/>
    <x v="0"/>
    <x v="1"/>
    <s v="SanDisk Ultra 16 GB MicroSDHC Class 10 Memory Card"/>
    <n v="62.351999999999997"/>
    <n v="6"/>
    <n v="-10.9116"/>
    <x v="1"/>
    <x v="3"/>
    <x v="6"/>
    <n v="-0.17499999999999999"/>
  </r>
  <r>
    <s v="CA-2015-112823"/>
    <x v="470"/>
    <d v="2015-12-16T00:00:00"/>
    <x v="0"/>
    <s v="RA-19945"/>
    <s v="Ryan Akin"/>
    <x v="0"/>
    <s v="United States"/>
    <x v="118"/>
    <x v="9"/>
    <x v="2"/>
    <s v="TEC-AC-10002550"/>
    <x v="0"/>
    <x v="1"/>
    <s v="Maxell 4.7GB DVD-RW 3/Pack"/>
    <n v="25.488"/>
    <n v="2"/>
    <n v="4.4603999999999999"/>
    <x v="3"/>
    <x v="2"/>
    <x v="3"/>
    <n v="0.17499999999999999"/>
  </r>
  <r>
    <s v="CA-2017-114370"/>
    <x v="747"/>
    <d v="2017-03-17T00:00:00"/>
    <x v="1"/>
    <s v="BN-11470"/>
    <s v="Brad Norvell"/>
    <x v="1"/>
    <s v="United States"/>
    <x v="11"/>
    <x v="2"/>
    <x v="1"/>
    <s v="TEC-PH-10000213"/>
    <x v="0"/>
    <x v="0"/>
    <s v="Seidio BD2-HK3IPH5-BK DILEX Case and Holster Combo for Apple iPhone 5/5s - Black"/>
    <n v="49.616"/>
    <n v="2"/>
    <n v="4.9615999999999998"/>
    <x v="6"/>
    <x v="3"/>
    <x v="5"/>
    <n v="0.1"/>
  </r>
  <r>
    <s v="US-2016-155173"/>
    <x v="748"/>
    <d v="2016-03-10T00:00:00"/>
    <x v="0"/>
    <s v="JB-16045"/>
    <s v="Julia Barnett"/>
    <x v="2"/>
    <s v="United States"/>
    <x v="20"/>
    <x v="12"/>
    <x v="2"/>
    <s v="TEC-PH-10004586"/>
    <x v="0"/>
    <x v="0"/>
    <s v="Wilson SignalBoost 841262 DB PRO Amplifier Kit"/>
    <n v="431.94"/>
    <n v="2"/>
    <n v="-71.989999999999995"/>
    <x v="1"/>
    <x v="1"/>
    <x v="5"/>
    <n v="-0.16666666666666699"/>
  </r>
  <r>
    <s v="US-2016-155173"/>
    <x v="748"/>
    <d v="2016-03-10T00:00:00"/>
    <x v="0"/>
    <s v="JB-16045"/>
    <s v="Julia Barnett"/>
    <x v="2"/>
    <s v="United States"/>
    <x v="20"/>
    <x v="12"/>
    <x v="2"/>
    <s v="TEC-PH-10002538"/>
    <x v="0"/>
    <x v="0"/>
    <s v="Grandstream GXP1160 VoIP phone"/>
    <n v="68.238"/>
    <n v="3"/>
    <n v="-12.510300000000001"/>
    <x v="1"/>
    <x v="1"/>
    <x v="5"/>
    <n v="-0.18333333333333299"/>
  </r>
  <r>
    <s v="CA-2014-131387"/>
    <x v="749"/>
    <d v="2014-04-30T00:00:00"/>
    <x v="2"/>
    <s v="AI-10855"/>
    <s v="Arianne Irving"/>
    <x v="0"/>
    <s v="United States"/>
    <x v="1"/>
    <x v="0"/>
    <x v="0"/>
    <s v="TEC-PH-10001459"/>
    <x v="0"/>
    <x v="0"/>
    <s v="Samsung Galaxy Mega 6.3"/>
    <n v="1679.96"/>
    <n v="5"/>
    <n v="125.997"/>
    <x v="2"/>
    <x v="0"/>
    <x v="9"/>
    <n v="7.4999999999999997E-2"/>
  </r>
  <r>
    <s v="CA-2016-154081"/>
    <x v="311"/>
    <d v="2016-05-29T00:00:00"/>
    <x v="0"/>
    <s v="JE-15610"/>
    <s v="Jim Epp"/>
    <x v="1"/>
    <s v="United States"/>
    <x v="0"/>
    <x v="0"/>
    <x v="0"/>
    <s v="TEC-PH-10001918"/>
    <x v="0"/>
    <x v="0"/>
    <s v="Nortel Business Series Terminal T7208 Digital phone"/>
    <n v="222.38399999999999"/>
    <n v="2"/>
    <n v="22.238399999999999"/>
    <x v="5"/>
    <x v="1"/>
    <x v="11"/>
    <n v="0.1"/>
  </r>
  <r>
    <s v="CA-2014-100881"/>
    <x v="750"/>
    <d v="2014-04-01T00:00:00"/>
    <x v="0"/>
    <s v="DR-12940"/>
    <s v="Daniel Raglin"/>
    <x v="2"/>
    <s v="United States"/>
    <x v="150"/>
    <x v="29"/>
    <x v="0"/>
    <s v="TEC-PH-10003273"/>
    <x v="0"/>
    <x v="0"/>
    <s v="AT&amp;T TR1909W"/>
    <n v="302.37599999999998"/>
    <n v="3"/>
    <n v="22.6782"/>
    <x v="1"/>
    <x v="0"/>
    <x v="5"/>
    <n v="7.4999999999999997E-2"/>
  </r>
  <r>
    <s v="CA-2015-144043"/>
    <x v="751"/>
    <d v="2015-05-15T00:00:00"/>
    <x v="0"/>
    <s v="AB-10165"/>
    <s v="Alan Barnes"/>
    <x v="0"/>
    <s v="United States"/>
    <x v="39"/>
    <x v="7"/>
    <x v="0"/>
    <s v="TEC-AC-10002718"/>
    <x v="0"/>
    <x v="1"/>
    <s v="Belkin Standard 104 key USB Keyboard"/>
    <n v="46.688000000000002"/>
    <n v="4"/>
    <n v="-2.9180000000000001"/>
    <x v="0"/>
    <x v="2"/>
    <x v="11"/>
    <n v="-6.25E-2"/>
  </r>
  <r>
    <s v="US-2017-132031"/>
    <x v="459"/>
    <d v="2017-04-27T00:00:00"/>
    <x v="0"/>
    <s v="PN-18775"/>
    <s v="Parhena Norris"/>
    <x v="2"/>
    <s v="United States"/>
    <x v="310"/>
    <x v="44"/>
    <x v="3"/>
    <s v="TEC-AC-10002473"/>
    <x v="0"/>
    <x v="1"/>
    <s v="Maxell 4.7GB DVD-R"/>
    <n v="45.408000000000001"/>
    <n v="2"/>
    <n v="11.919600000000001"/>
    <x v="1"/>
    <x v="3"/>
    <x v="9"/>
    <n v="0.26250000000000001"/>
  </r>
  <r>
    <s v="CA-2015-145758"/>
    <x v="256"/>
    <d v="2015-10-30T00:00:00"/>
    <x v="3"/>
    <s v="BF-11020"/>
    <s v="Barry Französisch"/>
    <x v="1"/>
    <s v="United States"/>
    <x v="7"/>
    <x v="5"/>
    <x v="2"/>
    <s v="TEC-MA-10004552"/>
    <x v="0"/>
    <x v="2"/>
    <s v="Star Micronics TSP100 TSP143LAN Receipt Printer"/>
    <n v="1035.8"/>
    <n v="4"/>
    <n v="269.30799999999999"/>
    <x v="7"/>
    <x v="2"/>
    <x v="7"/>
    <n v="0.26"/>
  </r>
  <r>
    <s v="CA-2014-109890"/>
    <x v="752"/>
    <d v="2014-07-27T00:00:00"/>
    <x v="0"/>
    <s v="PG-18820"/>
    <s v="Patrick Gardner"/>
    <x v="0"/>
    <s v="United States"/>
    <x v="70"/>
    <x v="25"/>
    <x v="1"/>
    <s v="TEC-PH-10004100"/>
    <x v="0"/>
    <x v="0"/>
    <s v="Griffin GC17055 Auxiliary Audio Cable"/>
    <n v="35.979999999999997"/>
    <n v="2"/>
    <n v="10.074400000000001"/>
    <x v="3"/>
    <x v="0"/>
    <x v="10"/>
    <n v="0.28000000000000003"/>
  </r>
  <r>
    <s v="CA-2016-158841"/>
    <x v="753"/>
    <d v="2016-02-04T00:00:00"/>
    <x v="1"/>
    <s v="SE-20110"/>
    <s v="Sanjit Engle"/>
    <x v="0"/>
    <s v="United States"/>
    <x v="130"/>
    <x v="23"/>
    <x v="3"/>
    <s v="TEC-MA-10001127"/>
    <x v="0"/>
    <x v="2"/>
    <s v="HP Designjet T520 Inkjet Large Format Printer - 24&quot; Color"/>
    <n v="8749.9500000000007"/>
    <n v="5"/>
    <n v="2799.9839999999999"/>
    <x v="2"/>
    <x v="1"/>
    <x v="8"/>
    <n v="0.32"/>
  </r>
  <r>
    <s v="CA-2015-109190"/>
    <x v="460"/>
    <d v="2015-10-28T00:00:00"/>
    <x v="0"/>
    <s v="CC-12685"/>
    <s v="Craig Carroll"/>
    <x v="0"/>
    <s v="United States"/>
    <x v="311"/>
    <x v="1"/>
    <x v="1"/>
    <s v="TEC-CO-10001943"/>
    <x v="0"/>
    <x v="3"/>
    <s v="Canon PC-428 Personal Copier"/>
    <n v="479.976"/>
    <n v="3"/>
    <n v="161.99189999999999"/>
    <x v="0"/>
    <x v="2"/>
    <x v="7"/>
    <n v="0.33750000000000002"/>
  </r>
  <r>
    <s v="CA-2016-143154"/>
    <x v="645"/>
    <d v="2016-12-08T00:00:00"/>
    <x v="0"/>
    <s v="AS-10225"/>
    <s v="Alan Schoenberger"/>
    <x v="1"/>
    <s v="United States"/>
    <x v="312"/>
    <x v="7"/>
    <x v="0"/>
    <s v="TEC-AC-10002942"/>
    <x v="0"/>
    <x v="1"/>
    <s v="WD My Passport Ultra 1TB Portable External Hard Drive"/>
    <n v="165.6"/>
    <n v="3"/>
    <n v="-6.21"/>
    <x v="3"/>
    <x v="1"/>
    <x v="3"/>
    <n v="-3.7499999999999999E-2"/>
  </r>
  <r>
    <s v="CA-2014-169061"/>
    <x v="754"/>
    <d v="2014-03-08T00:00:00"/>
    <x v="1"/>
    <s v="AB-10150"/>
    <s v="Aimee Bixby"/>
    <x v="0"/>
    <s v="United States"/>
    <x v="88"/>
    <x v="5"/>
    <x v="2"/>
    <s v="TEC-AC-10002001"/>
    <x v="0"/>
    <x v="1"/>
    <s v="Logitech Wireless Gaming Headset G930"/>
    <n v="479.97"/>
    <n v="3"/>
    <n v="177.5889"/>
    <x v="6"/>
    <x v="0"/>
    <x v="5"/>
    <n v="0.37"/>
  </r>
  <r>
    <s v="CA-2015-102316"/>
    <x v="755"/>
    <d v="2015-03-03T00:00:00"/>
    <x v="1"/>
    <s v="DH-13075"/>
    <s v="Dave Hallsten"/>
    <x v="1"/>
    <s v="United States"/>
    <x v="0"/>
    <x v="0"/>
    <x v="0"/>
    <s v="TEC-PH-10000376"/>
    <x v="0"/>
    <x v="0"/>
    <s v="Square Credit Card Reader"/>
    <n v="15.984"/>
    <n v="2"/>
    <n v="1.1988000000000001"/>
    <x v="2"/>
    <x v="2"/>
    <x v="5"/>
    <n v="7.4999999999999997E-2"/>
  </r>
  <r>
    <s v="CA-2016-130400"/>
    <x v="150"/>
    <d v="2016-03-12T00:00:00"/>
    <x v="0"/>
    <s v="SJ-20125"/>
    <s v="Sanjit Jacobs"/>
    <x v="2"/>
    <s v="United States"/>
    <x v="26"/>
    <x v="1"/>
    <x v="1"/>
    <s v="TEC-AC-10004633"/>
    <x v="0"/>
    <x v="1"/>
    <s v="Verbatim 25 GB 6x Blu-ray Single Layer Recordable Disc, 3/Pack"/>
    <n v="27.96"/>
    <n v="5"/>
    <n v="8.3879999999999999"/>
    <x v="1"/>
    <x v="1"/>
    <x v="5"/>
    <n v="0.3"/>
  </r>
  <r>
    <s v="CA-2015-135853"/>
    <x v="271"/>
    <d v="2015-12-14T00:00:00"/>
    <x v="2"/>
    <s v="CA-12775"/>
    <s v="Cynthia Arntzen"/>
    <x v="0"/>
    <s v="United States"/>
    <x v="77"/>
    <x v="14"/>
    <x v="1"/>
    <s v="TEC-AC-10004761"/>
    <x v="0"/>
    <x v="1"/>
    <s v="Maxell 4.7GB DVD+RW 3/Pack"/>
    <n v="175.23"/>
    <n v="11"/>
    <n v="61.330500000000001"/>
    <x v="6"/>
    <x v="2"/>
    <x v="3"/>
    <n v="0.35"/>
  </r>
  <r>
    <s v="CA-2015-135853"/>
    <x v="271"/>
    <d v="2015-12-14T00:00:00"/>
    <x v="2"/>
    <s v="CA-12775"/>
    <s v="Cynthia Arntzen"/>
    <x v="0"/>
    <s v="United States"/>
    <x v="77"/>
    <x v="14"/>
    <x v="1"/>
    <s v="TEC-PH-10003691"/>
    <x v="0"/>
    <x v="0"/>
    <s v="BlackBerry Q10"/>
    <n v="125.99"/>
    <n v="1"/>
    <n v="31.497499999999999"/>
    <x v="6"/>
    <x v="2"/>
    <x v="3"/>
    <n v="0.25"/>
  </r>
  <r>
    <s v="US-2016-160206"/>
    <x v="64"/>
    <d v="2016-04-07T00:00:00"/>
    <x v="0"/>
    <s v="MY-18295"/>
    <s v="Muhammed Yedwab"/>
    <x v="1"/>
    <s v="United States"/>
    <x v="78"/>
    <x v="10"/>
    <x v="1"/>
    <s v="TEC-PH-10000148"/>
    <x v="0"/>
    <x v="0"/>
    <s v="Cyber Acoustics AC-202b Speech Recognition Stereo Headset"/>
    <n v="12.99"/>
    <n v="1"/>
    <n v="0.25979999999999998"/>
    <x v="3"/>
    <x v="1"/>
    <x v="9"/>
    <n v="0.02"/>
  </r>
  <r>
    <s v="CA-2017-161172"/>
    <x v="260"/>
    <d v="2017-03-16T00:00:00"/>
    <x v="3"/>
    <s v="SP-20920"/>
    <s v="Susan Pistek"/>
    <x v="0"/>
    <s v="United States"/>
    <x v="16"/>
    <x v="9"/>
    <x v="2"/>
    <s v="TEC-PH-10004348"/>
    <x v="0"/>
    <x v="0"/>
    <s v="OtterBox Defender Series Case - iPhone 5c"/>
    <n v="44.375999999999998"/>
    <n v="2"/>
    <n v="-7.3959999999999999"/>
    <x v="7"/>
    <x v="3"/>
    <x v="5"/>
    <n v="-0.16666666666666699"/>
  </r>
  <r>
    <s v="CA-2017-161172"/>
    <x v="260"/>
    <d v="2017-03-16T00:00:00"/>
    <x v="3"/>
    <s v="SP-20920"/>
    <s v="Susan Pistek"/>
    <x v="0"/>
    <s v="United States"/>
    <x v="16"/>
    <x v="9"/>
    <x v="2"/>
    <s v="TEC-AC-10004571"/>
    <x v="0"/>
    <x v="1"/>
    <s v="Logitech G700s Rechargeable Gaming Mouse"/>
    <n v="159.98400000000001"/>
    <n v="2"/>
    <n v="43.995600000000003"/>
    <x v="7"/>
    <x v="3"/>
    <x v="5"/>
    <n v="0.27500000000000002"/>
  </r>
  <r>
    <s v="US-2014-163146"/>
    <x v="756"/>
    <d v="2014-05-20T00:00:00"/>
    <x v="0"/>
    <s v="CC-12475"/>
    <s v="Cindy Chapman"/>
    <x v="0"/>
    <s v="United States"/>
    <x v="1"/>
    <x v="0"/>
    <x v="0"/>
    <s v="TEC-AC-10002217"/>
    <x v="0"/>
    <x v="1"/>
    <s v="Imation Clip USB flash drive - 8 GB"/>
    <n v="56.4"/>
    <n v="3"/>
    <n v="3.3839999999999999"/>
    <x v="1"/>
    <x v="0"/>
    <x v="11"/>
    <n v="0.06"/>
  </r>
  <r>
    <s v="CA-2017-147354"/>
    <x v="258"/>
    <d v="2017-03-13T00:00:00"/>
    <x v="0"/>
    <s v="KB-16315"/>
    <s v="Karl Braun"/>
    <x v="0"/>
    <s v="United States"/>
    <x v="0"/>
    <x v="0"/>
    <x v="0"/>
    <s v="TEC-CO-10000971"/>
    <x v="0"/>
    <x v="3"/>
    <s v="Hewlett Packard 310 Color Digital Copier"/>
    <n v="479.98399999999998"/>
    <n v="2"/>
    <n v="59.997999999999998"/>
    <x v="1"/>
    <x v="3"/>
    <x v="5"/>
    <n v="0.125"/>
  </r>
  <r>
    <s v="CA-2014-137575"/>
    <x v="447"/>
    <d v="2014-08-11T00:00:00"/>
    <x v="0"/>
    <s v="TB-21625"/>
    <s v="Trudy Brown"/>
    <x v="0"/>
    <s v="United States"/>
    <x v="7"/>
    <x v="5"/>
    <x v="2"/>
    <s v="TEC-AC-10004571"/>
    <x v="0"/>
    <x v="1"/>
    <s v="Logitech G700s Rechargeable Gaming Mouse"/>
    <n v="199.98"/>
    <n v="2"/>
    <n v="83.991600000000005"/>
    <x v="0"/>
    <x v="0"/>
    <x v="1"/>
    <n v="0.42"/>
  </r>
  <r>
    <s v="CA-2015-149566"/>
    <x v="483"/>
    <d v="2015-12-10T00:00:00"/>
    <x v="0"/>
    <s v="GB-14530"/>
    <s v="George Bell"/>
    <x v="1"/>
    <s v="United States"/>
    <x v="0"/>
    <x v="0"/>
    <x v="0"/>
    <s v="TEC-AC-10001266"/>
    <x v="0"/>
    <x v="1"/>
    <s v="Memorex Micro Travel Drive 8 GB"/>
    <n v="39"/>
    <n v="3"/>
    <n v="17.55"/>
    <x v="0"/>
    <x v="2"/>
    <x v="3"/>
    <n v="0.45"/>
  </r>
  <r>
    <s v="CA-2014-140473"/>
    <x v="717"/>
    <d v="2014-06-03T00:00:00"/>
    <x v="0"/>
    <s v="MC-17425"/>
    <s v="Mark Cousins"/>
    <x v="1"/>
    <s v="United States"/>
    <x v="11"/>
    <x v="2"/>
    <x v="1"/>
    <s v="TEC-CO-10004202"/>
    <x v="0"/>
    <x v="3"/>
    <s v="Brother DCP1000 Digital 3 in 1 Multifunction Machine"/>
    <n v="719.976"/>
    <n v="3"/>
    <n v="134.99549999999999"/>
    <x v="1"/>
    <x v="0"/>
    <x v="11"/>
    <n v="0.1875"/>
  </r>
  <r>
    <s v="US-2017-102904"/>
    <x v="335"/>
    <d v="2017-11-20T00:00:00"/>
    <x v="0"/>
    <s v="CB-12025"/>
    <s v="Cassandra Brandow"/>
    <x v="0"/>
    <s v="United States"/>
    <x v="22"/>
    <x v="20"/>
    <x v="3"/>
    <s v="TEC-AC-10000927"/>
    <x v="0"/>
    <x v="1"/>
    <s v="Anker Ultrathin Bluetooth Wireless Keyboard Aluminum Cover with Stand "/>
    <n v="239.92"/>
    <n v="8"/>
    <n v="23.992000000000001"/>
    <x v="5"/>
    <x v="3"/>
    <x v="6"/>
    <n v="0.1"/>
  </r>
  <r>
    <s v="CA-2015-117884"/>
    <x v="76"/>
    <d v="2015-03-22T00:00:00"/>
    <x v="3"/>
    <s v="DC-13285"/>
    <s v="Debra Catini"/>
    <x v="0"/>
    <s v="United States"/>
    <x v="198"/>
    <x v="15"/>
    <x v="3"/>
    <s v="TEC-AC-10002567"/>
    <x v="0"/>
    <x v="1"/>
    <s v="Logitech G602 Wireless Gaming Mouse"/>
    <n v="447.94400000000002"/>
    <n v="7"/>
    <n v="89.588800000000006"/>
    <x v="7"/>
    <x v="2"/>
    <x v="5"/>
    <n v="0.2"/>
  </r>
  <r>
    <s v="CA-2016-132829"/>
    <x v="650"/>
    <d v="2016-12-26T00:00:00"/>
    <x v="1"/>
    <s v="LA-16780"/>
    <s v="Laura Armstrong"/>
    <x v="1"/>
    <s v="United States"/>
    <x v="3"/>
    <x v="1"/>
    <x v="1"/>
    <s v="TEC-PH-10004539"/>
    <x v="0"/>
    <x v="0"/>
    <s v="Wireless Extenders zBoost YX545 SOHO Signal Booster"/>
    <n v="453.57600000000002"/>
    <n v="3"/>
    <n v="39.687899999999999"/>
    <x v="6"/>
    <x v="1"/>
    <x v="3"/>
    <n v="8.7499999999999994E-2"/>
  </r>
  <r>
    <s v="CA-2016-132829"/>
    <x v="650"/>
    <d v="2016-12-26T00:00:00"/>
    <x v="1"/>
    <s v="LA-16780"/>
    <s v="Laura Armstrong"/>
    <x v="1"/>
    <s v="United States"/>
    <x v="3"/>
    <x v="1"/>
    <x v="1"/>
    <s v="TEC-PH-10004345"/>
    <x v="0"/>
    <x v="0"/>
    <s v="Cisco SPA 502G IP Phone"/>
    <n v="287.88"/>
    <n v="3"/>
    <n v="35.984999999999999"/>
    <x v="6"/>
    <x v="1"/>
    <x v="3"/>
    <n v="0.125"/>
  </r>
  <r>
    <s v="CA-2016-132829"/>
    <x v="650"/>
    <d v="2016-12-26T00:00:00"/>
    <x v="1"/>
    <s v="LA-16780"/>
    <s v="Laura Armstrong"/>
    <x v="1"/>
    <s v="United States"/>
    <x v="3"/>
    <x v="1"/>
    <x v="1"/>
    <s v="TEC-PH-10004912"/>
    <x v="0"/>
    <x v="0"/>
    <s v="Cisco SPA112 2 Port Phone Adapter"/>
    <n v="131.88"/>
    <n v="3"/>
    <n v="14.836499999999999"/>
    <x v="6"/>
    <x v="1"/>
    <x v="3"/>
    <n v="0.1125"/>
  </r>
  <r>
    <s v="CA-2016-134110"/>
    <x v="757"/>
    <d v="2016-11-18T00:00:00"/>
    <x v="2"/>
    <s v="BG-11035"/>
    <s v="Barry Gonzalez"/>
    <x v="0"/>
    <s v="United States"/>
    <x v="313"/>
    <x v="1"/>
    <x v="1"/>
    <s v="TEC-PH-10002350"/>
    <x v="0"/>
    <x v="0"/>
    <s v="Apple EarPods with Remote and Mic"/>
    <n v="67.176000000000002"/>
    <n v="3"/>
    <n v="6.7176"/>
    <x v="4"/>
    <x v="1"/>
    <x v="6"/>
    <n v="0.1"/>
  </r>
  <r>
    <s v="CA-2016-162390"/>
    <x v="365"/>
    <d v="2016-12-12T00:00:00"/>
    <x v="0"/>
    <s v="DP-13105"/>
    <s v="Dave Poirier"/>
    <x v="1"/>
    <s v="United States"/>
    <x v="183"/>
    <x v="5"/>
    <x v="2"/>
    <s v="TEC-CO-10004202"/>
    <x v="0"/>
    <x v="3"/>
    <s v="Brother DCP1000 Digital 3 in 1 Multifunction Machine"/>
    <n v="479.98399999999998"/>
    <n v="2"/>
    <n v="89.997"/>
    <x v="3"/>
    <x v="1"/>
    <x v="3"/>
    <n v="0.1875"/>
  </r>
  <r>
    <s v="CA-2014-121629"/>
    <x v="582"/>
    <d v="2014-12-02T00:00:00"/>
    <x v="0"/>
    <s v="BT-11680"/>
    <s v="Brian Thompson"/>
    <x v="0"/>
    <s v="United States"/>
    <x v="3"/>
    <x v="1"/>
    <x v="1"/>
    <s v="TEC-MA-10004679"/>
    <x v="0"/>
    <x v="2"/>
    <s v="StarTech.com 10/100 VDSL2 Ethernet Extender Kit"/>
    <n v="998.85"/>
    <n v="5"/>
    <n v="-199.77"/>
    <x v="1"/>
    <x v="0"/>
    <x v="6"/>
    <n v="-0.2"/>
  </r>
  <r>
    <s v="CA-2014-130673"/>
    <x v="758"/>
    <d v="2014-05-22T00:00:00"/>
    <x v="1"/>
    <s v="MC-17590"/>
    <s v="Matt Collister"/>
    <x v="1"/>
    <s v="United States"/>
    <x v="314"/>
    <x v="1"/>
    <x v="1"/>
    <s v="TEC-AC-10004227"/>
    <x v="0"/>
    <x v="1"/>
    <s v="SanDisk Ultra 16 GB MicroSDHC Class 10 Memory Card"/>
    <n v="20.783999999999999"/>
    <n v="2"/>
    <n v="-3.6372"/>
    <x v="2"/>
    <x v="0"/>
    <x v="11"/>
    <n v="-0.17499999999999999"/>
  </r>
  <r>
    <s v="CA-2017-162015"/>
    <x v="341"/>
    <d v="2017-07-18T00:00:00"/>
    <x v="0"/>
    <s v="KB-16240"/>
    <s v="Karen Bern"/>
    <x v="1"/>
    <s v="United States"/>
    <x v="0"/>
    <x v="0"/>
    <x v="0"/>
    <s v="TEC-AC-10003832"/>
    <x v="0"/>
    <x v="1"/>
    <s v="Logitech P710e Mobile Speakerphone"/>
    <n v="1287.45"/>
    <n v="5"/>
    <n v="244.6155"/>
    <x v="5"/>
    <x v="3"/>
    <x v="10"/>
    <n v="0.19"/>
  </r>
  <r>
    <s v="CA-2017-159667"/>
    <x v="308"/>
    <d v="2017-11-13T00:00:00"/>
    <x v="0"/>
    <s v="PM-19135"/>
    <s v="Peter McVee"/>
    <x v="2"/>
    <s v="United States"/>
    <x v="42"/>
    <x v="15"/>
    <x v="3"/>
    <s v="TEC-AC-10002567"/>
    <x v="0"/>
    <x v="1"/>
    <s v="Logitech G602 Wireless Gaming Mouse"/>
    <n v="191.976"/>
    <n v="3"/>
    <n v="38.395200000000003"/>
    <x v="1"/>
    <x v="3"/>
    <x v="6"/>
    <n v="0.2"/>
  </r>
  <r>
    <s v="CA-2017-159667"/>
    <x v="308"/>
    <d v="2017-11-13T00:00:00"/>
    <x v="0"/>
    <s v="PM-19135"/>
    <s v="Peter McVee"/>
    <x v="2"/>
    <s v="United States"/>
    <x v="42"/>
    <x v="15"/>
    <x v="3"/>
    <s v="TEC-PH-10004094"/>
    <x v="0"/>
    <x v="0"/>
    <s v="Motorola L703CM"/>
    <n v="499.16800000000001"/>
    <n v="4"/>
    <n v="31.198"/>
    <x v="1"/>
    <x v="3"/>
    <x v="6"/>
    <n v="6.25E-2"/>
  </r>
  <r>
    <s v="US-2014-133949"/>
    <x v="270"/>
    <d v="2014-12-31T00:00:00"/>
    <x v="3"/>
    <s v="JL-15175"/>
    <s v="James Lanier"/>
    <x v="2"/>
    <s v="United States"/>
    <x v="315"/>
    <x v="36"/>
    <x v="0"/>
    <s v="TEC-PH-10004908"/>
    <x v="0"/>
    <x v="0"/>
    <s v="Panasonic KX TS3282W Corded phone"/>
    <n v="475.94400000000002"/>
    <n v="7"/>
    <n v="59.493000000000002"/>
    <x v="7"/>
    <x v="0"/>
    <x v="3"/>
    <n v="0.125"/>
  </r>
  <r>
    <s v="US-2016-116365"/>
    <x v="759"/>
    <d v="2016-01-08T00:00:00"/>
    <x v="0"/>
    <s v="CA-12310"/>
    <s v="Christine Abelman"/>
    <x v="1"/>
    <s v="United States"/>
    <x v="21"/>
    <x v="1"/>
    <x v="1"/>
    <s v="TEC-AC-10002217"/>
    <x v="0"/>
    <x v="1"/>
    <s v="Imation Clip USB flash drive - 8 GB"/>
    <n v="30.08"/>
    <n v="2"/>
    <n v="-5.2640000000000002"/>
    <x v="0"/>
    <x v="1"/>
    <x v="2"/>
    <n v="-0.17499999999999999"/>
  </r>
  <r>
    <s v="US-2016-116365"/>
    <x v="759"/>
    <d v="2016-01-08T00:00:00"/>
    <x v="0"/>
    <s v="CA-12310"/>
    <s v="Christine Abelman"/>
    <x v="1"/>
    <s v="United States"/>
    <x v="21"/>
    <x v="1"/>
    <x v="1"/>
    <s v="TEC-AC-10002942"/>
    <x v="0"/>
    <x v="1"/>
    <s v="WD My Passport Ultra 1TB Portable External Hard Drive"/>
    <n v="165.6"/>
    <n v="3"/>
    <n v="-6.21"/>
    <x v="0"/>
    <x v="1"/>
    <x v="2"/>
    <n v="-3.7499999999999999E-2"/>
  </r>
  <r>
    <s v="US-2016-116365"/>
    <x v="759"/>
    <d v="2016-01-08T00:00:00"/>
    <x v="0"/>
    <s v="CA-12310"/>
    <s v="Christine Abelman"/>
    <x v="1"/>
    <s v="United States"/>
    <x v="21"/>
    <x v="1"/>
    <x v="1"/>
    <s v="TEC-PH-10002890"/>
    <x v="0"/>
    <x v="0"/>
    <s v="AT&amp;T 17929 Lendline Telephone"/>
    <n v="180.96"/>
    <n v="5"/>
    <n v="13.571999999999999"/>
    <x v="0"/>
    <x v="1"/>
    <x v="2"/>
    <n v="7.4999999999999997E-2"/>
  </r>
  <r>
    <s v="CA-2017-162936"/>
    <x v="91"/>
    <d v="2017-08-22T00:00:00"/>
    <x v="0"/>
    <s v="CM-12160"/>
    <s v="Charles McCrossin"/>
    <x v="0"/>
    <s v="United States"/>
    <x v="262"/>
    <x v="35"/>
    <x v="2"/>
    <s v="TEC-AC-10003614"/>
    <x v="0"/>
    <x v="1"/>
    <s v="Verbatim 25 GB 6x Blu-ray Single Layer Recordable Disc, 10/Pack"/>
    <n v="23.18"/>
    <n v="2"/>
    <n v="7.6494"/>
    <x v="1"/>
    <x v="3"/>
    <x v="1"/>
    <n v="0.33"/>
  </r>
  <r>
    <s v="CA-2017-123624"/>
    <x v="335"/>
    <d v="2017-11-17T00:00:00"/>
    <x v="1"/>
    <s v="SE-20110"/>
    <s v="Sanjit Engle"/>
    <x v="0"/>
    <s v="United States"/>
    <x v="316"/>
    <x v="0"/>
    <x v="0"/>
    <s v="TEC-AC-10000682"/>
    <x v="0"/>
    <x v="1"/>
    <s v="Kensington K72356US Mouse-in-a-Box USB Desktop Mouse"/>
    <n v="82.95"/>
    <n v="5"/>
    <n v="29.032499999999999"/>
    <x v="1"/>
    <x v="3"/>
    <x v="6"/>
    <n v="0.35"/>
  </r>
  <r>
    <s v="CA-2016-138233"/>
    <x v="760"/>
    <d v="2016-11-14T00:00:00"/>
    <x v="0"/>
    <s v="PF-19165"/>
    <s v="Philip Fox"/>
    <x v="0"/>
    <s v="United States"/>
    <x v="89"/>
    <x v="0"/>
    <x v="0"/>
    <s v="TEC-AC-10002001"/>
    <x v="0"/>
    <x v="1"/>
    <s v="Logitech Wireless Gaming Headset G930"/>
    <n v="479.97"/>
    <n v="3"/>
    <n v="177.5889"/>
    <x v="0"/>
    <x v="1"/>
    <x v="6"/>
    <n v="0.37"/>
  </r>
  <r>
    <s v="CA-2015-136147"/>
    <x v="15"/>
    <d v="2015-11-18T00:00:00"/>
    <x v="0"/>
    <s v="FM-14380"/>
    <s v="Fred McMath"/>
    <x v="0"/>
    <s v="United States"/>
    <x v="56"/>
    <x v="15"/>
    <x v="3"/>
    <s v="TEC-AC-10004568"/>
    <x v="0"/>
    <x v="1"/>
    <s v="Maxell LTO Ultrium - 800 GB"/>
    <n v="111.96"/>
    <n v="5"/>
    <n v="-1.3995"/>
    <x v="0"/>
    <x v="2"/>
    <x v="6"/>
    <n v="-1.2500000000000001E-2"/>
  </r>
  <r>
    <s v="CA-2015-164084"/>
    <x v="544"/>
    <d v="2015-09-12T00:00:00"/>
    <x v="0"/>
    <s v="AG-10525"/>
    <s v="Andy Gerbode"/>
    <x v="1"/>
    <s v="United States"/>
    <x v="7"/>
    <x v="5"/>
    <x v="2"/>
    <s v="TEC-AC-10002305"/>
    <x v="0"/>
    <x v="1"/>
    <s v="KeyTronic E03601U1 - Keyboard - Beige"/>
    <n v="90"/>
    <n v="5"/>
    <n v="16.2"/>
    <x v="0"/>
    <x v="2"/>
    <x v="4"/>
    <n v="0.18"/>
  </r>
  <r>
    <s v="CA-2017-118346"/>
    <x v="500"/>
    <d v="2017-07-24T00:00:00"/>
    <x v="2"/>
    <s v="PO-19180"/>
    <s v="Philisse Overcash"/>
    <x v="2"/>
    <s v="United States"/>
    <x v="123"/>
    <x v="10"/>
    <x v="1"/>
    <s v="TEC-AC-10000736"/>
    <x v="0"/>
    <x v="1"/>
    <s v="Logitech G600 MMO Gaming Mouse"/>
    <n v="399.95"/>
    <n v="5"/>
    <n v="143.982"/>
    <x v="4"/>
    <x v="3"/>
    <x v="10"/>
    <n v="0.36"/>
  </r>
  <r>
    <s v="CA-2014-142769"/>
    <x v="133"/>
    <d v="2014-09-13T00:00:00"/>
    <x v="3"/>
    <s v="RP-19390"/>
    <s v="Resi Pölking"/>
    <x v="0"/>
    <s v="United States"/>
    <x v="45"/>
    <x v="17"/>
    <x v="0"/>
    <s v="TEC-AC-10001606"/>
    <x v="0"/>
    <x v="1"/>
    <s v="Logitech Wireless Performance Mouse MX for PC and Mac"/>
    <n v="199.98"/>
    <n v="2"/>
    <n v="75.992400000000004"/>
    <x v="7"/>
    <x v="0"/>
    <x v="4"/>
    <n v="0.38"/>
  </r>
  <r>
    <s v="CA-2014-142769"/>
    <x v="133"/>
    <d v="2014-09-13T00:00:00"/>
    <x v="3"/>
    <s v="RP-19390"/>
    <s v="Resi Pölking"/>
    <x v="0"/>
    <s v="United States"/>
    <x v="45"/>
    <x v="17"/>
    <x v="0"/>
    <s v="TEC-AC-10003399"/>
    <x v="0"/>
    <x v="1"/>
    <s v="Memorex Mini Travel Drive 64 GB USB 2.0 Flash Drive"/>
    <n v="144.96"/>
    <n v="4"/>
    <n v="60.883200000000002"/>
    <x v="7"/>
    <x v="0"/>
    <x v="4"/>
    <n v="0.42"/>
  </r>
  <r>
    <s v="CA-2014-142769"/>
    <x v="133"/>
    <d v="2014-09-13T00:00:00"/>
    <x v="3"/>
    <s v="RP-19390"/>
    <s v="Resi Pölking"/>
    <x v="0"/>
    <s v="United States"/>
    <x v="45"/>
    <x v="17"/>
    <x v="0"/>
    <s v="TEC-AC-10000865"/>
    <x v="0"/>
    <x v="1"/>
    <s v="WD My Passport Ultra 500GB Portable External Hard Drive"/>
    <n v="118"/>
    <n v="2"/>
    <n v="20.059999999999999"/>
    <x v="7"/>
    <x v="0"/>
    <x v="4"/>
    <n v="0.17"/>
  </r>
  <r>
    <s v="CA-2015-131856"/>
    <x v="519"/>
    <d v="2015-05-17T00:00:00"/>
    <x v="0"/>
    <s v="JG-15160"/>
    <s v="James Galang"/>
    <x v="0"/>
    <s v="United States"/>
    <x v="3"/>
    <x v="1"/>
    <x v="1"/>
    <s v="TEC-PH-10001336"/>
    <x v="0"/>
    <x v="0"/>
    <s v="Digium D40 VoIP phone"/>
    <n v="619.15200000000004"/>
    <n v="6"/>
    <n v="69.654600000000002"/>
    <x v="0"/>
    <x v="2"/>
    <x v="11"/>
    <n v="0.1125"/>
  </r>
  <r>
    <s v="CA-2016-149916"/>
    <x v="761"/>
    <d v="2016-12-24T00:00:00"/>
    <x v="1"/>
    <s v="ED-13885"/>
    <s v="Emily Ducich"/>
    <x v="2"/>
    <s v="United States"/>
    <x v="45"/>
    <x v="17"/>
    <x v="0"/>
    <s v="TEC-MA-10000752"/>
    <x v="0"/>
    <x v="2"/>
    <s v="Texas Instrument TI-15 Fraction Calculator"/>
    <n v="11.56"/>
    <n v="1"/>
    <n v="3.7570000000000001"/>
    <x v="2"/>
    <x v="1"/>
    <x v="3"/>
    <n v="0.32500000000000001"/>
  </r>
  <r>
    <s v="CA-2016-112739"/>
    <x v="659"/>
    <d v="2016-09-07T00:00:00"/>
    <x v="1"/>
    <s v="RD-19810"/>
    <s v="Ross DeVincentis"/>
    <x v="2"/>
    <s v="United States"/>
    <x v="3"/>
    <x v="1"/>
    <x v="1"/>
    <s v="TEC-AC-10001714"/>
    <x v="0"/>
    <x v="1"/>
    <s v="Logitech MX Performance Wireless Mouse"/>
    <n v="159.56"/>
    <n v="5"/>
    <n v="33.906500000000001"/>
    <x v="0"/>
    <x v="1"/>
    <x v="4"/>
    <n v="0.21249999999999999"/>
  </r>
  <r>
    <s v="CA-2014-133634"/>
    <x v="762"/>
    <d v="2014-11-10T00:00:00"/>
    <x v="0"/>
    <s v="SR-20740"/>
    <s v="Steven Roelle"/>
    <x v="2"/>
    <s v="United States"/>
    <x v="130"/>
    <x v="23"/>
    <x v="3"/>
    <s v="TEC-AC-10002550"/>
    <x v="0"/>
    <x v="1"/>
    <s v="Maxell 4.7GB DVD-RW 3/Pack"/>
    <n v="47.79"/>
    <n v="3"/>
    <n v="16.2486"/>
    <x v="0"/>
    <x v="0"/>
    <x v="6"/>
    <n v="0.34"/>
  </r>
  <r>
    <s v="CA-2016-155446"/>
    <x v="763"/>
    <d v="2016-12-23T00:00:00"/>
    <x v="0"/>
    <s v="TN-21040"/>
    <s v="Tanja Norvell"/>
    <x v="2"/>
    <s v="United States"/>
    <x v="30"/>
    <x v="0"/>
    <x v="0"/>
    <s v="TEC-AC-10001445"/>
    <x v="0"/>
    <x v="1"/>
    <s v="Imation USB 2.0 Swivel Flash Drive USB flash drive - 4 GB - Pink"/>
    <n v="21.21"/>
    <n v="7"/>
    <n v="4.4541000000000004"/>
    <x v="5"/>
    <x v="1"/>
    <x v="3"/>
    <n v="0.21"/>
  </r>
  <r>
    <s v="CA-2016-136770"/>
    <x v="568"/>
    <d v="2016-08-18T00:00:00"/>
    <x v="0"/>
    <s v="SP-20650"/>
    <s v="Stephanie Phelps"/>
    <x v="1"/>
    <s v="United States"/>
    <x v="217"/>
    <x v="9"/>
    <x v="2"/>
    <s v="TEC-PH-10003580"/>
    <x v="0"/>
    <x v="0"/>
    <s v="Cisco IP Phone 7961G-GE VoIP phone"/>
    <n v="259.89600000000002"/>
    <n v="2"/>
    <n v="-56.3108"/>
    <x v="1"/>
    <x v="1"/>
    <x v="1"/>
    <n v="-0.21666666666666701"/>
  </r>
  <r>
    <s v="CA-2016-136770"/>
    <x v="568"/>
    <d v="2016-08-18T00:00:00"/>
    <x v="0"/>
    <s v="SP-20650"/>
    <s v="Stephanie Phelps"/>
    <x v="1"/>
    <s v="United States"/>
    <x v="217"/>
    <x v="9"/>
    <x v="2"/>
    <s v="TEC-PH-10001530"/>
    <x v="0"/>
    <x v="0"/>
    <s v="Plantronics Voyager Pro Legend"/>
    <n v="247.18799999999999"/>
    <n v="2"/>
    <n v="-49.437600000000003"/>
    <x v="1"/>
    <x v="1"/>
    <x v="1"/>
    <n v="-0.2"/>
  </r>
  <r>
    <s v="CA-2016-136770"/>
    <x v="568"/>
    <d v="2016-08-18T00:00:00"/>
    <x v="0"/>
    <s v="SP-20650"/>
    <s v="Stephanie Phelps"/>
    <x v="1"/>
    <s v="United States"/>
    <x v="217"/>
    <x v="9"/>
    <x v="2"/>
    <s v="TEC-AC-10000420"/>
    <x v="0"/>
    <x v="1"/>
    <s v="Logitech G500s Laser Gaming Mouse with Adjustable Weight Tuning"/>
    <n v="279.95999999999998"/>
    <n v="5"/>
    <n v="48.993000000000002"/>
    <x v="1"/>
    <x v="1"/>
    <x v="1"/>
    <n v="0.17499999999999999"/>
  </r>
  <r>
    <s v="CA-2016-118311"/>
    <x v="587"/>
    <d v="2016-10-28T00:00:00"/>
    <x v="0"/>
    <s v="ED-13885"/>
    <s v="Emily Ducich"/>
    <x v="2"/>
    <s v="United States"/>
    <x v="1"/>
    <x v="0"/>
    <x v="0"/>
    <s v="TEC-AC-10000892"/>
    <x v="0"/>
    <x v="1"/>
    <s v="NETGEAR N750 Dual Band Wi-Fi Gigabit Router"/>
    <n v="450"/>
    <n v="5"/>
    <n v="162"/>
    <x v="1"/>
    <x v="1"/>
    <x v="7"/>
    <n v="0.36"/>
  </r>
  <r>
    <s v="CA-2017-119284"/>
    <x v="50"/>
    <d v="2017-06-20T00:00:00"/>
    <x v="0"/>
    <s v="TS-21205"/>
    <s v="Thomas Seio"/>
    <x v="1"/>
    <s v="United States"/>
    <x v="283"/>
    <x v="44"/>
    <x v="3"/>
    <s v="TEC-PH-10001051"/>
    <x v="0"/>
    <x v="0"/>
    <s v="HTC One"/>
    <n v="239.976"/>
    <n v="3"/>
    <n v="26.997299999999999"/>
    <x v="0"/>
    <x v="3"/>
    <x v="0"/>
    <n v="0.1125"/>
  </r>
  <r>
    <s v="CA-2017-119284"/>
    <x v="50"/>
    <d v="2017-06-20T00:00:00"/>
    <x v="0"/>
    <s v="TS-21205"/>
    <s v="Thomas Seio"/>
    <x v="1"/>
    <s v="United States"/>
    <x v="283"/>
    <x v="44"/>
    <x v="3"/>
    <s v="TEC-PH-10000560"/>
    <x v="0"/>
    <x v="0"/>
    <s v="Samsung Galaxy S III - 16GB - pebble blue (T-Mobile)"/>
    <n v="2239.9360000000001"/>
    <n v="8"/>
    <n v="223.99359999999999"/>
    <x v="0"/>
    <x v="3"/>
    <x v="0"/>
    <n v="0.1"/>
  </r>
  <r>
    <s v="CA-2016-111318"/>
    <x v="120"/>
    <d v="2016-07-26T00:00:00"/>
    <x v="2"/>
    <s v="IL-15100"/>
    <s v="Ivan Liston"/>
    <x v="0"/>
    <s v="United States"/>
    <x v="3"/>
    <x v="1"/>
    <x v="1"/>
    <s v="TEC-PH-10004100"/>
    <x v="0"/>
    <x v="0"/>
    <s v="Griffin GC17055 Auxiliary Audio Cable"/>
    <n v="115.136"/>
    <n v="8"/>
    <n v="11.5136"/>
    <x v="6"/>
    <x v="1"/>
    <x v="10"/>
    <n v="0.1"/>
  </r>
  <r>
    <s v="CA-2014-119144"/>
    <x v="450"/>
    <d v="2014-11-18T00:00:00"/>
    <x v="2"/>
    <s v="JD-16150"/>
    <s v="Justin Deggeller"/>
    <x v="1"/>
    <s v="United States"/>
    <x v="0"/>
    <x v="0"/>
    <x v="0"/>
    <s v="TEC-PH-10004188"/>
    <x v="0"/>
    <x v="0"/>
    <s v="OtterBox Commuter Series Case - Samsung Galaxy S4"/>
    <n v="79.968000000000004"/>
    <n v="4"/>
    <n v="-17.992799999999999"/>
    <x v="2"/>
    <x v="0"/>
    <x v="6"/>
    <n v="-0.22500000000000001"/>
  </r>
  <r>
    <s v="CA-2017-136623"/>
    <x v="341"/>
    <d v="2017-07-16T00:00:00"/>
    <x v="0"/>
    <s v="TS-21430"/>
    <s v="Tom Stivers"/>
    <x v="1"/>
    <s v="United States"/>
    <x v="30"/>
    <x v="0"/>
    <x v="0"/>
    <s v="TEC-PH-10000004"/>
    <x v="0"/>
    <x v="0"/>
    <s v="Belkin iPhone and iPad Lightning Cable"/>
    <n v="71.951999999999998"/>
    <n v="6"/>
    <n v="5.3963999999999999"/>
    <x v="0"/>
    <x v="3"/>
    <x v="10"/>
    <n v="7.4999999999999997E-2"/>
  </r>
  <r>
    <s v="CA-2015-103870"/>
    <x v="4"/>
    <d v="2015-12-31T00:00:00"/>
    <x v="0"/>
    <s v="SP-20860"/>
    <s v="Sung Pak"/>
    <x v="1"/>
    <s v="United States"/>
    <x v="317"/>
    <x v="44"/>
    <x v="3"/>
    <s v="TEC-AC-10002370"/>
    <x v="0"/>
    <x v="1"/>
    <s v="Maxell CD-R Discs"/>
    <n v="4.7279999999999998"/>
    <n v="3"/>
    <n v="0.70920000000000005"/>
    <x v="1"/>
    <x v="2"/>
    <x v="3"/>
    <n v="0.15"/>
  </r>
  <r>
    <s v="CA-2015-103870"/>
    <x v="4"/>
    <d v="2015-12-31T00:00:00"/>
    <x v="0"/>
    <s v="SP-20860"/>
    <s v="Sung Pak"/>
    <x v="1"/>
    <s v="United States"/>
    <x v="317"/>
    <x v="44"/>
    <x v="3"/>
    <s v="TEC-AC-10004227"/>
    <x v="0"/>
    <x v="1"/>
    <s v="SanDisk Ultra 16 GB MicroSDHC Class 10 Memory Card"/>
    <n v="72.744"/>
    <n v="7"/>
    <n v="-12.7302"/>
    <x v="1"/>
    <x v="2"/>
    <x v="3"/>
    <n v="-0.17499999999999999"/>
  </r>
  <r>
    <s v="CA-2017-116988"/>
    <x v="764"/>
    <d v="2017-06-29T00:00:00"/>
    <x v="1"/>
    <s v="PW-19030"/>
    <s v="Pauline Webber"/>
    <x v="1"/>
    <s v="United States"/>
    <x v="45"/>
    <x v="17"/>
    <x v="0"/>
    <s v="TEC-AC-10003832"/>
    <x v="0"/>
    <x v="1"/>
    <s v="Logitech P710e Mobile Speakerphone"/>
    <n v="1287.45"/>
    <n v="5"/>
    <n v="244.6155"/>
    <x v="2"/>
    <x v="3"/>
    <x v="0"/>
    <n v="0.19"/>
  </r>
  <r>
    <s v="US-2017-131961"/>
    <x v="59"/>
    <d v="2017-12-11T00:00:00"/>
    <x v="2"/>
    <s v="MJ-17740"/>
    <s v="Max Jones"/>
    <x v="0"/>
    <s v="United States"/>
    <x v="20"/>
    <x v="12"/>
    <x v="2"/>
    <s v="TEC-PH-10001924"/>
    <x v="0"/>
    <x v="0"/>
    <s v="iHome FM Clock Radio with Lightning Dock"/>
    <n v="83.988"/>
    <n v="2"/>
    <n v="-20.997"/>
    <x v="6"/>
    <x v="3"/>
    <x v="3"/>
    <n v="-0.25"/>
  </r>
  <r>
    <s v="US-2015-144771"/>
    <x v="394"/>
    <d v="2015-10-04T00:00:00"/>
    <x v="2"/>
    <s v="CK-12205"/>
    <s v="Chloris Kastensmidt"/>
    <x v="0"/>
    <s v="United States"/>
    <x v="318"/>
    <x v="16"/>
    <x v="0"/>
    <s v="TEC-AC-10002323"/>
    <x v="0"/>
    <x v="1"/>
    <s v="SanDisk Ultra 32 GB MicroSDHC Class 10 Memory Card"/>
    <n v="53.04"/>
    <n v="3"/>
    <n v="-4.641"/>
    <x v="2"/>
    <x v="2"/>
    <x v="7"/>
    <n v="-8.7499999999999994E-2"/>
  </r>
  <r>
    <s v="CA-2017-128076"/>
    <x v="19"/>
    <d v="2017-02-07T00:00:00"/>
    <x v="0"/>
    <s v="BO-11350"/>
    <s v="Bill Overfelt"/>
    <x v="1"/>
    <s v="United States"/>
    <x v="30"/>
    <x v="0"/>
    <x v="0"/>
    <s v="TEC-MA-10002109"/>
    <x v="0"/>
    <x v="2"/>
    <s v="HP Officejet Pro 8600 e-All-In-One Printer, Copier, Scanner, Fax"/>
    <n v="239.98400000000001"/>
    <n v="2"/>
    <n v="38.997399999999999"/>
    <x v="0"/>
    <x v="3"/>
    <x v="8"/>
    <n v="0.16250000000000001"/>
  </r>
  <r>
    <s v="US-2015-163825"/>
    <x v="765"/>
    <d v="2015-06-19T00:00:00"/>
    <x v="2"/>
    <s v="LC-16885"/>
    <s v="Lena Creighton"/>
    <x v="0"/>
    <s v="United States"/>
    <x v="7"/>
    <x v="5"/>
    <x v="2"/>
    <s v="TEC-PH-10004922"/>
    <x v="0"/>
    <x v="0"/>
    <s v="RCA Visys Integrated PBX 8-Line Router"/>
    <n v="133.97999999999999"/>
    <n v="2"/>
    <n v="33.494999999999997"/>
    <x v="6"/>
    <x v="2"/>
    <x v="0"/>
    <n v="0.25"/>
  </r>
  <r>
    <s v="CA-2016-105662"/>
    <x v="330"/>
    <d v="2016-05-09T00:00:00"/>
    <x v="0"/>
    <s v="RB-19465"/>
    <s v="Rick Bensley"/>
    <x v="2"/>
    <s v="United States"/>
    <x v="156"/>
    <x v="15"/>
    <x v="3"/>
    <s v="TEC-PH-10001198"/>
    <x v="0"/>
    <x v="0"/>
    <s v="Avaya 4621SW VoIP phone"/>
    <n v="177.48"/>
    <n v="3"/>
    <n v="19.9665"/>
    <x v="1"/>
    <x v="1"/>
    <x v="11"/>
    <n v="0.1125"/>
  </r>
  <r>
    <s v="CA-2015-151722"/>
    <x v="585"/>
    <d v="2015-10-09T00:00:00"/>
    <x v="0"/>
    <s v="IL-15100"/>
    <s v="Ivan Liston"/>
    <x v="0"/>
    <s v="United States"/>
    <x v="16"/>
    <x v="9"/>
    <x v="2"/>
    <s v="TEC-AC-10000892"/>
    <x v="0"/>
    <x v="1"/>
    <s v="NETGEAR N750 Dual Band Wi-Fi Gigabit Router"/>
    <n v="288"/>
    <n v="4"/>
    <n v="57.6"/>
    <x v="1"/>
    <x v="2"/>
    <x v="7"/>
    <n v="0.2"/>
  </r>
  <r>
    <s v="CA-2016-151148"/>
    <x v="664"/>
    <d v="2016-09-13T00:00:00"/>
    <x v="3"/>
    <s v="PO-19180"/>
    <s v="Philisse Overcash"/>
    <x v="2"/>
    <s v="United States"/>
    <x v="39"/>
    <x v="7"/>
    <x v="0"/>
    <s v="TEC-PH-10001870"/>
    <x v="0"/>
    <x v="0"/>
    <s v="Lunatik TT5L-002 Taktik Strike Impact Protection System for iPhone 5"/>
    <n v="146.952"/>
    <n v="3"/>
    <n v="9.1844999999999999"/>
    <x v="4"/>
    <x v="1"/>
    <x v="4"/>
    <n v="6.25E-2"/>
  </r>
  <r>
    <s v="CA-2017-145765"/>
    <x v="310"/>
    <d v="2017-06-02T00:00:00"/>
    <x v="0"/>
    <s v="CM-11815"/>
    <s v="Candace McMahon"/>
    <x v="1"/>
    <s v="United States"/>
    <x v="80"/>
    <x v="6"/>
    <x v="0"/>
    <s v="TEC-PH-10001305"/>
    <x v="0"/>
    <x v="0"/>
    <s v="Panasonic KX TS208W Corded phone"/>
    <n v="195.96"/>
    <n v="5"/>
    <n v="19.596"/>
    <x v="0"/>
    <x v="3"/>
    <x v="11"/>
    <n v="0.1"/>
  </r>
  <r>
    <s v="CA-2017-145765"/>
    <x v="310"/>
    <d v="2017-06-02T00:00:00"/>
    <x v="0"/>
    <s v="CM-11815"/>
    <s v="Candace McMahon"/>
    <x v="1"/>
    <s v="United States"/>
    <x v="80"/>
    <x v="6"/>
    <x v="0"/>
    <s v="TEC-AC-10000844"/>
    <x v="0"/>
    <x v="1"/>
    <s v="Logitech Gaming G510s - Keyboard"/>
    <n v="271.96800000000002"/>
    <n v="4"/>
    <n v="54.393599999999999"/>
    <x v="0"/>
    <x v="3"/>
    <x v="11"/>
    <n v="0.2"/>
  </r>
  <r>
    <s v="CA-2017-162075"/>
    <x v="96"/>
    <d v="2017-03-24T00:00:00"/>
    <x v="0"/>
    <s v="TT-21220"/>
    <s v="Thomas Thornton"/>
    <x v="0"/>
    <s v="United States"/>
    <x v="3"/>
    <x v="1"/>
    <x v="1"/>
    <s v="TEC-PH-10001557"/>
    <x v="0"/>
    <x v="0"/>
    <s v="Pyle PMP37LED"/>
    <n v="537.54399999999998"/>
    <n v="7"/>
    <n v="47.0351"/>
    <x v="3"/>
    <x v="3"/>
    <x v="5"/>
    <n v="8.7499999999999994E-2"/>
  </r>
  <r>
    <s v="CA-2014-162992"/>
    <x v="63"/>
    <d v="2014-12-21T00:00:00"/>
    <x v="2"/>
    <s v="BP-11095"/>
    <s v="Bart Pistole"/>
    <x v="1"/>
    <s v="United States"/>
    <x v="0"/>
    <x v="0"/>
    <x v="0"/>
    <s v="TEC-PH-10001944"/>
    <x v="0"/>
    <x v="0"/>
    <s v="Wi-Ex zBoost YX540 Cellular Phone Signal Booster"/>
    <n v="583.79999999999995"/>
    <n v="5"/>
    <n v="72.974999999999994"/>
    <x v="2"/>
    <x v="0"/>
    <x v="3"/>
    <n v="0.125"/>
  </r>
  <r>
    <s v="CA-2014-162992"/>
    <x v="63"/>
    <d v="2014-12-21T00:00:00"/>
    <x v="2"/>
    <s v="BP-11095"/>
    <s v="Bart Pistole"/>
    <x v="1"/>
    <s v="United States"/>
    <x v="0"/>
    <x v="0"/>
    <x v="0"/>
    <s v="TEC-PH-10002085"/>
    <x v="0"/>
    <x v="0"/>
    <s v="Clarity 53712"/>
    <n v="211.16800000000001"/>
    <n v="4"/>
    <n v="15.8376"/>
    <x v="2"/>
    <x v="0"/>
    <x v="3"/>
    <n v="7.4999999999999997E-2"/>
  </r>
  <r>
    <s v="US-2016-150140"/>
    <x v="766"/>
    <d v="2016-04-10T00:00:00"/>
    <x v="0"/>
    <s v="VM-21685"/>
    <s v="Valerie Mitchum"/>
    <x v="2"/>
    <s v="United States"/>
    <x v="60"/>
    <x v="38"/>
    <x v="2"/>
    <s v="TEC-PH-10002555"/>
    <x v="0"/>
    <x v="0"/>
    <s v="Nortel Meridian M5316 Digital phone"/>
    <n v="1294.75"/>
    <n v="5"/>
    <n v="336.63499999999999"/>
    <x v="1"/>
    <x v="1"/>
    <x v="9"/>
    <n v="0.26"/>
  </r>
  <r>
    <s v="CA-2014-116666"/>
    <x v="767"/>
    <d v="2014-05-10T00:00:00"/>
    <x v="2"/>
    <s v="KT-16480"/>
    <s v="Kean Thornton"/>
    <x v="0"/>
    <s v="United States"/>
    <x v="20"/>
    <x v="12"/>
    <x v="2"/>
    <s v="TEC-CO-10001449"/>
    <x v="0"/>
    <x v="3"/>
    <s v="Hewlett Packard LaserJet 3310 Copier"/>
    <n v="1799.97"/>
    <n v="5"/>
    <n v="239.99600000000001"/>
    <x v="2"/>
    <x v="0"/>
    <x v="11"/>
    <n v="0.133333333333333"/>
  </r>
  <r>
    <s v="CA-2016-140935"/>
    <x v="437"/>
    <d v="2016-11-12T00:00:00"/>
    <x v="2"/>
    <s v="AB-10015"/>
    <s v="Aaron Bergman"/>
    <x v="0"/>
    <s v="United States"/>
    <x v="133"/>
    <x v="11"/>
    <x v="1"/>
    <s v="TEC-PH-10000562"/>
    <x v="0"/>
    <x v="0"/>
    <s v="Samsung Convoy 3"/>
    <n v="221.98"/>
    <n v="2"/>
    <n v="62.154400000000003"/>
    <x v="2"/>
    <x v="1"/>
    <x v="6"/>
    <n v="0.28000000000000003"/>
  </r>
  <r>
    <s v="CA-2014-157644"/>
    <x v="270"/>
    <d v="2015-01-01T00:00:00"/>
    <x v="2"/>
    <s v="AH-10030"/>
    <s v="Aaron Hawkins"/>
    <x v="1"/>
    <s v="United States"/>
    <x v="7"/>
    <x v="5"/>
    <x v="2"/>
    <s v="TEC-AC-10003614"/>
    <x v="0"/>
    <x v="1"/>
    <s v="Verbatim 25 GB 6x Blu-ray Single Layer Recordable Disc, 10/Pack"/>
    <n v="34.770000000000003"/>
    <n v="3"/>
    <n v="11.4741"/>
    <x v="4"/>
    <x v="0"/>
    <x v="3"/>
    <n v="0.33"/>
  </r>
  <r>
    <s v="US-2017-110646"/>
    <x v="12"/>
    <d v="2017-10-31T00:00:00"/>
    <x v="0"/>
    <s v="JF-15190"/>
    <s v="Jamie Frazer"/>
    <x v="0"/>
    <s v="United States"/>
    <x v="20"/>
    <x v="12"/>
    <x v="2"/>
    <s v="TEC-PH-10002807"/>
    <x v="0"/>
    <x v="0"/>
    <s v="Motorla HX550 Universal Bluetooth Headset"/>
    <n v="118.65"/>
    <n v="5"/>
    <n v="19.774999999999999"/>
    <x v="0"/>
    <x v="3"/>
    <x v="7"/>
    <n v="0.16666666666666699"/>
  </r>
  <r>
    <s v="CA-2015-144274"/>
    <x v="768"/>
    <d v="2015-11-25T00:00:00"/>
    <x v="1"/>
    <s v="PW-19240"/>
    <s v="Pierre Wener"/>
    <x v="0"/>
    <s v="United States"/>
    <x v="15"/>
    <x v="4"/>
    <x v="2"/>
    <s v="TEC-PH-10003012"/>
    <x v="0"/>
    <x v="0"/>
    <s v="Nortel Meridian M3904 Professional Digital phone"/>
    <n v="307.98"/>
    <n v="2"/>
    <n v="89.3142"/>
    <x v="2"/>
    <x v="2"/>
    <x v="6"/>
    <n v="0.28999999999999998"/>
  </r>
  <r>
    <s v="CA-2017-100622"/>
    <x v="564"/>
    <d v="2017-11-07T00:00:00"/>
    <x v="0"/>
    <s v="DK-13090"/>
    <s v="Dave Kipp"/>
    <x v="0"/>
    <s v="United States"/>
    <x v="191"/>
    <x v="15"/>
    <x v="3"/>
    <s v="TEC-CO-10003236"/>
    <x v="0"/>
    <x v="3"/>
    <s v="Canon Image Class D660 Copier"/>
    <n v="959.98400000000004"/>
    <n v="2"/>
    <n v="311.9948"/>
    <x v="1"/>
    <x v="3"/>
    <x v="6"/>
    <n v="0.32500000000000001"/>
  </r>
  <r>
    <s v="US-2017-132675"/>
    <x v="92"/>
    <d v="2017-09-28T00:00:00"/>
    <x v="0"/>
    <s v="KF-16285"/>
    <s v="Karen Ferguson"/>
    <x v="2"/>
    <s v="United States"/>
    <x v="223"/>
    <x v="31"/>
    <x v="3"/>
    <s v="TEC-PH-10003171"/>
    <x v="0"/>
    <x v="0"/>
    <s v="Plantronics Encore H101 Dual Earpieces Headset"/>
    <n v="89.9"/>
    <n v="2"/>
    <n v="25.172000000000001"/>
    <x v="1"/>
    <x v="3"/>
    <x v="4"/>
    <n v="0.28000000000000003"/>
  </r>
  <r>
    <s v="CA-2014-153808"/>
    <x v="197"/>
    <d v="2014-04-10T00:00:00"/>
    <x v="1"/>
    <s v="FH-14275"/>
    <s v="Frank Hawley"/>
    <x v="1"/>
    <s v="United States"/>
    <x v="0"/>
    <x v="0"/>
    <x v="0"/>
    <s v="TEC-AC-10004171"/>
    <x v="0"/>
    <x v="1"/>
    <s v="Razer Kraken 7.1 Surround Sound Over Ear USB Gaming Headset"/>
    <n v="299.97000000000003"/>
    <n v="3"/>
    <n v="131.98679999999999"/>
    <x v="1"/>
    <x v="0"/>
    <x v="9"/>
    <n v="0.44"/>
  </r>
  <r>
    <s v="US-2016-112396"/>
    <x v="769"/>
    <d v="2016-02-13T00:00:00"/>
    <x v="0"/>
    <s v="JR-16210"/>
    <s v="Justin Ritter"/>
    <x v="1"/>
    <s v="United States"/>
    <x v="1"/>
    <x v="0"/>
    <x v="0"/>
    <s v="TEC-AC-10003628"/>
    <x v="0"/>
    <x v="1"/>
    <s v="Logitech 910-002974 M325 Wireless Mouse for Web Scrolling"/>
    <n v="89.97"/>
    <n v="3"/>
    <n v="39.586799999999997"/>
    <x v="1"/>
    <x v="1"/>
    <x v="8"/>
    <n v="0.44"/>
  </r>
  <r>
    <s v="US-2016-112396"/>
    <x v="769"/>
    <d v="2016-02-13T00:00:00"/>
    <x v="0"/>
    <s v="JR-16210"/>
    <s v="Justin Ritter"/>
    <x v="1"/>
    <s v="United States"/>
    <x v="1"/>
    <x v="0"/>
    <x v="0"/>
    <s v="TEC-AC-10004761"/>
    <x v="0"/>
    <x v="1"/>
    <s v="Maxell 4.7GB DVD+RW 3/Pack"/>
    <n v="31.86"/>
    <n v="2"/>
    <n v="11.151"/>
    <x v="1"/>
    <x v="1"/>
    <x v="8"/>
    <n v="0.35"/>
  </r>
  <r>
    <s v="CA-2015-140718"/>
    <x v="770"/>
    <d v="2015-07-04T00:00:00"/>
    <x v="2"/>
    <s v="FA-14230"/>
    <s v="Frank Atkinson"/>
    <x v="1"/>
    <s v="United States"/>
    <x v="125"/>
    <x v="8"/>
    <x v="3"/>
    <s v="TEC-PH-10003505"/>
    <x v="0"/>
    <x v="0"/>
    <s v="Geemarc AmpliPOWER60"/>
    <n v="74.239999999999995"/>
    <n v="1"/>
    <n v="8.3520000000000003"/>
    <x v="2"/>
    <x v="2"/>
    <x v="10"/>
    <n v="0.1125"/>
  </r>
  <r>
    <s v="US-2015-115343"/>
    <x v="771"/>
    <d v="2015-09-25T00:00:00"/>
    <x v="2"/>
    <s v="FO-14305"/>
    <s v="Frank Olsen"/>
    <x v="0"/>
    <s v="United States"/>
    <x v="20"/>
    <x v="12"/>
    <x v="2"/>
    <s v="TEC-AC-10003832"/>
    <x v="0"/>
    <x v="1"/>
    <s v="Logitech P710e Mobile Speakerphone"/>
    <n v="617.976"/>
    <n v="3"/>
    <n v="-7.7247000000000003"/>
    <x v="6"/>
    <x v="2"/>
    <x v="4"/>
    <n v="-1.2500000000000001E-2"/>
  </r>
  <r>
    <s v="CA-2017-135909"/>
    <x v="772"/>
    <d v="2017-10-20T00:00:00"/>
    <x v="0"/>
    <s v="JW-15220"/>
    <s v="Jane Waco"/>
    <x v="1"/>
    <s v="United States"/>
    <x v="211"/>
    <x v="0"/>
    <x v="0"/>
    <s v="TEC-AC-10002335"/>
    <x v="0"/>
    <x v="1"/>
    <s v="Logitech Media Keyboard K200"/>
    <n v="209.94"/>
    <n v="6"/>
    <n v="39.888599999999997"/>
    <x v="5"/>
    <x v="3"/>
    <x v="7"/>
    <n v="0.19"/>
  </r>
  <r>
    <s v="CA-2017-135909"/>
    <x v="772"/>
    <d v="2017-10-20T00:00:00"/>
    <x v="0"/>
    <s v="JW-15220"/>
    <s v="Jane Waco"/>
    <x v="1"/>
    <s v="United States"/>
    <x v="211"/>
    <x v="0"/>
    <x v="0"/>
    <s v="TEC-PH-10003187"/>
    <x v="0"/>
    <x v="0"/>
    <s v="Anker Astro Mini 3000mAh Ultra-Compact Portable Charger"/>
    <n v="31.984000000000002"/>
    <n v="2"/>
    <n v="-7.9960000000000004"/>
    <x v="5"/>
    <x v="3"/>
    <x v="7"/>
    <n v="-0.25"/>
  </r>
  <r>
    <s v="US-2017-114356"/>
    <x v="610"/>
    <d v="2017-08-26T00:00:00"/>
    <x v="0"/>
    <s v="TT-21460"/>
    <s v="Tonja Turnell"/>
    <x v="2"/>
    <s v="United States"/>
    <x v="13"/>
    <x v="8"/>
    <x v="3"/>
    <s v="TEC-PH-10003171"/>
    <x v="0"/>
    <x v="0"/>
    <s v="Plantronics Encore H101 Dual Earpieces Headset"/>
    <n v="35.96"/>
    <n v="1"/>
    <n v="3.5960000000000001"/>
    <x v="3"/>
    <x v="3"/>
    <x v="1"/>
    <n v="0.1"/>
  </r>
  <r>
    <s v="CA-2014-120411"/>
    <x v="562"/>
    <d v="2014-09-23T00:00:00"/>
    <x v="2"/>
    <s v="SB-20185"/>
    <s v="Sarah Brown"/>
    <x v="0"/>
    <s v="United States"/>
    <x v="11"/>
    <x v="2"/>
    <x v="1"/>
    <s v="TEC-PH-10002185"/>
    <x v="0"/>
    <x v="0"/>
    <s v="QVS USB Car Charger 2-Port 2.1Amp for iPod/iPhone/iPad/iPad 2/iPad 3"/>
    <n v="11.12"/>
    <n v="2"/>
    <n v="3.4750000000000001"/>
    <x v="6"/>
    <x v="0"/>
    <x v="4"/>
    <n v="0.3125"/>
  </r>
  <r>
    <s v="CA-2016-158260"/>
    <x v="773"/>
    <d v="2016-11-08T00:00:00"/>
    <x v="0"/>
    <s v="CC-12475"/>
    <s v="Cindy Chapman"/>
    <x v="0"/>
    <s v="United States"/>
    <x v="30"/>
    <x v="0"/>
    <x v="0"/>
    <s v="TEC-MA-10003176"/>
    <x v="0"/>
    <x v="2"/>
    <s v="Okidata B400 Printer"/>
    <n v="686.4"/>
    <n v="2"/>
    <n v="77.22"/>
    <x v="1"/>
    <x v="1"/>
    <x v="6"/>
    <n v="0.1125"/>
  </r>
  <r>
    <s v="US-2014-105137"/>
    <x v="701"/>
    <d v="2014-10-10T00:00:00"/>
    <x v="3"/>
    <s v="RB-19435"/>
    <s v="Richard Bierner"/>
    <x v="0"/>
    <s v="United States"/>
    <x v="16"/>
    <x v="9"/>
    <x v="2"/>
    <s v="TEC-MA-10002694"/>
    <x v="0"/>
    <x v="2"/>
    <s v="Hewlett-Packard Deskjet F4180 All-in-One Color Ink-jet - Printer / copier / scanner"/>
    <n v="101.994"/>
    <n v="2"/>
    <n v="-71.395799999999994"/>
    <x v="7"/>
    <x v="0"/>
    <x v="7"/>
    <n v="-0.7"/>
  </r>
  <r>
    <s v="CA-2017-126928"/>
    <x v="695"/>
    <d v="2017-09-23T00:00:00"/>
    <x v="0"/>
    <s v="GZ-14470"/>
    <s v="Gary Zandusky"/>
    <x v="0"/>
    <s v="United States"/>
    <x v="319"/>
    <x v="26"/>
    <x v="2"/>
    <s v="TEC-MA-10004626"/>
    <x v="0"/>
    <x v="2"/>
    <s v="Lexmark 20R1285 X6650 Wireless All-in-One Printer"/>
    <n v="480"/>
    <n v="4"/>
    <n v="225.6"/>
    <x v="3"/>
    <x v="3"/>
    <x v="4"/>
    <n v="0.47"/>
  </r>
  <r>
    <s v="US-2015-107944"/>
    <x v="774"/>
    <d v="2015-03-25T00:00:00"/>
    <x v="2"/>
    <s v="AM-10360"/>
    <s v="Alice McCarthy"/>
    <x v="1"/>
    <s v="United States"/>
    <x v="0"/>
    <x v="0"/>
    <x v="0"/>
    <s v="TEC-AC-10000736"/>
    <x v="0"/>
    <x v="1"/>
    <s v="Logitech G600 MMO Gaming Mouse"/>
    <n v="239.97"/>
    <n v="3"/>
    <n v="86.389200000000002"/>
    <x v="2"/>
    <x v="2"/>
    <x v="5"/>
    <n v="0.36"/>
  </r>
  <r>
    <s v="CA-2016-135594"/>
    <x v="775"/>
    <d v="2016-07-03T00:00:00"/>
    <x v="1"/>
    <s v="AH-10120"/>
    <s v="Adrian Hane"/>
    <x v="2"/>
    <s v="United States"/>
    <x v="12"/>
    <x v="2"/>
    <x v="1"/>
    <s v="TEC-AC-10003038"/>
    <x v="0"/>
    <x v="1"/>
    <s v="Kingston Digital DataTraveler 16GB USB 2.0"/>
    <n v="50.12"/>
    <n v="7"/>
    <n v="-0.62649999999999995"/>
    <x v="6"/>
    <x v="1"/>
    <x v="0"/>
    <n v="-1.2500000000000001E-2"/>
  </r>
  <r>
    <s v="US-2017-115252"/>
    <x v="776"/>
    <d v="2017-10-25T00:00:00"/>
    <x v="0"/>
    <s v="MY-18295"/>
    <s v="Muhammed Yedwab"/>
    <x v="1"/>
    <s v="United States"/>
    <x v="320"/>
    <x v="8"/>
    <x v="3"/>
    <s v="TEC-PH-10004071"/>
    <x v="0"/>
    <x v="0"/>
    <s v="PayAnywhere Card Reader"/>
    <n v="15.984"/>
    <n v="2"/>
    <n v="1.3986000000000001"/>
    <x v="0"/>
    <x v="3"/>
    <x v="7"/>
    <n v="8.7499999999999994E-2"/>
  </r>
  <r>
    <s v="CA-2016-147256"/>
    <x v="777"/>
    <d v="2016-10-21T00:00:00"/>
    <x v="1"/>
    <s v="FC-14245"/>
    <s v="Frank Carlisle"/>
    <x v="2"/>
    <s v="United States"/>
    <x v="135"/>
    <x v="18"/>
    <x v="1"/>
    <s v="TEC-PH-10003072"/>
    <x v="0"/>
    <x v="0"/>
    <s v="Panasonic KX-TG9541B DECT 6.0 Digital 2-Line Expandable Cordless Phone With Digital Answering System"/>
    <n v="449.97"/>
    <n v="3"/>
    <n v="220.4853"/>
    <x v="1"/>
    <x v="1"/>
    <x v="7"/>
    <n v="0.49"/>
  </r>
  <r>
    <s v="CA-2016-167241"/>
    <x v="155"/>
    <d v="2016-08-22T00:00:00"/>
    <x v="0"/>
    <s v="BD-11320"/>
    <s v="Bill Donatelli"/>
    <x v="0"/>
    <s v="United States"/>
    <x v="0"/>
    <x v="0"/>
    <x v="0"/>
    <s v="TEC-PH-10004614"/>
    <x v="0"/>
    <x v="0"/>
    <s v="AT&amp;T 841000 Phone"/>
    <n v="165.6"/>
    <n v="3"/>
    <n v="10.35"/>
    <x v="5"/>
    <x v="1"/>
    <x v="1"/>
    <n v="6.25E-2"/>
  </r>
  <r>
    <s v="CA-2015-163237"/>
    <x v="778"/>
    <d v="2015-08-09T00:00:00"/>
    <x v="1"/>
    <s v="EM-14095"/>
    <s v="Eudokia Martin"/>
    <x v="1"/>
    <s v="United States"/>
    <x v="84"/>
    <x v="23"/>
    <x v="3"/>
    <s v="TEC-PH-10003601"/>
    <x v="0"/>
    <x v="0"/>
    <s v="Ativa D5772 2-Line 5.8GHz Digital Expandable Corded/Cordless Phone System with Answering &amp; Caller ID/Call Waiting, Black/Silver"/>
    <n v="494.97"/>
    <n v="3"/>
    <n v="148.49100000000001"/>
    <x v="2"/>
    <x v="2"/>
    <x v="1"/>
    <n v="0.3"/>
  </r>
  <r>
    <s v="US-2016-126431"/>
    <x v="697"/>
    <d v="2016-07-01T00:00:00"/>
    <x v="3"/>
    <s v="SU-20665"/>
    <s v="Stephanie Ulpright"/>
    <x v="2"/>
    <s v="United States"/>
    <x v="7"/>
    <x v="5"/>
    <x v="2"/>
    <s v="TEC-AC-10001635"/>
    <x v="0"/>
    <x v="1"/>
    <s v="KeyTronic KT400U2 - Keyboard - Black"/>
    <n v="30.84"/>
    <n v="3"/>
    <n v="6.1680000000000001"/>
    <x v="7"/>
    <x v="1"/>
    <x v="10"/>
    <n v="0.2"/>
  </r>
  <r>
    <s v="CA-2016-139934"/>
    <x v="546"/>
    <d v="2016-12-20T00:00:00"/>
    <x v="2"/>
    <s v="AY-10555"/>
    <s v="Andy Yotov"/>
    <x v="1"/>
    <s v="United States"/>
    <x v="1"/>
    <x v="0"/>
    <x v="0"/>
    <s v="TEC-PH-10001552"/>
    <x v="0"/>
    <x v="0"/>
    <s v="I Need's 3d Hello Kitty Hybrid Silicone Case Cover for HTC One X 4g with 3d Hello Kitty Stylus Pen Green/pink"/>
    <n v="66.975999999999999"/>
    <n v="7"/>
    <n v="6.6976000000000004"/>
    <x v="2"/>
    <x v="1"/>
    <x v="3"/>
    <n v="0.1"/>
  </r>
  <r>
    <s v="CA-2017-102610"/>
    <x v="97"/>
    <d v="2017-11-08T00:00:00"/>
    <x v="0"/>
    <s v="CA-12265"/>
    <s v="Christina Anderson"/>
    <x v="0"/>
    <s v="United States"/>
    <x v="321"/>
    <x v="44"/>
    <x v="3"/>
    <s v="TEC-AC-10000303"/>
    <x v="0"/>
    <x v="1"/>
    <s v="Logitech M510 Wireless Mouse"/>
    <n v="95.975999999999999"/>
    <n v="3"/>
    <n v="15.5961"/>
    <x v="1"/>
    <x v="3"/>
    <x v="6"/>
    <n v="0.16250000000000001"/>
  </r>
  <r>
    <s v="CA-2017-102610"/>
    <x v="97"/>
    <d v="2017-11-08T00:00:00"/>
    <x v="0"/>
    <s v="CA-12265"/>
    <s v="Christina Anderson"/>
    <x v="0"/>
    <s v="United States"/>
    <x v="321"/>
    <x v="44"/>
    <x v="3"/>
    <s v="TEC-PH-10000127"/>
    <x v="0"/>
    <x v="0"/>
    <s v="iOttie XL Car Mount"/>
    <n v="143.928"/>
    <n v="9"/>
    <n v="-32.383800000000001"/>
    <x v="1"/>
    <x v="3"/>
    <x v="6"/>
    <n v="-0.22500000000000001"/>
  </r>
  <r>
    <s v="CA-2014-132983"/>
    <x v="749"/>
    <d v="2014-05-03T00:00:00"/>
    <x v="0"/>
    <s v="DS-13180"/>
    <s v="David Smith"/>
    <x v="1"/>
    <s v="United States"/>
    <x v="154"/>
    <x v="5"/>
    <x v="2"/>
    <s v="TEC-AC-10000736"/>
    <x v="0"/>
    <x v="1"/>
    <s v="Logitech G600 MMO Gaming Mouse"/>
    <n v="159.97999999999999"/>
    <n v="2"/>
    <n v="57.592799999999997"/>
    <x v="0"/>
    <x v="0"/>
    <x v="9"/>
    <n v="0.36"/>
  </r>
  <r>
    <s v="CA-2016-145709"/>
    <x v="706"/>
    <d v="2016-10-08T00:00:00"/>
    <x v="0"/>
    <s v="AH-10690"/>
    <s v="Anna Häberlin"/>
    <x v="1"/>
    <s v="United States"/>
    <x v="322"/>
    <x v="15"/>
    <x v="3"/>
    <s v="TEC-PH-10003095"/>
    <x v="0"/>
    <x v="0"/>
    <s v="Samsung HM1900 Bluetooth Headset"/>
    <n v="52.68"/>
    <n v="3"/>
    <n v="19.754999999999999"/>
    <x v="1"/>
    <x v="1"/>
    <x v="7"/>
    <n v="0.375"/>
  </r>
  <r>
    <s v="CA-2016-168032"/>
    <x v="779"/>
    <d v="2016-02-03T00:00:00"/>
    <x v="0"/>
    <s v="DF-13135"/>
    <s v="David Flashing"/>
    <x v="0"/>
    <s v="United States"/>
    <x v="323"/>
    <x v="2"/>
    <x v="1"/>
    <s v="TEC-PH-10004241"/>
    <x v="0"/>
    <x v="0"/>
    <s v="Nokia Lumia 1020"/>
    <n v="1439.9680000000001"/>
    <n v="4"/>
    <n v="143.99680000000001"/>
    <x v="1"/>
    <x v="1"/>
    <x v="2"/>
    <n v="0.1"/>
  </r>
  <r>
    <s v="US-2015-168704"/>
    <x v="275"/>
    <d v="2015-04-17T00:00:00"/>
    <x v="0"/>
    <s v="FP-14320"/>
    <s v="Frank Preis"/>
    <x v="0"/>
    <s v="United States"/>
    <x v="46"/>
    <x v="1"/>
    <x v="1"/>
    <s v="TEC-PH-10001061"/>
    <x v="0"/>
    <x v="0"/>
    <s v="Apple iPhone 5C"/>
    <n v="239.976"/>
    <n v="3"/>
    <n v="17.998200000000001"/>
    <x v="1"/>
    <x v="2"/>
    <x v="9"/>
    <n v="7.4999999999999997E-2"/>
  </r>
  <r>
    <s v="CA-2017-143252"/>
    <x v="160"/>
    <d v="2017-12-24T00:00:00"/>
    <x v="0"/>
    <s v="HE-14800"/>
    <s v="Harold Engle"/>
    <x v="1"/>
    <s v="United States"/>
    <x v="78"/>
    <x v="10"/>
    <x v="1"/>
    <s v="TEC-AC-10002331"/>
    <x v="0"/>
    <x v="1"/>
    <s v="Maxell 74 Minute CDR, 10/Pack"/>
    <n v="29.34"/>
    <n v="3"/>
    <n v="10.8558"/>
    <x v="3"/>
    <x v="3"/>
    <x v="3"/>
    <n v="0.37"/>
  </r>
  <r>
    <s v="CA-2017-130036"/>
    <x v="242"/>
    <d v="2017-08-27T00:00:00"/>
    <x v="3"/>
    <s v="BP-11185"/>
    <s v="Ben Peterman"/>
    <x v="1"/>
    <s v="United States"/>
    <x v="20"/>
    <x v="12"/>
    <x v="2"/>
    <s v="TEC-AC-10001908"/>
    <x v="0"/>
    <x v="1"/>
    <s v="Logitech Wireless Headset h800"/>
    <n v="1119.8879999999999"/>
    <n v="14"/>
    <n v="209.97900000000001"/>
    <x v="7"/>
    <x v="3"/>
    <x v="1"/>
    <n v="0.1875"/>
  </r>
  <r>
    <s v="CA-2015-134117"/>
    <x v="780"/>
    <d v="2015-12-19T00:00:00"/>
    <x v="1"/>
    <s v="PG-18895"/>
    <s v="Paul Gonzalez"/>
    <x v="0"/>
    <s v="United States"/>
    <x v="0"/>
    <x v="0"/>
    <x v="0"/>
    <s v="TEC-PH-10004908"/>
    <x v="0"/>
    <x v="0"/>
    <s v="Panasonic KX TS3282W Corded phone"/>
    <n v="135.98400000000001"/>
    <n v="2"/>
    <n v="16.998000000000001"/>
    <x v="2"/>
    <x v="2"/>
    <x v="3"/>
    <n v="0.125"/>
  </r>
  <r>
    <s v="CA-2016-159023"/>
    <x v="314"/>
    <d v="2016-11-05T00:00:00"/>
    <x v="2"/>
    <s v="NW-18400"/>
    <s v="Natalie Webber"/>
    <x v="0"/>
    <s v="United States"/>
    <x v="32"/>
    <x v="16"/>
    <x v="0"/>
    <s v="TEC-MA-10003337"/>
    <x v="0"/>
    <x v="2"/>
    <s v="Okidata B401 Printer"/>
    <n v="179.99100000000001"/>
    <n v="3"/>
    <n v="-251.98740000000001"/>
    <x v="2"/>
    <x v="1"/>
    <x v="6"/>
    <n v="-1.4"/>
  </r>
  <r>
    <s v="CA-2017-150910"/>
    <x v="273"/>
    <d v="2017-12-28T00:00:00"/>
    <x v="0"/>
    <s v="JL-15130"/>
    <s v="Jack Lebron"/>
    <x v="0"/>
    <s v="United States"/>
    <x v="61"/>
    <x v="44"/>
    <x v="3"/>
    <s v="TEC-AC-10001013"/>
    <x v="0"/>
    <x v="1"/>
    <s v="Logitech ClearChat Comfort/USB Headset H390"/>
    <n v="46.863999999999997"/>
    <n v="2"/>
    <n v="7.6154000000000002"/>
    <x v="3"/>
    <x v="3"/>
    <x v="3"/>
    <n v="0.16250000000000001"/>
  </r>
  <r>
    <s v="CA-2017-105620"/>
    <x v="309"/>
    <d v="2017-12-28T00:00:00"/>
    <x v="2"/>
    <s v="JH-15430"/>
    <s v="Jennifer Halladay"/>
    <x v="0"/>
    <s v="United States"/>
    <x v="256"/>
    <x v="15"/>
    <x v="3"/>
    <s v="TEC-MA-10004626"/>
    <x v="0"/>
    <x v="2"/>
    <s v="Lexmark 20R1285 X6650 Wireless All-in-One Printer"/>
    <n v="120"/>
    <n v="2"/>
    <n v="-7.2"/>
    <x v="6"/>
    <x v="3"/>
    <x v="3"/>
    <n v="-0.06"/>
  </r>
  <r>
    <s v="CA-2017-150266"/>
    <x v="635"/>
    <d v="2017-11-30T00:00:00"/>
    <x v="0"/>
    <s v="RO-19780"/>
    <s v="Rose O'Brian"/>
    <x v="0"/>
    <s v="United States"/>
    <x v="3"/>
    <x v="1"/>
    <x v="1"/>
    <s v="TEC-PH-10003437"/>
    <x v="0"/>
    <x v="0"/>
    <s v="Blue Parrot B250XT Professional Grade Wireless Bluetooth Headset with"/>
    <n v="299.95999999999998"/>
    <n v="5"/>
    <n v="37.494999999999997"/>
    <x v="0"/>
    <x v="3"/>
    <x v="6"/>
    <n v="0.125"/>
  </r>
  <r>
    <s v="CA-2016-157280"/>
    <x v="355"/>
    <d v="2016-11-07T00:00:00"/>
    <x v="2"/>
    <s v="LW-17125"/>
    <s v="Liz Willingham"/>
    <x v="0"/>
    <s v="United States"/>
    <x v="82"/>
    <x v="23"/>
    <x v="3"/>
    <s v="TEC-AC-10000057"/>
    <x v="0"/>
    <x v="1"/>
    <s v="Microsoft Natural Ergonomic Keyboard 4000"/>
    <n v="89.97"/>
    <n v="3"/>
    <n v="18.893699999999999"/>
    <x v="2"/>
    <x v="1"/>
    <x v="6"/>
    <n v="0.21"/>
  </r>
  <r>
    <s v="CA-2016-134180"/>
    <x v="314"/>
    <d v="2016-11-07T00:00:00"/>
    <x v="0"/>
    <s v="JP-16135"/>
    <s v="Julie Prescott"/>
    <x v="2"/>
    <s v="United States"/>
    <x v="20"/>
    <x v="12"/>
    <x v="2"/>
    <s v="TEC-AC-10000892"/>
    <x v="0"/>
    <x v="1"/>
    <s v="NETGEAR N750 Dual Band Wi-Fi Gigabit Router"/>
    <n v="72"/>
    <n v="1"/>
    <n v="14.4"/>
    <x v="1"/>
    <x v="1"/>
    <x v="6"/>
    <n v="0.2"/>
  </r>
  <r>
    <s v="CA-2017-157469"/>
    <x v="581"/>
    <d v="2017-12-07T00:00:00"/>
    <x v="0"/>
    <s v="ES-14080"/>
    <s v="Erin Smith"/>
    <x v="1"/>
    <s v="United States"/>
    <x v="95"/>
    <x v="9"/>
    <x v="2"/>
    <s v="TEC-PH-10004531"/>
    <x v="0"/>
    <x v="0"/>
    <s v="AT&amp;T CL2909"/>
    <n v="151.18799999999999"/>
    <n v="2"/>
    <n v="-25.198"/>
    <x v="0"/>
    <x v="3"/>
    <x v="3"/>
    <n v="-0.16666666666666699"/>
  </r>
  <r>
    <s v="US-2014-149034"/>
    <x v="25"/>
    <d v="2014-11-21T00:00:00"/>
    <x v="2"/>
    <s v="RD-19900"/>
    <s v="Ruben Dartt"/>
    <x v="0"/>
    <s v="United States"/>
    <x v="20"/>
    <x v="12"/>
    <x v="2"/>
    <s v="TEC-AC-10003023"/>
    <x v="0"/>
    <x v="1"/>
    <s v="Logitech G105 Gaming Keyboard"/>
    <n v="47.496000000000002"/>
    <n v="1"/>
    <n v="-1.1874"/>
    <x v="2"/>
    <x v="0"/>
    <x v="6"/>
    <n v="-2.5000000000000001E-2"/>
  </r>
  <r>
    <s v="CA-2015-123092"/>
    <x v="55"/>
    <d v="2015-12-07T00:00:00"/>
    <x v="0"/>
    <s v="JG-15115"/>
    <s v="Jack Garza"/>
    <x v="0"/>
    <s v="United States"/>
    <x v="42"/>
    <x v="8"/>
    <x v="3"/>
    <s v="TEC-PH-10001700"/>
    <x v="0"/>
    <x v="0"/>
    <s v="Panasonic KX-TG6844B Expandable Digital Cordless Telephone"/>
    <n v="105.584"/>
    <n v="2"/>
    <n v="9.2385999999999999"/>
    <x v="1"/>
    <x v="2"/>
    <x v="3"/>
    <n v="8.7499999999999994E-2"/>
  </r>
  <r>
    <s v="US-2015-128587"/>
    <x v="33"/>
    <d v="2015-12-30T00:00:00"/>
    <x v="0"/>
    <s v="HM-14860"/>
    <s v="Harry Marie"/>
    <x v="1"/>
    <s v="United States"/>
    <x v="84"/>
    <x v="18"/>
    <x v="1"/>
    <s v="TEC-CO-10003763"/>
    <x v="0"/>
    <x v="3"/>
    <s v="Canon PC1060 Personal Laser Copier"/>
    <n v="4899.93"/>
    <n v="7"/>
    <n v="2302.9670999999998"/>
    <x v="3"/>
    <x v="2"/>
    <x v="3"/>
    <n v="0.47"/>
  </r>
  <r>
    <s v="US-2017-139577"/>
    <x v="404"/>
    <d v="2017-10-06T00:00:00"/>
    <x v="0"/>
    <s v="TN-21040"/>
    <s v="Tanja Norvell"/>
    <x v="2"/>
    <s v="United States"/>
    <x v="1"/>
    <x v="0"/>
    <x v="0"/>
    <s v="TEC-AC-10004708"/>
    <x v="0"/>
    <x v="1"/>
    <s v="Sony 32GB Class 10 Micro SDHC R40 Memory Card"/>
    <n v="104.75"/>
    <n v="5"/>
    <n v="21.997499999999999"/>
    <x v="0"/>
    <x v="3"/>
    <x v="7"/>
    <n v="0.21"/>
  </r>
  <r>
    <s v="CA-2017-159100"/>
    <x v="690"/>
    <d v="2017-10-21T00:00:00"/>
    <x v="0"/>
    <s v="VP-21760"/>
    <s v="Victoria Pisteka"/>
    <x v="1"/>
    <s v="United States"/>
    <x v="135"/>
    <x v="44"/>
    <x v="3"/>
    <s v="TEC-AC-10003499"/>
    <x v="0"/>
    <x v="1"/>
    <s v="Memorex Mini Travel Drive 8 GB USB 2.0 Flash Drive"/>
    <n v="18.527999999999999"/>
    <n v="2"/>
    <n v="4.4004000000000003"/>
    <x v="0"/>
    <x v="3"/>
    <x v="7"/>
    <n v="0.23749999999999999"/>
  </r>
  <r>
    <s v="US-2017-116491"/>
    <x v="781"/>
    <d v="2017-11-13T00:00:00"/>
    <x v="2"/>
    <s v="PG-18820"/>
    <s v="Patrick Gardner"/>
    <x v="0"/>
    <s v="United States"/>
    <x v="26"/>
    <x v="1"/>
    <x v="1"/>
    <s v="TEC-PH-10004531"/>
    <x v="0"/>
    <x v="0"/>
    <s v="OtterBox Commuter Series Case - iPhone 5 &amp; 5s"/>
    <n v="35.183999999999997"/>
    <n v="2"/>
    <n v="12.314399999999999"/>
    <x v="2"/>
    <x v="3"/>
    <x v="6"/>
    <n v="0.35"/>
  </r>
  <r>
    <s v="CA-2014-103807"/>
    <x v="101"/>
    <d v="2014-12-09T00:00:00"/>
    <x v="0"/>
    <s v="EM-13825"/>
    <s v="Elizabeth Moffitt"/>
    <x v="1"/>
    <s v="United States"/>
    <x v="223"/>
    <x v="31"/>
    <x v="3"/>
    <s v="TEC-AC-10000199"/>
    <x v="0"/>
    <x v="1"/>
    <s v="Kingston Digital DataTraveler 8GB USB 2.0"/>
    <n v="5.95"/>
    <n v="1"/>
    <n v="0.83299999999999996"/>
    <x v="5"/>
    <x v="0"/>
    <x v="3"/>
    <n v="0.14000000000000001"/>
  </r>
  <r>
    <s v="CA-2015-102855"/>
    <x v="463"/>
    <d v="2015-04-06T00:00:00"/>
    <x v="3"/>
    <s v="JF-15415"/>
    <s v="Jennifer Ferguson"/>
    <x v="0"/>
    <s v="United States"/>
    <x v="232"/>
    <x v="17"/>
    <x v="0"/>
    <s v="TEC-AC-10001767"/>
    <x v="0"/>
    <x v="1"/>
    <s v="SanDisk Ultra 64 GB MicroSDHC Class 10 Memory Card"/>
    <n v="239.94"/>
    <n v="6"/>
    <n v="26.3934"/>
    <x v="4"/>
    <x v="2"/>
    <x v="9"/>
    <n v="0.11"/>
  </r>
  <r>
    <s v="CA-2015-137071"/>
    <x v="233"/>
    <d v="2015-12-21T00:00:00"/>
    <x v="2"/>
    <s v="ED-13885"/>
    <s v="Emily Ducich"/>
    <x v="2"/>
    <s v="United States"/>
    <x v="3"/>
    <x v="1"/>
    <x v="1"/>
    <s v="TEC-AC-10004353"/>
    <x v="0"/>
    <x v="1"/>
    <s v="Hypercom P1300 Pinpad"/>
    <n v="100.8"/>
    <n v="2"/>
    <n v="21.42"/>
    <x v="4"/>
    <x v="2"/>
    <x v="3"/>
    <n v="0.21249999999999999"/>
  </r>
  <r>
    <s v="CA-2014-100706"/>
    <x v="382"/>
    <d v="2014-12-18T00:00:00"/>
    <x v="1"/>
    <s v="LE-16810"/>
    <s v="Laurel Elliston"/>
    <x v="0"/>
    <s v="United States"/>
    <x v="84"/>
    <x v="23"/>
    <x v="3"/>
    <s v="TEC-AC-10001314"/>
    <x v="0"/>
    <x v="1"/>
    <s v="Case Logic 2.4GHz Wireless Keyboard"/>
    <n v="99.98"/>
    <n v="2"/>
    <n v="7.9984000000000002"/>
    <x v="2"/>
    <x v="0"/>
    <x v="3"/>
    <n v="0.08"/>
  </r>
  <r>
    <s v="CA-2016-102127"/>
    <x v="230"/>
    <d v="2016-07-02T00:00:00"/>
    <x v="0"/>
    <s v="VP-21760"/>
    <s v="Victoria Pisteka"/>
    <x v="1"/>
    <s v="United States"/>
    <x v="7"/>
    <x v="5"/>
    <x v="2"/>
    <s v="TEC-AC-10002018"/>
    <x v="0"/>
    <x v="1"/>
    <s v="AmazonBasics 3-Button USB Wired Mouse"/>
    <n v="20.97"/>
    <n v="3"/>
    <n v="9.0170999999999992"/>
    <x v="3"/>
    <x v="1"/>
    <x v="0"/>
    <n v="0.43"/>
  </r>
  <r>
    <s v="CA-2016-102127"/>
    <x v="230"/>
    <d v="2016-07-02T00:00:00"/>
    <x v="0"/>
    <s v="VP-21760"/>
    <s v="Victoria Pisteka"/>
    <x v="1"/>
    <s v="United States"/>
    <x v="7"/>
    <x v="5"/>
    <x v="2"/>
    <s v="TEC-AC-10000397"/>
    <x v="0"/>
    <x v="1"/>
    <s v="Perixx PERIBOARD-512B, Ergonomic Split Keyboard"/>
    <n v="139.96"/>
    <n v="4"/>
    <n v="9.7972000000000001"/>
    <x v="3"/>
    <x v="1"/>
    <x v="0"/>
    <n v="7.0000000000000007E-2"/>
  </r>
  <r>
    <s v="CA-2015-148873"/>
    <x v="632"/>
    <d v="2015-10-05T00:00:00"/>
    <x v="0"/>
    <s v="EM-13960"/>
    <s v="Eric Murdock"/>
    <x v="0"/>
    <s v="United States"/>
    <x v="182"/>
    <x v="2"/>
    <x v="1"/>
    <s v="TEC-AC-10003657"/>
    <x v="0"/>
    <x v="1"/>
    <s v="Lenovo 17-Key USB Numeric Keypad"/>
    <n v="108.768"/>
    <n v="4"/>
    <n v="2.7191999999999998"/>
    <x v="1"/>
    <x v="2"/>
    <x v="7"/>
    <n v="2.5000000000000001E-2"/>
  </r>
  <r>
    <s v="CA-2017-157420"/>
    <x v="293"/>
    <d v="2017-11-21T00:00:00"/>
    <x v="3"/>
    <s v="HZ-14950"/>
    <s v="Henia Zydlo"/>
    <x v="0"/>
    <s v="United States"/>
    <x v="3"/>
    <x v="1"/>
    <x v="1"/>
    <s v="TEC-PH-10003555"/>
    <x v="0"/>
    <x v="0"/>
    <s v="Motorola HK250 Universal Bluetooth Headset"/>
    <n v="55.176000000000002"/>
    <n v="3"/>
    <n v="-12.4146"/>
    <x v="7"/>
    <x v="3"/>
    <x v="6"/>
    <n v="-0.22500000000000001"/>
  </r>
  <r>
    <s v="CA-2016-168830"/>
    <x v="376"/>
    <d v="2016-11-13T00:00:00"/>
    <x v="0"/>
    <s v="ML-17395"/>
    <s v="Marina Lichtenstein"/>
    <x v="1"/>
    <s v="United States"/>
    <x v="1"/>
    <x v="0"/>
    <x v="0"/>
    <s v="TEC-AC-10003911"/>
    <x v="0"/>
    <x v="1"/>
    <s v="NETGEAR AC1750 Dual Band Gigabit Smart WiFi Router"/>
    <n v="479.97"/>
    <n v="3"/>
    <n v="163.18979999999999"/>
    <x v="3"/>
    <x v="1"/>
    <x v="6"/>
    <n v="0.34"/>
  </r>
  <r>
    <s v="CA-2017-137463"/>
    <x v="782"/>
    <d v="2017-12-20T00:00:00"/>
    <x v="1"/>
    <s v="KM-16225"/>
    <s v="Kalyca Meade"/>
    <x v="1"/>
    <s v="United States"/>
    <x v="324"/>
    <x v="0"/>
    <x v="0"/>
    <s v="TEC-AC-10000358"/>
    <x v="0"/>
    <x v="1"/>
    <s v="Imation Secure Drive + Hardware Encrypted USB flash drive - 16 GB"/>
    <n v="189.95"/>
    <n v="5"/>
    <n v="45.588000000000001"/>
    <x v="1"/>
    <x v="3"/>
    <x v="3"/>
    <n v="0.24"/>
  </r>
  <r>
    <s v="CA-2017-137463"/>
    <x v="782"/>
    <d v="2017-12-20T00:00:00"/>
    <x v="1"/>
    <s v="KM-16225"/>
    <s v="Kalyca Meade"/>
    <x v="1"/>
    <s v="United States"/>
    <x v="324"/>
    <x v="0"/>
    <x v="0"/>
    <s v="TEC-AC-10000057"/>
    <x v="0"/>
    <x v="1"/>
    <s v="Microsoft Natural Ergonomic Keyboard 4000"/>
    <n v="149.94999999999999"/>
    <n v="5"/>
    <n v="31.4895"/>
    <x v="1"/>
    <x v="3"/>
    <x v="3"/>
    <n v="0.21"/>
  </r>
  <r>
    <s v="CA-2014-141838"/>
    <x v="491"/>
    <d v="2014-03-31T00:00:00"/>
    <x v="1"/>
    <s v="DK-12835"/>
    <s v="Damala Kotsonis"/>
    <x v="1"/>
    <s v="United States"/>
    <x v="1"/>
    <x v="0"/>
    <x v="0"/>
    <s v="TEC-PH-10004100"/>
    <x v="0"/>
    <x v="0"/>
    <s v="Griffin GC17055 Auxiliary Audio Cable"/>
    <n v="28.783999999999999"/>
    <n v="2"/>
    <n v="2.8784000000000001"/>
    <x v="0"/>
    <x v="0"/>
    <x v="5"/>
    <n v="0.1"/>
  </r>
  <r>
    <s v="CA-2015-128993"/>
    <x v="364"/>
    <d v="2015-09-17T00:00:00"/>
    <x v="1"/>
    <s v="CC-12670"/>
    <s v="Craig Carreira"/>
    <x v="0"/>
    <s v="United States"/>
    <x v="45"/>
    <x v="17"/>
    <x v="0"/>
    <s v="TEC-AC-10004209"/>
    <x v="0"/>
    <x v="1"/>
    <s v="Memorex Froggy Flash Drive 4 GB"/>
    <n v="21.98"/>
    <n v="2"/>
    <n v="8.5722000000000005"/>
    <x v="0"/>
    <x v="2"/>
    <x v="4"/>
    <n v="0.39"/>
  </r>
  <r>
    <s v="CA-2017-152968"/>
    <x v="783"/>
    <d v="2017-05-30T00:00:00"/>
    <x v="0"/>
    <s v="BM-11785"/>
    <s v="Bryan Mills"/>
    <x v="0"/>
    <s v="United States"/>
    <x v="325"/>
    <x v="23"/>
    <x v="3"/>
    <s v="TEC-AC-10000521"/>
    <x v="0"/>
    <x v="1"/>
    <s v="Verbatim Slim CD and DVD Storage Cases, 50/Pack"/>
    <n v="23.08"/>
    <n v="2"/>
    <n v="6.9240000000000004"/>
    <x v="1"/>
    <x v="3"/>
    <x v="11"/>
    <n v="0.3"/>
  </r>
  <r>
    <s v="CA-2016-150077"/>
    <x v="784"/>
    <d v="2016-02-10T00:00:00"/>
    <x v="0"/>
    <s v="MS-17365"/>
    <s v="Maribeth Schnelling"/>
    <x v="0"/>
    <s v="United States"/>
    <x v="94"/>
    <x v="33"/>
    <x v="2"/>
    <s v="TEC-PH-10002890"/>
    <x v="0"/>
    <x v="0"/>
    <s v="AT&amp;T 17929 Lendline Telephone"/>
    <n v="90.48"/>
    <n v="2"/>
    <n v="23.524799999999999"/>
    <x v="3"/>
    <x v="1"/>
    <x v="8"/>
    <n v="0.26"/>
  </r>
  <r>
    <s v="CA-2016-142524"/>
    <x v="785"/>
    <d v="2016-09-08T00:00:00"/>
    <x v="0"/>
    <s v="MB-18085"/>
    <s v="Mick Brown"/>
    <x v="0"/>
    <s v="United States"/>
    <x v="84"/>
    <x v="18"/>
    <x v="1"/>
    <s v="TEC-AC-10000109"/>
    <x v="0"/>
    <x v="1"/>
    <s v="Sony Micro Vault Click 16 GB USB 2.0 Flash Drive"/>
    <n v="279.95"/>
    <n v="5"/>
    <n v="67.188000000000002"/>
    <x v="1"/>
    <x v="1"/>
    <x v="4"/>
    <n v="0.24"/>
  </r>
  <r>
    <s v="US-2014-124625"/>
    <x v="524"/>
    <d v="2014-11-07T00:00:00"/>
    <x v="0"/>
    <s v="SP-20650"/>
    <s v="Stephanie Phelps"/>
    <x v="1"/>
    <s v="United States"/>
    <x v="70"/>
    <x v="25"/>
    <x v="1"/>
    <s v="TEC-AC-10003280"/>
    <x v="0"/>
    <x v="1"/>
    <s v="Belkin F8E887 USB Wired Ergonomic Keyboard"/>
    <n v="89.97"/>
    <n v="3"/>
    <n v="18.893699999999999"/>
    <x v="1"/>
    <x v="0"/>
    <x v="6"/>
    <n v="0.21"/>
  </r>
  <r>
    <s v="CA-2017-166898"/>
    <x v="631"/>
    <d v="2017-09-13T00:00:00"/>
    <x v="1"/>
    <s v="KH-16630"/>
    <s v="Ken Heidel"/>
    <x v="1"/>
    <s v="United States"/>
    <x v="72"/>
    <x v="0"/>
    <x v="0"/>
    <s v="TEC-PH-10002564"/>
    <x v="0"/>
    <x v="0"/>
    <s v="OtterBox Defender Series Case - Samsung Galaxy S4"/>
    <n v="143.952"/>
    <n v="6"/>
    <n v="17.994"/>
    <x v="2"/>
    <x v="3"/>
    <x v="4"/>
    <n v="0.125"/>
  </r>
  <r>
    <s v="CA-2015-150308"/>
    <x v="66"/>
    <d v="2015-12-20T00:00:00"/>
    <x v="0"/>
    <s v="RR-19525"/>
    <s v="Rick Reed"/>
    <x v="1"/>
    <s v="United States"/>
    <x v="63"/>
    <x v="8"/>
    <x v="3"/>
    <s v="TEC-PH-10001433"/>
    <x v="0"/>
    <x v="0"/>
    <s v="Cisco Small Business SPA 502G VoIP phone"/>
    <n v="246.16800000000001"/>
    <n v="3"/>
    <n v="21.5397"/>
    <x v="0"/>
    <x v="2"/>
    <x v="3"/>
    <n v="8.7499999999999994E-2"/>
  </r>
  <r>
    <s v="US-2015-132836"/>
    <x v="786"/>
    <d v="2015-06-05T00:00:00"/>
    <x v="0"/>
    <s v="AJ-10945"/>
    <s v="Ashley Jarboe"/>
    <x v="0"/>
    <s v="United States"/>
    <x v="77"/>
    <x v="14"/>
    <x v="1"/>
    <s v="TEC-PH-10001299"/>
    <x v="0"/>
    <x v="0"/>
    <s v="Polycom CX300 Desktop Phone USB VoIP phone"/>
    <n v="299.98"/>
    <n v="2"/>
    <n v="83.994399999999999"/>
    <x v="1"/>
    <x v="2"/>
    <x v="0"/>
    <n v="0.28000000000000003"/>
  </r>
  <r>
    <s v="US-2015-132836"/>
    <x v="786"/>
    <d v="2015-06-05T00:00:00"/>
    <x v="0"/>
    <s v="AJ-10945"/>
    <s v="Ashley Jarboe"/>
    <x v="0"/>
    <s v="United States"/>
    <x v="77"/>
    <x v="14"/>
    <x v="1"/>
    <s v="TEC-PH-10001300"/>
    <x v="0"/>
    <x v="0"/>
    <s v="iKross Bluetooth Portable Keyboard + Cell Phone Stand Holder + Brush for Apple iPhone 5S 5C 5, 4S 4"/>
    <n v="41.9"/>
    <n v="2"/>
    <n v="11.731999999999999"/>
    <x v="1"/>
    <x v="2"/>
    <x v="0"/>
    <n v="0.28000000000000003"/>
  </r>
  <r>
    <s v="CA-2017-152933"/>
    <x v="307"/>
    <d v="2017-10-16T00:00:00"/>
    <x v="0"/>
    <s v="MG-17650"/>
    <s v="Matthew Grinstein"/>
    <x v="2"/>
    <s v="United States"/>
    <x v="26"/>
    <x v="1"/>
    <x v="1"/>
    <s v="TEC-PH-10002085"/>
    <x v="0"/>
    <x v="0"/>
    <s v="Clarity 53712"/>
    <n v="369.54399999999998"/>
    <n v="7"/>
    <n v="27.715800000000002"/>
    <x v="1"/>
    <x v="3"/>
    <x v="7"/>
    <n v="7.4999999999999997E-2"/>
  </r>
  <r>
    <s v="CA-2017-152933"/>
    <x v="307"/>
    <d v="2017-10-16T00:00:00"/>
    <x v="0"/>
    <s v="MG-17650"/>
    <s v="Matthew Grinstein"/>
    <x v="2"/>
    <s v="United States"/>
    <x v="26"/>
    <x v="1"/>
    <x v="1"/>
    <s v="TEC-AC-10003033"/>
    <x v="0"/>
    <x v="1"/>
    <s v="Plantronics CS510 - Over-the-Head monaural Wireless Headset System"/>
    <n v="791.88"/>
    <n v="3"/>
    <n v="128.68049999999999"/>
    <x v="1"/>
    <x v="3"/>
    <x v="7"/>
    <n v="0.16250000000000001"/>
  </r>
  <r>
    <s v="CA-2015-163181"/>
    <x v="787"/>
    <d v="2015-11-12T00:00:00"/>
    <x v="0"/>
    <s v="AB-10105"/>
    <s v="Adrian Barton"/>
    <x v="0"/>
    <s v="United States"/>
    <x v="3"/>
    <x v="1"/>
    <x v="1"/>
    <s v="TEC-MA-10001016"/>
    <x v="0"/>
    <x v="2"/>
    <s v="Canon PC170 Desktop Personal Copier"/>
    <n v="287.91000000000003"/>
    <n v="3"/>
    <n v="33.589500000000001"/>
    <x v="0"/>
    <x v="2"/>
    <x v="6"/>
    <n v="0.116666666666667"/>
  </r>
  <r>
    <s v="CA-2015-132941"/>
    <x v="537"/>
    <d v="2015-05-28T00:00:00"/>
    <x v="2"/>
    <s v="MM-18280"/>
    <s v="Muhammed MacIntyre"/>
    <x v="1"/>
    <s v="United States"/>
    <x v="326"/>
    <x v="1"/>
    <x v="1"/>
    <s v="TEC-AC-10003095"/>
    <x v="0"/>
    <x v="1"/>
    <s v="Logitech G35 7.1-Channel Surround Sound Headset"/>
    <n v="207.98400000000001"/>
    <n v="2"/>
    <n v="36.397199999999998"/>
    <x v="6"/>
    <x v="2"/>
    <x v="11"/>
    <n v="0.17499999999999999"/>
  </r>
  <r>
    <s v="CA-2014-132010"/>
    <x v="115"/>
    <d v="2014-10-15T00:00:00"/>
    <x v="2"/>
    <s v="MA-17995"/>
    <s v="Michelle Arnett"/>
    <x v="2"/>
    <s v="United States"/>
    <x v="184"/>
    <x v="23"/>
    <x v="3"/>
    <s v="TEC-AC-10001542"/>
    <x v="0"/>
    <x v="1"/>
    <s v="SanDisk Cruzer 16 GB USB Flash Drive"/>
    <n v="22.96"/>
    <n v="2"/>
    <n v="4.3624000000000001"/>
    <x v="2"/>
    <x v="0"/>
    <x v="7"/>
    <n v="0.19"/>
  </r>
  <r>
    <s v="CA-2016-135461"/>
    <x v="234"/>
    <d v="2016-02-10T00:00:00"/>
    <x v="1"/>
    <s v="EB-13975"/>
    <s v="Erica Bern"/>
    <x v="1"/>
    <s v="United States"/>
    <x v="0"/>
    <x v="0"/>
    <x v="0"/>
    <s v="TEC-PH-10004094"/>
    <x v="0"/>
    <x v="0"/>
    <s v="Motorola L703CM"/>
    <n v="623.96"/>
    <n v="5"/>
    <n v="38.997500000000002"/>
    <x v="6"/>
    <x v="1"/>
    <x v="8"/>
    <n v="6.25E-2"/>
  </r>
  <r>
    <s v="CA-2017-153045"/>
    <x v="788"/>
    <d v="2017-01-24T00:00:00"/>
    <x v="1"/>
    <s v="NS-18505"/>
    <s v="Neola Schneider"/>
    <x v="0"/>
    <s v="United States"/>
    <x v="20"/>
    <x v="12"/>
    <x v="2"/>
    <s v="TEC-PH-10001817"/>
    <x v="0"/>
    <x v="0"/>
    <s v="Wilson Electronics DB Pro Signal Booster"/>
    <n v="429.6"/>
    <n v="2"/>
    <n v="-93.08"/>
    <x v="0"/>
    <x v="3"/>
    <x v="2"/>
    <n v="-0.21666666666666701"/>
  </r>
  <r>
    <s v="CA-2015-157805"/>
    <x v="303"/>
    <d v="2015-09-04T00:00:00"/>
    <x v="0"/>
    <s v="RH-19510"/>
    <s v="Rick Huthwaite"/>
    <x v="2"/>
    <s v="United States"/>
    <x v="30"/>
    <x v="0"/>
    <x v="0"/>
    <s v="TEC-PH-10004447"/>
    <x v="0"/>
    <x v="0"/>
    <s v="Toshiba IPT2010-SD IP Telephone"/>
    <n v="555.96"/>
    <n v="5"/>
    <n v="41.697000000000003"/>
    <x v="1"/>
    <x v="2"/>
    <x v="1"/>
    <n v="7.4999999999999997E-2"/>
  </r>
  <r>
    <s v="CA-2014-123400"/>
    <x v="789"/>
    <d v="2014-02-09T00:00:00"/>
    <x v="0"/>
    <s v="EB-13930"/>
    <s v="Eric Barreto"/>
    <x v="0"/>
    <s v="United States"/>
    <x v="33"/>
    <x v="15"/>
    <x v="3"/>
    <s v="TEC-PH-10002890"/>
    <x v="0"/>
    <x v="0"/>
    <s v="AT&amp;T 17929 Lendline Telephone"/>
    <n v="180.96"/>
    <n v="5"/>
    <n v="13.571999999999999"/>
    <x v="5"/>
    <x v="0"/>
    <x v="8"/>
    <n v="7.4999999999999997E-2"/>
  </r>
  <r>
    <s v="CA-2014-106971"/>
    <x v="547"/>
    <d v="2014-09-08T00:00:00"/>
    <x v="0"/>
    <s v="BM-11785"/>
    <s v="Bryan Mills"/>
    <x v="0"/>
    <s v="United States"/>
    <x v="327"/>
    <x v="2"/>
    <x v="1"/>
    <s v="TEC-AC-10000844"/>
    <x v="0"/>
    <x v="1"/>
    <s v="Logitech Gaming G510s - Keyboard"/>
    <n v="475.94400000000002"/>
    <n v="7"/>
    <n v="95.188800000000001"/>
    <x v="3"/>
    <x v="0"/>
    <x v="4"/>
    <n v="0.2"/>
  </r>
  <r>
    <s v="CA-2017-123029"/>
    <x v="790"/>
    <d v="2017-10-02T00:00:00"/>
    <x v="1"/>
    <s v="BT-11530"/>
    <s v="Bradley Talbott"/>
    <x v="2"/>
    <s v="United States"/>
    <x v="0"/>
    <x v="0"/>
    <x v="0"/>
    <s v="TEC-AC-10002402"/>
    <x v="0"/>
    <x v="1"/>
    <s v="Razer Kraken PRO Over Ear PC and Music Headset"/>
    <n v="159.97999999999999"/>
    <n v="2"/>
    <n v="47.994"/>
    <x v="2"/>
    <x v="3"/>
    <x v="4"/>
    <n v="0.3"/>
  </r>
  <r>
    <s v="CA-2016-139409"/>
    <x v="182"/>
    <d v="2016-09-07T00:00:00"/>
    <x v="2"/>
    <s v="FW-14395"/>
    <s v="Fred Wasserman"/>
    <x v="1"/>
    <s v="United States"/>
    <x v="7"/>
    <x v="5"/>
    <x v="2"/>
    <s v="TEC-PH-10003988"/>
    <x v="0"/>
    <x v="0"/>
    <s v="LF Elite 3D Dazzle Designer Hard Case Cover, Lf Stylus Pen and Wiper For Apple Iphone 5c Mini Lite"/>
    <n v="43.6"/>
    <n v="4"/>
    <n v="12.208"/>
    <x v="2"/>
    <x v="1"/>
    <x v="4"/>
    <n v="0.28000000000000003"/>
  </r>
  <r>
    <s v="US-2017-166688"/>
    <x v="615"/>
    <d v="2017-05-26T00:00:00"/>
    <x v="0"/>
    <s v="RD-19480"/>
    <s v="Rick Duston"/>
    <x v="0"/>
    <s v="United States"/>
    <x v="328"/>
    <x v="36"/>
    <x v="0"/>
    <s v="TEC-PH-10004094"/>
    <x v="0"/>
    <x v="0"/>
    <s v="Motorola L703CM"/>
    <n v="1123.1279999999999"/>
    <n v="9"/>
    <n v="70.195499999999996"/>
    <x v="3"/>
    <x v="3"/>
    <x v="11"/>
    <n v="6.25E-2"/>
  </r>
  <r>
    <s v="US-2016-165505"/>
    <x v="791"/>
    <d v="2016-01-27T00:00:00"/>
    <x v="0"/>
    <s v="CB-12535"/>
    <s v="Claudia Bergmann"/>
    <x v="1"/>
    <s v="United States"/>
    <x v="60"/>
    <x v="38"/>
    <x v="2"/>
    <s v="TEC-AC-10002926"/>
    <x v="0"/>
    <x v="1"/>
    <s v="Logitech Wireless Marathon Mouse M705"/>
    <n v="99.98"/>
    <n v="2"/>
    <n v="42.991399999999999"/>
    <x v="1"/>
    <x v="1"/>
    <x v="2"/>
    <n v="0.43"/>
  </r>
  <r>
    <s v="US-2015-106873"/>
    <x v="479"/>
    <d v="2015-09-29T00:00:00"/>
    <x v="1"/>
    <s v="KM-16720"/>
    <s v="Kunst Miller"/>
    <x v="0"/>
    <s v="United States"/>
    <x v="233"/>
    <x v="6"/>
    <x v="0"/>
    <s v="TEC-AC-10002345"/>
    <x v="0"/>
    <x v="1"/>
    <s v="HP Standard 104 key PS/2 Keyboard"/>
    <n v="23.2"/>
    <n v="2"/>
    <n v="1.45"/>
    <x v="0"/>
    <x v="2"/>
    <x v="4"/>
    <n v="6.25E-2"/>
  </r>
  <r>
    <s v="CA-2014-134215"/>
    <x v="193"/>
    <d v="2014-08-08T00:00:00"/>
    <x v="0"/>
    <s v="ML-17395"/>
    <s v="Marina Lichtenstein"/>
    <x v="1"/>
    <s v="United States"/>
    <x v="143"/>
    <x v="39"/>
    <x v="2"/>
    <s v="TEC-AC-10002473"/>
    <x v="0"/>
    <x v="1"/>
    <s v="Maxell 4.7GB DVD-R"/>
    <n v="255.42"/>
    <n v="9"/>
    <n v="104.7222"/>
    <x v="1"/>
    <x v="0"/>
    <x v="1"/>
    <n v="0.41"/>
  </r>
  <r>
    <s v="CA-2015-164007"/>
    <x v="792"/>
    <d v="2015-06-12T00:00:00"/>
    <x v="0"/>
    <s v="MG-17695"/>
    <s v="Maureen Gnade"/>
    <x v="0"/>
    <s v="United States"/>
    <x v="11"/>
    <x v="2"/>
    <x v="1"/>
    <s v="TEC-AC-10003433"/>
    <x v="0"/>
    <x v="1"/>
    <s v="Maxell 4.7GB DVD+R 5/Pack"/>
    <n v="2.3759999999999999"/>
    <n v="3"/>
    <n v="0.74250000000000005"/>
    <x v="1"/>
    <x v="2"/>
    <x v="0"/>
    <n v="0.3125"/>
  </r>
  <r>
    <s v="CA-2016-100300"/>
    <x v="429"/>
    <d v="2016-06-26T00:00:00"/>
    <x v="1"/>
    <s v="MJ-17740"/>
    <s v="Max Jones"/>
    <x v="0"/>
    <s v="United States"/>
    <x v="30"/>
    <x v="0"/>
    <x v="0"/>
    <s v="TEC-MA-10000984"/>
    <x v="0"/>
    <x v="2"/>
    <s v="Okidata MB760 Printer"/>
    <n v="4476.8"/>
    <n v="4"/>
    <n v="503.64"/>
    <x v="2"/>
    <x v="1"/>
    <x v="0"/>
    <n v="0.1125"/>
  </r>
  <r>
    <s v="CA-2017-119424"/>
    <x v="576"/>
    <d v="2017-06-14T00:00:00"/>
    <x v="1"/>
    <s v="SB-20185"/>
    <s v="Sarah Brown"/>
    <x v="0"/>
    <s v="United States"/>
    <x v="117"/>
    <x v="17"/>
    <x v="0"/>
    <s v="TEC-PH-10002564"/>
    <x v="0"/>
    <x v="0"/>
    <s v="OtterBox Defender Series Case - Samsung Galaxy S4"/>
    <n v="71.975999999999999"/>
    <n v="3"/>
    <n v="8.9969999999999999"/>
    <x v="2"/>
    <x v="3"/>
    <x v="0"/>
    <n v="0.125"/>
  </r>
  <r>
    <s v="CA-2016-166618"/>
    <x v="296"/>
    <d v="2016-11-18T00:00:00"/>
    <x v="0"/>
    <s v="DP-13000"/>
    <s v="Darren Powers"/>
    <x v="0"/>
    <s v="United States"/>
    <x v="7"/>
    <x v="5"/>
    <x v="2"/>
    <s v="TEC-PH-10003356"/>
    <x v="0"/>
    <x v="0"/>
    <s v="SmartStand Mobile Device Holder, Assorted Colors"/>
    <n v="13.98"/>
    <n v="2"/>
    <n v="3.9144000000000001"/>
    <x v="1"/>
    <x v="1"/>
    <x v="6"/>
    <n v="0.28000000000000003"/>
  </r>
  <r>
    <s v="CA-2017-156776"/>
    <x v="350"/>
    <d v="2017-08-11T00:00:00"/>
    <x v="0"/>
    <s v="JL-15505"/>
    <s v="Jeremy Lonsdale"/>
    <x v="0"/>
    <s v="United States"/>
    <x v="111"/>
    <x v="0"/>
    <x v="0"/>
    <s v="TEC-PH-10002415"/>
    <x v="0"/>
    <x v="0"/>
    <s v="Polycom VoiceStation 500 Conference phone"/>
    <n v="707.88"/>
    <n v="3"/>
    <n v="44.2425"/>
    <x v="1"/>
    <x v="3"/>
    <x v="1"/>
    <n v="6.25E-2"/>
  </r>
  <r>
    <s v="CA-2017-156776"/>
    <x v="350"/>
    <d v="2017-08-11T00:00:00"/>
    <x v="0"/>
    <s v="JL-15505"/>
    <s v="Jeremy Lonsdale"/>
    <x v="0"/>
    <s v="United States"/>
    <x v="111"/>
    <x v="0"/>
    <x v="0"/>
    <s v="TEC-AC-10004803"/>
    <x v="0"/>
    <x v="1"/>
    <s v="Sony Micro Vault Click 4 GB USB 2.0 Flash Drive"/>
    <n v="55.76"/>
    <n v="4"/>
    <n v="7.8064"/>
    <x v="1"/>
    <x v="3"/>
    <x v="1"/>
    <n v="0.14000000000000001"/>
  </r>
  <r>
    <s v="US-2015-130512"/>
    <x v="793"/>
    <d v="2015-08-25T00:00:00"/>
    <x v="0"/>
    <s v="SM-20320"/>
    <s v="Sean Miller"/>
    <x v="2"/>
    <s v="United States"/>
    <x v="329"/>
    <x v="12"/>
    <x v="2"/>
    <s v="TEC-AC-10000290"/>
    <x v="0"/>
    <x v="1"/>
    <s v="Sabrent 4-Port USB 2.0 Hub"/>
    <n v="21.728000000000002"/>
    <n v="4"/>
    <n v="3.8024"/>
    <x v="1"/>
    <x v="2"/>
    <x v="1"/>
    <n v="0.17499999999999999"/>
  </r>
  <r>
    <s v="CA-2015-141810"/>
    <x v="166"/>
    <d v="2015-11-07T00:00:00"/>
    <x v="0"/>
    <s v="BB-10990"/>
    <s v="Barry Blumstein"/>
    <x v="1"/>
    <s v="United States"/>
    <x v="21"/>
    <x v="1"/>
    <x v="1"/>
    <s v="TEC-PH-10002200"/>
    <x v="0"/>
    <x v="0"/>
    <s v="Aastra 6757i CT Wireless VoIP phone"/>
    <n v="344.70400000000001"/>
    <n v="2"/>
    <n v="38.779200000000003"/>
    <x v="0"/>
    <x v="2"/>
    <x v="6"/>
    <n v="0.1125"/>
  </r>
  <r>
    <s v="CA-2014-146843"/>
    <x v="794"/>
    <d v="2014-12-06T00:00:00"/>
    <x v="0"/>
    <s v="PB-19150"/>
    <s v="Philip Brown"/>
    <x v="0"/>
    <s v="United States"/>
    <x v="233"/>
    <x v="6"/>
    <x v="0"/>
    <s v="TEC-AC-10002550"/>
    <x v="0"/>
    <x v="1"/>
    <s v="Memorex 25GB 6X Branded Blu-Ray Recordable Disc, 30/Pack"/>
    <n v="102.24"/>
    <n v="4"/>
    <n v="-16.614000000000001"/>
    <x v="3"/>
    <x v="0"/>
    <x v="6"/>
    <n v="-0.16250000000000001"/>
  </r>
  <r>
    <s v="CA-2014-103310"/>
    <x v="561"/>
    <d v="2014-05-15T00:00:00"/>
    <x v="0"/>
    <s v="GM-14680"/>
    <s v="Greg Matthias"/>
    <x v="0"/>
    <s v="United States"/>
    <x v="288"/>
    <x v="0"/>
    <x v="0"/>
    <s v="TEC-PH-10001817"/>
    <x v="0"/>
    <x v="0"/>
    <s v="Wilson Electronics DB Pro Signal Booster"/>
    <n v="1432"/>
    <n v="5"/>
    <n v="125.3"/>
    <x v="0"/>
    <x v="0"/>
    <x v="11"/>
    <n v="8.7499999999999994E-2"/>
  </r>
  <r>
    <s v="CA-2017-140781"/>
    <x v="795"/>
    <d v="2017-08-07T00:00:00"/>
    <x v="0"/>
    <s v="AB-10105"/>
    <s v="Adrian Barton"/>
    <x v="0"/>
    <s v="United States"/>
    <x v="202"/>
    <x v="2"/>
    <x v="1"/>
    <s v="TEC-AC-10000682"/>
    <x v="0"/>
    <x v="1"/>
    <s v="Kensington K72356US Mouse-in-a-Box USB Desktop Mouse"/>
    <n v="39.816000000000003"/>
    <n v="3"/>
    <n v="7.4654999999999996"/>
    <x v="1"/>
    <x v="3"/>
    <x v="1"/>
    <n v="0.1875"/>
  </r>
  <r>
    <s v="CA-2016-126732"/>
    <x v="659"/>
    <d v="2016-09-06T00:00:00"/>
    <x v="0"/>
    <s v="LR-16915"/>
    <s v="Lena Radford"/>
    <x v="0"/>
    <s v="United States"/>
    <x v="0"/>
    <x v="0"/>
    <x v="0"/>
    <s v="TEC-PH-10001530"/>
    <x v="0"/>
    <x v="0"/>
    <s v="Cisco Unified IP Phone 7945G VoIP phone"/>
    <n v="1091.1679999999999"/>
    <n v="4"/>
    <n v="68.197999999999993"/>
    <x v="1"/>
    <x v="1"/>
    <x v="4"/>
    <n v="6.25E-2"/>
  </r>
  <r>
    <s v="CA-2016-127761"/>
    <x v="437"/>
    <d v="2016-11-14T00:00:00"/>
    <x v="0"/>
    <s v="SW-20275"/>
    <s v="Scott Williamson"/>
    <x v="0"/>
    <s v="United States"/>
    <x v="7"/>
    <x v="5"/>
    <x v="2"/>
    <s v="TEC-PH-10003691"/>
    <x v="0"/>
    <x v="0"/>
    <s v="BlackBerry Q10"/>
    <n v="881.93"/>
    <n v="7"/>
    <n v="220.48249999999999"/>
    <x v="1"/>
    <x v="1"/>
    <x v="6"/>
    <n v="0.25"/>
  </r>
  <r>
    <s v="CA-2017-102309"/>
    <x v="262"/>
    <d v="2017-09-25T00:00:00"/>
    <x v="1"/>
    <s v="DO-13645"/>
    <s v="Doug O'Connell"/>
    <x v="0"/>
    <s v="United States"/>
    <x v="330"/>
    <x v="32"/>
    <x v="3"/>
    <s v="TEC-AC-10001114"/>
    <x v="0"/>
    <x v="1"/>
    <s v="Microsoft Wireless Mobile Mouse 4000"/>
    <n v="199.95"/>
    <n v="5"/>
    <n v="63.984000000000002"/>
    <x v="2"/>
    <x v="3"/>
    <x v="4"/>
    <n v="0.32"/>
  </r>
  <r>
    <s v="CA-2016-100510"/>
    <x v="796"/>
    <d v="2016-05-17T00:00:00"/>
    <x v="0"/>
    <s v="HM-14860"/>
    <s v="Harry Marie"/>
    <x v="1"/>
    <s v="United States"/>
    <x v="7"/>
    <x v="5"/>
    <x v="2"/>
    <s v="TEC-PH-10001835"/>
    <x v="0"/>
    <x v="0"/>
    <s v="Jawbone JAMBOX Wireless Bluetooth Speaker"/>
    <n v="631.96"/>
    <n v="4"/>
    <n v="303.3408"/>
    <x v="0"/>
    <x v="1"/>
    <x v="11"/>
    <n v="0.48"/>
  </r>
  <r>
    <s v="CA-2016-113236"/>
    <x v="181"/>
    <d v="2016-05-29T00:00:00"/>
    <x v="1"/>
    <s v="CP-12085"/>
    <s v="Cathy Prescott"/>
    <x v="1"/>
    <s v="United States"/>
    <x v="331"/>
    <x v="15"/>
    <x v="3"/>
    <s v="TEC-AC-10001267"/>
    <x v="0"/>
    <x v="1"/>
    <s v="Imation 32GB Pocket Pro USB 3.0 Flash Drive - 32 GB - Black - 1 P ..."/>
    <n v="47.92"/>
    <n v="2"/>
    <n v="11.98"/>
    <x v="6"/>
    <x v="1"/>
    <x v="11"/>
    <n v="0.25"/>
  </r>
  <r>
    <s v="US-2015-163433"/>
    <x v="319"/>
    <d v="2015-04-22T00:00:00"/>
    <x v="1"/>
    <s v="MP-17965"/>
    <s v="Michael Paige"/>
    <x v="1"/>
    <s v="United States"/>
    <x v="264"/>
    <x v="1"/>
    <x v="1"/>
    <s v="TEC-AC-10003590"/>
    <x v="0"/>
    <x v="1"/>
    <s v="TRENDnet 56K USB 2.0 Phone, Internet and Fax Modem"/>
    <n v="41.423999999999999"/>
    <n v="2"/>
    <n v="8.2848000000000006"/>
    <x v="1"/>
    <x v="2"/>
    <x v="9"/>
    <n v="0.2"/>
  </r>
  <r>
    <s v="US-2015-163433"/>
    <x v="319"/>
    <d v="2015-04-22T00:00:00"/>
    <x v="1"/>
    <s v="MP-17965"/>
    <s v="Michael Paige"/>
    <x v="1"/>
    <s v="United States"/>
    <x v="264"/>
    <x v="1"/>
    <x v="1"/>
    <s v="TEC-PH-10003357"/>
    <x v="0"/>
    <x v="0"/>
    <s v="Grandstream GXP2100 Mainstream Business Phone"/>
    <n v="244.768"/>
    <n v="4"/>
    <n v="24.476800000000001"/>
    <x v="1"/>
    <x v="2"/>
    <x v="9"/>
    <n v="0.1"/>
  </r>
  <r>
    <s v="US-2015-163433"/>
    <x v="319"/>
    <d v="2015-04-22T00:00:00"/>
    <x v="1"/>
    <s v="MP-17965"/>
    <s v="Michael Paige"/>
    <x v="1"/>
    <s v="United States"/>
    <x v="264"/>
    <x v="1"/>
    <x v="1"/>
    <s v="TEC-PH-10001870"/>
    <x v="0"/>
    <x v="0"/>
    <s v="Lunatik TT5L-002 Taktik Strike Impact Protection System for iPhone 5"/>
    <n v="97.968000000000004"/>
    <n v="2"/>
    <n v="6.1230000000000002"/>
    <x v="1"/>
    <x v="2"/>
    <x v="9"/>
    <n v="6.25E-2"/>
  </r>
  <r>
    <s v="CA-2014-128237"/>
    <x v="797"/>
    <d v="2014-03-30T00:00:00"/>
    <x v="0"/>
    <s v="CA-12265"/>
    <s v="Christina Anderson"/>
    <x v="0"/>
    <s v="United States"/>
    <x v="1"/>
    <x v="0"/>
    <x v="0"/>
    <s v="TEC-AC-10002558"/>
    <x v="0"/>
    <x v="1"/>
    <s v="Imation Swivel Flash Drive USB flash drive - 8 GB"/>
    <n v="45.48"/>
    <n v="4"/>
    <n v="15.917999999999999"/>
    <x v="0"/>
    <x v="0"/>
    <x v="5"/>
    <n v="0.35"/>
  </r>
  <r>
    <s v="CA-2016-161907"/>
    <x v="798"/>
    <d v="2016-04-09T00:00:00"/>
    <x v="0"/>
    <s v="JH-16180"/>
    <s v="Justin Hirsh"/>
    <x v="0"/>
    <s v="United States"/>
    <x v="20"/>
    <x v="12"/>
    <x v="2"/>
    <s v="TEC-PH-10000141"/>
    <x v="0"/>
    <x v="0"/>
    <s v="Clearsounds A400"/>
    <n v="118.782"/>
    <n v="3"/>
    <n v="-27.715800000000002"/>
    <x v="1"/>
    <x v="1"/>
    <x v="9"/>
    <n v="-0.233333333333333"/>
  </r>
  <r>
    <s v="CA-2017-124940"/>
    <x v="799"/>
    <d v="2017-02-26T00:00:00"/>
    <x v="0"/>
    <s v="DK-13090"/>
    <s v="Dave Kipp"/>
    <x v="0"/>
    <s v="United States"/>
    <x v="131"/>
    <x v="1"/>
    <x v="1"/>
    <s v="TEC-AC-10002076"/>
    <x v="0"/>
    <x v="1"/>
    <s v="Microsoft Natural Keyboard Elite"/>
    <n v="47.904000000000003"/>
    <n v="1"/>
    <n v="-2.9940000000000002"/>
    <x v="0"/>
    <x v="3"/>
    <x v="8"/>
    <n v="-6.25E-2"/>
  </r>
  <r>
    <s v="US-2017-130687"/>
    <x v="277"/>
    <d v="2017-09-10T00:00:00"/>
    <x v="2"/>
    <s v="PF-19225"/>
    <s v="Phillip Flathmann"/>
    <x v="0"/>
    <s v="United States"/>
    <x v="71"/>
    <x v="17"/>
    <x v="0"/>
    <s v="TEC-PH-10002033"/>
    <x v="0"/>
    <x v="0"/>
    <s v="Konftel 250 Conference phone - Charcoal black"/>
    <n v="455.71199999999999"/>
    <n v="2"/>
    <n v="34.178400000000003"/>
    <x v="6"/>
    <x v="3"/>
    <x v="4"/>
    <n v="7.4999999999999997E-2"/>
  </r>
  <r>
    <s v="CA-2016-108056"/>
    <x v="423"/>
    <d v="2016-10-03T00:00:00"/>
    <x v="0"/>
    <s v="ES-14080"/>
    <s v="Erin Smith"/>
    <x v="1"/>
    <s v="United States"/>
    <x v="84"/>
    <x v="16"/>
    <x v="0"/>
    <s v="TEC-PH-10001817"/>
    <x v="0"/>
    <x v="0"/>
    <s v="Wilson Electronics DB Pro Signal Booster"/>
    <n v="859.2"/>
    <n v="3"/>
    <n v="75.180000000000007"/>
    <x v="1"/>
    <x v="1"/>
    <x v="4"/>
    <n v="8.7499999999999994E-2"/>
  </r>
  <r>
    <s v="CA-2014-155264"/>
    <x v="800"/>
    <d v="2014-10-22T00:00:00"/>
    <x v="1"/>
    <s v="RP-19270"/>
    <s v="Rachel Payne"/>
    <x v="1"/>
    <s v="United States"/>
    <x v="1"/>
    <x v="0"/>
    <x v="0"/>
    <s v="TEC-PH-10001305"/>
    <x v="0"/>
    <x v="0"/>
    <s v="Panasonic KX TS208W Corded phone"/>
    <n v="117.57599999999999"/>
    <n v="3"/>
    <n v="11.7576"/>
    <x v="6"/>
    <x v="0"/>
    <x v="7"/>
    <n v="0.1"/>
  </r>
  <r>
    <s v="CA-2017-109085"/>
    <x v="457"/>
    <d v="2017-02-20T00:00:00"/>
    <x v="2"/>
    <s v="CK-12325"/>
    <s v="Christine Kargatis"/>
    <x v="2"/>
    <s v="United States"/>
    <x v="8"/>
    <x v="9"/>
    <x v="2"/>
    <s v="TEC-PH-10000526"/>
    <x v="0"/>
    <x v="0"/>
    <s v="Vtech CS6719"/>
    <n v="57.594000000000001"/>
    <n v="1"/>
    <n v="-11.518800000000001"/>
    <x v="6"/>
    <x v="3"/>
    <x v="8"/>
    <n v="-0.2"/>
  </r>
  <r>
    <s v="CA-2017-102820"/>
    <x v="541"/>
    <d v="2017-05-11T00:00:00"/>
    <x v="0"/>
    <s v="CS-11950"/>
    <s v="Carlos Soltero"/>
    <x v="0"/>
    <s v="United States"/>
    <x v="81"/>
    <x v="0"/>
    <x v="0"/>
    <s v="TEC-PH-10003437"/>
    <x v="0"/>
    <x v="0"/>
    <s v="Blue Parrot B250XT Professional Grade Wireless Bluetooth Headset with"/>
    <n v="419.94400000000002"/>
    <n v="7"/>
    <n v="52.493000000000002"/>
    <x v="1"/>
    <x v="3"/>
    <x v="11"/>
    <n v="0.125"/>
  </r>
  <r>
    <s v="CA-2015-126347"/>
    <x v="292"/>
    <d v="2015-12-19T00:00:00"/>
    <x v="1"/>
    <s v="AJ-10945"/>
    <s v="Ashley Jarboe"/>
    <x v="0"/>
    <s v="United States"/>
    <x v="0"/>
    <x v="0"/>
    <x v="0"/>
    <s v="TEC-AC-10003063"/>
    <x v="0"/>
    <x v="1"/>
    <s v="Micro Innovations USB RF Wireless Keyboard with Mouse"/>
    <n v="50"/>
    <n v="2"/>
    <n v="10.5"/>
    <x v="0"/>
    <x v="2"/>
    <x v="3"/>
    <n v="0.21"/>
  </r>
  <r>
    <s v="CA-2017-108756"/>
    <x v="309"/>
    <d v="2017-12-29T00:00:00"/>
    <x v="0"/>
    <s v="PO-18865"/>
    <s v="Patrick O'Donnell"/>
    <x v="0"/>
    <s v="United States"/>
    <x v="332"/>
    <x v="26"/>
    <x v="2"/>
    <s v="TEC-AC-10003237"/>
    <x v="0"/>
    <x v="1"/>
    <s v="Memorex Micro Travel Drive 4 GB"/>
    <n v="31.8"/>
    <n v="3"/>
    <n v="13.673999999999999"/>
    <x v="1"/>
    <x v="3"/>
    <x v="3"/>
    <n v="0.43"/>
  </r>
  <r>
    <s v="CA-2017-162474"/>
    <x v="377"/>
    <d v="2017-03-16T00:00:00"/>
    <x v="2"/>
    <s v="FH-14275"/>
    <s v="Frank Hawley"/>
    <x v="1"/>
    <s v="United States"/>
    <x v="12"/>
    <x v="2"/>
    <x v="1"/>
    <s v="TEC-PH-10004700"/>
    <x v="0"/>
    <x v="0"/>
    <s v="PowerGen Dual USB Car Charger"/>
    <n v="7.992"/>
    <n v="1"/>
    <n v="2.5973999999999999"/>
    <x v="6"/>
    <x v="3"/>
    <x v="5"/>
    <n v="0.32500000000000001"/>
  </r>
  <r>
    <s v="CA-2014-125997"/>
    <x v="562"/>
    <d v="2014-09-23T00:00:00"/>
    <x v="2"/>
    <s v="MW-18220"/>
    <s v="Mitch Webber"/>
    <x v="0"/>
    <s v="United States"/>
    <x v="7"/>
    <x v="5"/>
    <x v="2"/>
    <s v="TEC-PH-10003484"/>
    <x v="0"/>
    <x v="0"/>
    <s v="Ooma Telo VoIP Home Phone System"/>
    <n v="629.95000000000005"/>
    <n v="5"/>
    <n v="157.48750000000001"/>
    <x v="6"/>
    <x v="0"/>
    <x v="4"/>
    <n v="0.25"/>
  </r>
  <r>
    <s v="CA-2014-125997"/>
    <x v="562"/>
    <d v="2014-09-23T00:00:00"/>
    <x v="2"/>
    <s v="MW-18220"/>
    <s v="Mitch Webber"/>
    <x v="0"/>
    <s v="United States"/>
    <x v="7"/>
    <x v="5"/>
    <x v="2"/>
    <s v="TEC-PH-10003072"/>
    <x v="0"/>
    <x v="0"/>
    <s v="Panasonic KX-TG9541B DECT 6.0 Digital 2-Line Expandable Cordless Phone With Digital Answering System"/>
    <n v="1349.91"/>
    <n v="9"/>
    <n v="661.45590000000004"/>
    <x v="6"/>
    <x v="0"/>
    <x v="4"/>
    <n v="0.49"/>
  </r>
  <r>
    <s v="CA-2014-152618"/>
    <x v="517"/>
    <d v="2014-03-17T00:00:00"/>
    <x v="2"/>
    <s v="RB-19465"/>
    <s v="Rick Bensley"/>
    <x v="2"/>
    <s v="United States"/>
    <x v="11"/>
    <x v="2"/>
    <x v="1"/>
    <s v="TEC-MA-10003626"/>
    <x v="0"/>
    <x v="2"/>
    <s v="Hewlett-Packard Deskjet 6540 Color Inkjet Printer"/>
    <n v="574.91"/>
    <n v="2"/>
    <n v="156.047"/>
    <x v="6"/>
    <x v="0"/>
    <x v="5"/>
    <n v="0.27142857142857102"/>
  </r>
  <r>
    <s v="CA-2017-162789"/>
    <x v="240"/>
    <d v="2017-09-24T00:00:00"/>
    <x v="1"/>
    <s v="LC-17140"/>
    <s v="Logan Currie"/>
    <x v="0"/>
    <s v="United States"/>
    <x v="7"/>
    <x v="5"/>
    <x v="2"/>
    <s v="TEC-AC-10002842"/>
    <x v="0"/>
    <x v="1"/>
    <s v="WD My Passport Ultra 2TB Portable External Hard Drive"/>
    <n v="1071"/>
    <n v="9"/>
    <n v="171.36"/>
    <x v="2"/>
    <x v="3"/>
    <x v="4"/>
    <n v="0.16"/>
  </r>
  <r>
    <s v="CA-2015-127824"/>
    <x v="620"/>
    <d v="2015-10-22T00:00:00"/>
    <x v="0"/>
    <s v="JC-15775"/>
    <s v="John Castell"/>
    <x v="0"/>
    <s v="United States"/>
    <x v="45"/>
    <x v="17"/>
    <x v="0"/>
    <s v="TEC-PH-10004094"/>
    <x v="0"/>
    <x v="0"/>
    <s v="Motorola L703CM"/>
    <n v="249.584"/>
    <n v="2"/>
    <n v="15.599"/>
    <x v="1"/>
    <x v="2"/>
    <x v="7"/>
    <n v="6.25E-2"/>
  </r>
  <r>
    <s v="CA-2014-145254"/>
    <x v="52"/>
    <d v="2014-07-27T00:00:00"/>
    <x v="0"/>
    <s v="NC-18535"/>
    <s v="Nick Crebassa"/>
    <x v="1"/>
    <s v="United States"/>
    <x v="1"/>
    <x v="0"/>
    <x v="0"/>
    <s v="TEC-PH-10000441"/>
    <x v="0"/>
    <x v="0"/>
    <s v="VTech DS6151"/>
    <n v="604.75199999999995"/>
    <n v="6"/>
    <n v="60.475200000000001"/>
    <x v="1"/>
    <x v="0"/>
    <x v="10"/>
    <n v="0.1"/>
  </r>
  <r>
    <s v="CA-2014-145254"/>
    <x v="52"/>
    <d v="2014-07-27T00:00:00"/>
    <x v="0"/>
    <s v="NC-18535"/>
    <s v="Nick Crebassa"/>
    <x v="1"/>
    <s v="United States"/>
    <x v="1"/>
    <x v="0"/>
    <x v="0"/>
    <s v="TEC-PH-10004531"/>
    <x v="0"/>
    <x v="0"/>
    <s v="AT&amp;T CL2909"/>
    <n v="302.37599999999998"/>
    <n v="3"/>
    <n v="37.796999999999997"/>
    <x v="1"/>
    <x v="0"/>
    <x v="10"/>
    <n v="0.125"/>
  </r>
  <r>
    <s v="CA-2014-145254"/>
    <x v="52"/>
    <d v="2014-07-27T00:00:00"/>
    <x v="0"/>
    <s v="NC-18535"/>
    <s v="Nick Crebassa"/>
    <x v="1"/>
    <s v="United States"/>
    <x v="1"/>
    <x v="0"/>
    <x v="0"/>
    <s v="TEC-AC-10002167"/>
    <x v="0"/>
    <x v="1"/>
    <s v="Imation 8gb Micro Traveldrive Usb 2.0 Flash Drive"/>
    <n v="45"/>
    <n v="3"/>
    <n v="4.95"/>
    <x v="1"/>
    <x v="0"/>
    <x v="10"/>
    <n v="0.11"/>
  </r>
  <r>
    <s v="CA-2015-166219"/>
    <x v="375"/>
    <d v="2015-09-01T00:00:00"/>
    <x v="0"/>
    <s v="BP-11185"/>
    <s v="Ben Peterman"/>
    <x v="1"/>
    <s v="United States"/>
    <x v="26"/>
    <x v="1"/>
    <x v="1"/>
    <s v="TEC-PH-10004165"/>
    <x v="0"/>
    <x v="0"/>
    <s v="Mitel MiVoice 5330e IP Phone"/>
    <n v="1099.96"/>
    <n v="5"/>
    <n v="82.497"/>
    <x v="1"/>
    <x v="2"/>
    <x v="1"/>
    <n v="7.4999999999999997E-2"/>
  </r>
  <r>
    <s v="CA-2015-119627"/>
    <x v="801"/>
    <d v="2015-08-23T00:00:00"/>
    <x v="0"/>
    <s v="SC-20725"/>
    <s v="Steven Cartwright"/>
    <x v="0"/>
    <s v="United States"/>
    <x v="243"/>
    <x v="6"/>
    <x v="0"/>
    <s v="TEC-AC-10002217"/>
    <x v="0"/>
    <x v="1"/>
    <s v="Imation Clip USB flash drive - 8 GB"/>
    <n v="30.08"/>
    <n v="2"/>
    <n v="-5.2640000000000002"/>
    <x v="3"/>
    <x v="2"/>
    <x v="1"/>
    <n v="-0.17499999999999999"/>
  </r>
  <r>
    <s v="CA-2015-119627"/>
    <x v="801"/>
    <d v="2015-08-23T00:00:00"/>
    <x v="0"/>
    <s v="SC-20725"/>
    <s v="Steven Cartwright"/>
    <x v="0"/>
    <s v="United States"/>
    <x v="243"/>
    <x v="6"/>
    <x v="0"/>
    <s v="TEC-AC-10001142"/>
    <x v="0"/>
    <x v="1"/>
    <s v="First Data FD10 PIN Pad"/>
    <n v="252.8"/>
    <n v="4"/>
    <n v="-31.6"/>
    <x v="3"/>
    <x v="2"/>
    <x v="1"/>
    <n v="-0.125"/>
  </r>
  <r>
    <s v="CA-2017-126144"/>
    <x v="451"/>
    <d v="2017-08-05T00:00:00"/>
    <x v="0"/>
    <s v="GM-14680"/>
    <s v="Greg Matthias"/>
    <x v="0"/>
    <s v="United States"/>
    <x v="20"/>
    <x v="12"/>
    <x v="2"/>
    <s v="TEC-PH-10001079"/>
    <x v="0"/>
    <x v="0"/>
    <s v="Polycom SoundPoint Pro SE-225 Corded phone"/>
    <n v="285.57600000000002"/>
    <n v="4"/>
    <n v="-57.115200000000002"/>
    <x v="0"/>
    <x v="3"/>
    <x v="10"/>
    <n v="-0.2"/>
  </r>
  <r>
    <s v="CA-2017-165904"/>
    <x v="34"/>
    <d v="2017-04-11T00:00:00"/>
    <x v="0"/>
    <s v="HR-14770"/>
    <s v="Hallie Redmond"/>
    <x v="2"/>
    <s v="United States"/>
    <x v="42"/>
    <x v="15"/>
    <x v="3"/>
    <s v="TEC-PH-10000576"/>
    <x v="0"/>
    <x v="0"/>
    <s v="AT&amp;T 1080 Corded phone"/>
    <n v="219.184"/>
    <n v="2"/>
    <n v="19.178599999999999"/>
    <x v="1"/>
    <x v="3"/>
    <x v="9"/>
    <n v="8.7499999999999994E-2"/>
  </r>
  <r>
    <s v="CA-2015-104052"/>
    <x v="755"/>
    <d v="2015-03-02T00:00:00"/>
    <x v="2"/>
    <s v="TP-21565"/>
    <s v="Tracy Poddar"/>
    <x v="1"/>
    <s v="United States"/>
    <x v="333"/>
    <x v="1"/>
    <x v="1"/>
    <s v="TEC-PH-10003215"/>
    <x v="0"/>
    <x v="0"/>
    <s v="Jackery Bar Premium Fast-charging Portable Charger"/>
    <n v="95.84"/>
    <n v="4"/>
    <n v="34.741999999999997"/>
    <x v="4"/>
    <x v="2"/>
    <x v="5"/>
    <n v="0.36249999999999999"/>
  </r>
  <r>
    <s v="CA-2015-129546"/>
    <x v="734"/>
    <d v="2015-10-05T00:00:00"/>
    <x v="0"/>
    <s v="RP-19855"/>
    <s v="Roy Phan"/>
    <x v="1"/>
    <s v="United States"/>
    <x v="0"/>
    <x v="0"/>
    <x v="0"/>
    <s v="TEC-PH-10003555"/>
    <x v="0"/>
    <x v="0"/>
    <s v="Motorola HK250 Universal Bluetooth Headset"/>
    <n v="36.783999999999999"/>
    <n v="2"/>
    <n v="-8.2764000000000006"/>
    <x v="5"/>
    <x v="2"/>
    <x v="4"/>
    <n v="-0.22500000000000001"/>
  </r>
  <r>
    <s v="CA-2016-140977"/>
    <x v="802"/>
    <d v="2016-06-19T00:00:00"/>
    <x v="1"/>
    <s v="JL-15175"/>
    <s v="James Lanier"/>
    <x v="2"/>
    <s v="United States"/>
    <x v="321"/>
    <x v="44"/>
    <x v="3"/>
    <s v="TEC-MA-10003493"/>
    <x v="0"/>
    <x v="2"/>
    <s v="Penpower WorldCard Pro Card Scanner"/>
    <n v="91.474999999999994"/>
    <n v="1"/>
    <n v="-1.8294999999999999"/>
    <x v="6"/>
    <x v="1"/>
    <x v="0"/>
    <n v="-0.02"/>
  </r>
  <r>
    <s v="CA-2017-151855"/>
    <x v="378"/>
    <d v="2017-06-03T00:00:00"/>
    <x v="0"/>
    <s v="BW-11110"/>
    <s v="Bart Watters"/>
    <x v="1"/>
    <s v="United States"/>
    <x v="197"/>
    <x v="8"/>
    <x v="3"/>
    <s v="TEC-AC-10002380"/>
    <x v="0"/>
    <x v="1"/>
    <s v="Sony 8GB Class 10 Micro SDHC R40 Memory Card"/>
    <n v="27.192"/>
    <n v="3"/>
    <n v="0.33989999999999998"/>
    <x v="5"/>
    <x v="3"/>
    <x v="11"/>
    <n v="1.2500000000000001E-2"/>
  </r>
  <r>
    <s v="CA-2014-138240"/>
    <x v="803"/>
    <d v="2014-10-14T00:00:00"/>
    <x v="0"/>
    <s v="SJ-20500"/>
    <s v="Shirley Jackson"/>
    <x v="0"/>
    <s v="United States"/>
    <x v="1"/>
    <x v="0"/>
    <x v="0"/>
    <s v="TEC-PH-10002583"/>
    <x v="0"/>
    <x v="0"/>
    <s v="iOttie HLCRIO102 Car Mount"/>
    <n v="15.992000000000001"/>
    <n v="1"/>
    <n v="-2.9984999999999999"/>
    <x v="0"/>
    <x v="0"/>
    <x v="7"/>
    <n v="-0.1875"/>
  </r>
  <r>
    <s v="CA-2014-100867"/>
    <x v="800"/>
    <d v="2014-10-24T00:00:00"/>
    <x v="0"/>
    <s v="EH-14125"/>
    <s v="Eugene Hildebrand"/>
    <x v="2"/>
    <s v="United States"/>
    <x v="95"/>
    <x v="0"/>
    <x v="0"/>
    <s v="TEC-PH-10004922"/>
    <x v="0"/>
    <x v="0"/>
    <s v="RCA Visys Integrated PBX 8-Line Router"/>
    <n v="321.55200000000002"/>
    <n v="6"/>
    <n v="20.097000000000001"/>
    <x v="0"/>
    <x v="0"/>
    <x v="7"/>
    <n v="6.25E-2"/>
  </r>
  <r>
    <s v="CA-2017-102925"/>
    <x v="134"/>
    <d v="2017-11-10T00:00:00"/>
    <x v="1"/>
    <s v="CD-12280"/>
    <s v="Christina DeMoss"/>
    <x v="0"/>
    <s v="United States"/>
    <x v="7"/>
    <x v="5"/>
    <x v="2"/>
    <s v="TEC-PH-10001448"/>
    <x v="0"/>
    <x v="0"/>
    <s v="Anker Astro 15000mAh USB Portable Charger"/>
    <n v="99.98"/>
    <n v="2"/>
    <n v="3.9992000000000001"/>
    <x v="0"/>
    <x v="3"/>
    <x v="6"/>
    <n v="0.04"/>
  </r>
  <r>
    <s v="CA-2015-158351"/>
    <x v="349"/>
    <d v="2015-06-24T00:00:00"/>
    <x v="1"/>
    <s v="BC-11125"/>
    <s v="Becky Castell"/>
    <x v="2"/>
    <s v="United States"/>
    <x v="20"/>
    <x v="12"/>
    <x v="2"/>
    <s v="TEC-AC-10001838"/>
    <x v="0"/>
    <x v="1"/>
    <s v="Razer Tiamat Over Ear 7.1 Surround Sound PC Gaming Headset"/>
    <n v="319.98399999999998"/>
    <n v="2"/>
    <n v="91.995400000000004"/>
    <x v="1"/>
    <x v="2"/>
    <x v="0"/>
    <n v="0.28749999999999998"/>
  </r>
  <r>
    <s v="CA-2015-156566"/>
    <x v="632"/>
    <d v="2015-10-04T00:00:00"/>
    <x v="2"/>
    <s v="EM-13960"/>
    <s v="Eric Murdock"/>
    <x v="0"/>
    <s v="United States"/>
    <x v="32"/>
    <x v="16"/>
    <x v="0"/>
    <s v="TEC-PH-10001817"/>
    <x v="0"/>
    <x v="0"/>
    <s v="Wilson Electronics DB Pro Signal Booster"/>
    <n v="572.79999999999995"/>
    <n v="2"/>
    <n v="50.12"/>
    <x v="6"/>
    <x v="2"/>
    <x v="7"/>
    <n v="8.7499999999999994E-2"/>
  </r>
  <r>
    <s v="US-2016-123610"/>
    <x v="796"/>
    <d v="2016-05-16T00:00:00"/>
    <x v="0"/>
    <s v="VM-21835"/>
    <s v="Vivian Mathis"/>
    <x v="0"/>
    <s v="United States"/>
    <x v="334"/>
    <x v="0"/>
    <x v="0"/>
    <s v="TEC-AC-10004518"/>
    <x v="0"/>
    <x v="1"/>
    <s v="Memorex Mini Travel Drive 32 GB USB 2.0 Flash Drive"/>
    <n v="120"/>
    <n v="6"/>
    <n v="46.8"/>
    <x v="1"/>
    <x v="1"/>
    <x v="11"/>
    <n v="0.39"/>
  </r>
  <r>
    <s v="CA-2016-113607"/>
    <x v="207"/>
    <d v="2016-10-18T00:00:00"/>
    <x v="0"/>
    <s v="PW-19030"/>
    <s v="Pauline Webber"/>
    <x v="1"/>
    <s v="United States"/>
    <x v="7"/>
    <x v="5"/>
    <x v="2"/>
    <s v="TEC-PH-10004094"/>
    <x v="0"/>
    <x v="0"/>
    <s v="Motorola L703CM"/>
    <n v="1091.93"/>
    <n v="7"/>
    <n v="272.98250000000002"/>
    <x v="1"/>
    <x v="1"/>
    <x v="7"/>
    <n v="0.25"/>
  </r>
  <r>
    <s v="CA-2016-125220"/>
    <x v="207"/>
    <d v="2016-10-19T00:00:00"/>
    <x v="0"/>
    <s v="BE-11410"/>
    <s v="Bobby Elias"/>
    <x v="0"/>
    <s v="United States"/>
    <x v="335"/>
    <x v="10"/>
    <x v="1"/>
    <s v="TEC-AC-10003033"/>
    <x v="0"/>
    <x v="1"/>
    <s v="Plantronics CS510 - Over-the-Head monaural Wireless Headset System"/>
    <n v="1649.75"/>
    <n v="5"/>
    <n v="544.41750000000002"/>
    <x v="0"/>
    <x v="1"/>
    <x v="7"/>
    <n v="0.33"/>
  </r>
  <r>
    <s v="CA-2015-123939"/>
    <x v="385"/>
    <d v="2015-08-26T00:00:00"/>
    <x v="1"/>
    <s v="MS-17710"/>
    <s v="Maurice Satty"/>
    <x v="0"/>
    <s v="United States"/>
    <x v="157"/>
    <x v="9"/>
    <x v="2"/>
    <s v="TEC-PH-10000923"/>
    <x v="0"/>
    <x v="0"/>
    <s v="Belkin SportFit Armband For iPhone 5s/5c, Fuchsia"/>
    <n v="26.981999999999999"/>
    <n v="3"/>
    <n v="4.0472999999999999"/>
    <x v="2"/>
    <x v="2"/>
    <x v="1"/>
    <n v="0.15"/>
  </r>
  <r>
    <s v="CA-2014-169446"/>
    <x v="63"/>
    <d v="2014-12-25T00:00:00"/>
    <x v="0"/>
    <s v="SG-20605"/>
    <s v="Speros Goranitis"/>
    <x v="0"/>
    <s v="United States"/>
    <x v="11"/>
    <x v="2"/>
    <x v="1"/>
    <s v="TEC-PH-10002817"/>
    <x v="0"/>
    <x v="0"/>
    <s v="RCA ViSYS 25425RE1 Corded phone"/>
    <n v="323.976"/>
    <n v="3"/>
    <n v="36.447299999999998"/>
    <x v="3"/>
    <x v="0"/>
    <x v="3"/>
    <n v="0.1125"/>
  </r>
  <r>
    <s v="CA-2017-156958"/>
    <x v="95"/>
    <d v="2017-12-06T00:00:00"/>
    <x v="2"/>
    <s v="PB-18805"/>
    <s v="Patrick Bzostek"/>
    <x v="2"/>
    <s v="United States"/>
    <x v="45"/>
    <x v="17"/>
    <x v="0"/>
    <s v="TEC-PH-10000148"/>
    <x v="0"/>
    <x v="0"/>
    <s v="Cyber Acoustics AC-202b Speech Recognition Stereo Headset"/>
    <n v="31.175999999999998"/>
    <n v="3"/>
    <n v="-7.0145999999999997"/>
    <x v="4"/>
    <x v="3"/>
    <x v="3"/>
    <n v="-0.22500000000000001"/>
  </r>
  <r>
    <s v="CA-2014-166590"/>
    <x v="72"/>
    <d v="2014-11-02T00:00:00"/>
    <x v="0"/>
    <s v="NC-18625"/>
    <s v="Noah Childs"/>
    <x v="1"/>
    <s v="United States"/>
    <x v="16"/>
    <x v="21"/>
    <x v="1"/>
    <s v="TEC-AC-10003433"/>
    <x v="0"/>
    <x v="1"/>
    <s v="Maxell 4.7GB DVD+R 5/Pack"/>
    <n v="1.98"/>
    <n v="2"/>
    <n v="0.89100000000000001"/>
    <x v="1"/>
    <x v="0"/>
    <x v="7"/>
    <n v="0.45"/>
  </r>
  <r>
    <s v="CA-2015-163923"/>
    <x v="578"/>
    <d v="2015-06-03T00:00:00"/>
    <x v="0"/>
    <s v="BD-11560"/>
    <s v="Brendan Dodson"/>
    <x v="2"/>
    <s v="United States"/>
    <x v="84"/>
    <x v="23"/>
    <x v="3"/>
    <s v="TEC-AC-10000358"/>
    <x v="0"/>
    <x v="1"/>
    <s v="Imation Secure Drive + Hardware Encrypted USB flash drive - 16 GB"/>
    <n v="151.96"/>
    <n v="4"/>
    <n v="36.470399999999998"/>
    <x v="1"/>
    <x v="2"/>
    <x v="11"/>
    <n v="0.24"/>
  </r>
  <r>
    <s v="CA-2016-129280"/>
    <x v="804"/>
    <d v="2016-05-05T00:00:00"/>
    <x v="2"/>
    <s v="SM-20905"/>
    <s v="Susan MacKendrick"/>
    <x v="0"/>
    <s v="United States"/>
    <x v="129"/>
    <x v="9"/>
    <x v="2"/>
    <s v="TEC-AC-10003832"/>
    <x v="0"/>
    <x v="1"/>
    <s v="Imation 16GB Mini TravelDrive USB 2.0 Flash Drive"/>
    <n v="132.52000000000001"/>
    <n v="5"/>
    <n v="34.786499999999997"/>
    <x v="2"/>
    <x v="1"/>
    <x v="11"/>
    <n v="0.26250000000000001"/>
  </r>
  <r>
    <s v="CA-2016-129280"/>
    <x v="804"/>
    <d v="2016-05-05T00:00:00"/>
    <x v="2"/>
    <s v="SM-20905"/>
    <s v="Susan MacKendrick"/>
    <x v="0"/>
    <s v="United States"/>
    <x v="129"/>
    <x v="9"/>
    <x v="2"/>
    <s v="TEC-AC-10002637"/>
    <x v="0"/>
    <x v="1"/>
    <s v="Logitech VX Revolution Cordless Laser Mouse for Notebooks (Black)"/>
    <n v="431.976"/>
    <n v="3"/>
    <n v="-75.595799999999997"/>
    <x v="2"/>
    <x v="1"/>
    <x v="11"/>
    <n v="-0.17499999999999999"/>
  </r>
  <r>
    <s v="CA-2016-129280"/>
    <x v="804"/>
    <d v="2016-05-05T00:00:00"/>
    <x v="2"/>
    <s v="SM-20905"/>
    <s v="Susan MacKendrick"/>
    <x v="0"/>
    <s v="United States"/>
    <x v="129"/>
    <x v="9"/>
    <x v="2"/>
    <s v="TEC-MA-10003589"/>
    <x v="0"/>
    <x v="2"/>
    <s v="Cisco 8961 IP Phone Charcoal"/>
    <n v="224.93700000000001"/>
    <n v="3"/>
    <n v="-164.9538"/>
    <x v="2"/>
    <x v="1"/>
    <x v="11"/>
    <n v="-0.73333333333333295"/>
  </r>
  <r>
    <s v="CA-2017-104388"/>
    <x v="805"/>
    <d v="2017-07-07T00:00:00"/>
    <x v="2"/>
    <s v="DK-12835"/>
    <s v="Damala Kotsonis"/>
    <x v="1"/>
    <s v="United States"/>
    <x v="336"/>
    <x v="25"/>
    <x v="1"/>
    <s v="TEC-PH-10002293"/>
    <x v="0"/>
    <x v="0"/>
    <s v="Anker 36W 4-Port USB Wall Charger Travel Power Adapter for iPhone 5s 5c 5"/>
    <n v="79.959999999999994"/>
    <n v="4"/>
    <n v="22.3888"/>
    <x v="2"/>
    <x v="3"/>
    <x v="10"/>
    <n v="0.28000000000000003"/>
  </r>
  <r>
    <s v="CA-2015-143147"/>
    <x v="511"/>
    <d v="2015-05-28T00:00:00"/>
    <x v="1"/>
    <s v="PS-18760"/>
    <s v="Pamela Stobb"/>
    <x v="0"/>
    <s v="United States"/>
    <x v="21"/>
    <x v="1"/>
    <x v="1"/>
    <s v="TEC-MA-10004679"/>
    <x v="0"/>
    <x v="2"/>
    <s v="StarTech.com 10/100 VDSL2 Ethernet Extender Kit"/>
    <n v="399.54"/>
    <n v="2"/>
    <n v="-79.908000000000001"/>
    <x v="2"/>
    <x v="2"/>
    <x v="11"/>
    <n v="-0.2"/>
  </r>
  <r>
    <s v="CA-2017-152975"/>
    <x v="661"/>
    <d v="2017-09-16T00:00:00"/>
    <x v="2"/>
    <s v="RB-19705"/>
    <s v="Roger Barcio"/>
    <x v="2"/>
    <s v="United States"/>
    <x v="7"/>
    <x v="5"/>
    <x v="2"/>
    <s v="TEC-PH-10004586"/>
    <x v="0"/>
    <x v="0"/>
    <s v="Wilson SignalBoost 841262 DB PRO Amplifier Kit"/>
    <n v="1079.8499999999999"/>
    <n v="3"/>
    <n v="323.95499999999998"/>
    <x v="2"/>
    <x v="3"/>
    <x v="4"/>
    <n v="0.3"/>
  </r>
  <r>
    <s v="CA-2017-104619"/>
    <x v="806"/>
    <d v="2017-01-29T00:00:00"/>
    <x v="0"/>
    <s v="KD-16495"/>
    <s v="Keith Dawkins"/>
    <x v="1"/>
    <s v="United States"/>
    <x v="288"/>
    <x v="0"/>
    <x v="0"/>
    <s v="TEC-PH-10000193"/>
    <x v="0"/>
    <x v="0"/>
    <s v="Jensen SMPS-640 - speaker phone"/>
    <n v="110.352"/>
    <n v="3"/>
    <n v="8.2764000000000006"/>
    <x v="0"/>
    <x v="3"/>
    <x v="2"/>
    <n v="7.4999999999999997E-2"/>
  </r>
  <r>
    <s v="US-2017-122672"/>
    <x v="97"/>
    <d v="2017-11-09T00:00:00"/>
    <x v="0"/>
    <s v="HG-14965"/>
    <s v="Henry Goldwyn"/>
    <x v="1"/>
    <s v="United States"/>
    <x v="192"/>
    <x v="9"/>
    <x v="2"/>
    <s v="TEC-AC-10002323"/>
    <x v="0"/>
    <x v="1"/>
    <s v="SanDisk Ultra 32 GB MicroSDHC Class 10 Memory Card"/>
    <n v="70.72"/>
    <n v="4"/>
    <n v="-6.1879999999999997"/>
    <x v="0"/>
    <x v="3"/>
    <x v="6"/>
    <n v="-8.7499999999999994E-2"/>
  </r>
  <r>
    <s v="CA-2016-110086"/>
    <x v="807"/>
    <d v="2016-09-22T00:00:00"/>
    <x v="0"/>
    <s v="BD-11320"/>
    <s v="Bill Donatelli"/>
    <x v="0"/>
    <s v="United States"/>
    <x v="337"/>
    <x v="0"/>
    <x v="0"/>
    <s v="TEC-PH-10001299"/>
    <x v="0"/>
    <x v="0"/>
    <s v="Polycom CX300 Desktop Phone USB VoIP phone"/>
    <n v="239.98400000000001"/>
    <n v="2"/>
    <n v="23.9984"/>
    <x v="1"/>
    <x v="1"/>
    <x v="4"/>
    <n v="0.1"/>
  </r>
  <r>
    <s v="CA-2014-128524"/>
    <x v="139"/>
    <d v="2014-11-13T00:00:00"/>
    <x v="2"/>
    <s v="MZ-17515"/>
    <s v="Mary Zewe"/>
    <x v="1"/>
    <s v="United States"/>
    <x v="45"/>
    <x v="17"/>
    <x v="0"/>
    <s v="TEC-AC-10002718"/>
    <x v="0"/>
    <x v="1"/>
    <s v="Belkin Standard 104 key USB Keyboard"/>
    <n v="102.13"/>
    <n v="7"/>
    <n v="15.3195"/>
    <x v="2"/>
    <x v="0"/>
    <x v="6"/>
    <n v="0.15"/>
  </r>
  <r>
    <s v="CA-2017-160633"/>
    <x v="405"/>
    <d v="2017-11-21T00:00:00"/>
    <x v="0"/>
    <s v="BS-11380"/>
    <s v="Bill Stewart"/>
    <x v="1"/>
    <s v="United States"/>
    <x v="157"/>
    <x v="9"/>
    <x v="2"/>
    <s v="TEC-CO-10002095"/>
    <x v="0"/>
    <x v="3"/>
    <s v="Hewlett Packard 610 Color Digital Copier / Printer"/>
    <n v="899.98199999999997"/>
    <n v="3"/>
    <n v="74.998500000000007"/>
    <x v="0"/>
    <x v="3"/>
    <x v="6"/>
    <n v="8.3333333333333398E-2"/>
  </r>
  <r>
    <s v="CA-2017-160633"/>
    <x v="405"/>
    <d v="2017-11-21T00:00:00"/>
    <x v="0"/>
    <s v="BS-11380"/>
    <s v="Bill Stewart"/>
    <x v="1"/>
    <s v="United States"/>
    <x v="157"/>
    <x v="9"/>
    <x v="2"/>
    <s v="TEC-AC-10002335"/>
    <x v="0"/>
    <x v="1"/>
    <s v="Logitech Media Keyboard K200"/>
    <n v="139.96"/>
    <n v="5"/>
    <n v="-1.7495000000000001"/>
    <x v="0"/>
    <x v="3"/>
    <x v="6"/>
    <n v="-1.2500000000000001E-2"/>
  </r>
  <r>
    <s v="CA-2014-115133"/>
    <x v="808"/>
    <d v="2014-09-30T00:00:00"/>
    <x v="0"/>
    <s v="DA-13450"/>
    <s v="Dianna Arnett"/>
    <x v="2"/>
    <s v="United States"/>
    <x v="192"/>
    <x v="9"/>
    <x v="2"/>
    <s v="TEC-AC-10002370"/>
    <x v="0"/>
    <x v="1"/>
    <s v="Maxell CD-R Discs"/>
    <n v="3.1520000000000001"/>
    <n v="2"/>
    <n v="0.4728"/>
    <x v="1"/>
    <x v="0"/>
    <x v="4"/>
    <n v="0.15"/>
  </r>
  <r>
    <s v="CA-2016-168844"/>
    <x v="809"/>
    <d v="2016-06-06T00:00:00"/>
    <x v="0"/>
    <s v="NM-18520"/>
    <s v="Neoma Murray"/>
    <x v="0"/>
    <s v="United States"/>
    <x v="7"/>
    <x v="5"/>
    <x v="2"/>
    <s v="TEC-PH-10003215"/>
    <x v="0"/>
    <x v="0"/>
    <s v="Jackery Bar Premium Fast-charging Portable Charger"/>
    <n v="179.7"/>
    <n v="6"/>
    <n v="88.052999999999997"/>
    <x v="3"/>
    <x v="1"/>
    <x v="11"/>
    <n v="0.49"/>
  </r>
  <r>
    <s v="CA-2014-151330"/>
    <x v="596"/>
    <d v="2014-10-17T00:00:00"/>
    <x v="2"/>
    <s v="TC-21295"/>
    <s v="Toby Carlisle"/>
    <x v="0"/>
    <s v="United States"/>
    <x v="112"/>
    <x v="35"/>
    <x v="2"/>
    <s v="TEC-AC-10000865"/>
    <x v="0"/>
    <x v="1"/>
    <s v="WD My Passport Ultra 500GB Portable External Hard Drive"/>
    <n v="177"/>
    <n v="3"/>
    <n v="30.09"/>
    <x v="6"/>
    <x v="0"/>
    <x v="7"/>
    <n v="0.17"/>
  </r>
  <r>
    <s v="US-2017-107979"/>
    <x v="94"/>
    <d v="2017-06-13T00:00:00"/>
    <x v="0"/>
    <s v="FO-14305"/>
    <s v="Frank Olsen"/>
    <x v="0"/>
    <s v="United States"/>
    <x v="110"/>
    <x v="6"/>
    <x v="0"/>
    <s v="TEC-AC-10002006"/>
    <x v="0"/>
    <x v="1"/>
    <s v="Memorex Micro Travel Drive 16 GB"/>
    <n v="89.543999999999997"/>
    <n v="7"/>
    <n v="12.3123"/>
    <x v="0"/>
    <x v="3"/>
    <x v="0"/>
    <n v="0.13750000000000001"/>
  </r>
  <r>
    <s v="CA-2014-150518"/>
    <x v="25"/>
    <d v="2014-11-24T00:00:00"/>
    <x v="0"/>
    <s v="MW-18220"/>
    <s v="Mitch Webber"/>
    <x v="0"/>
    <s v="United States"/>
    <x v="338"/>
    <x v="3"/>
    <x v="1"/>
    <s v="TEC-PH-10002103"/>
    <x v="0"/>
    <x v="0"/>
    <s v="Jabra SPEAK 410"/>
    <n v="281.97000000000003"/>
    <n v="3"/>
    <n v="78.951599999999999"/>
    <x v="0"/>
    <x v="0"/>
    <x v="6"/>
    <n v="0.28000000000000003"/>
  </r>
  <r>
    <s v="CA-2017-161893"/>
    <x v="638"/>
    <d v="2017-01-27T00:00:00"/>
    <x v="0"/>
    <s v="HP-14815"/>
    <s v="Harold Pawlan"/>
    <x v="2"/>
    <s v="United States"/>
    <x v="35"/>
    <x v="6"/>
    <x v="0"/>
    <s v="TEC-AC-10001874"/>
    <x v="0"/>
    <x v="1"/>
    <s v="Logitech Wireless Anywhere Mouse MX for PC and Mac"/>
    <n v="95.983999999999995"/>
    <n v="2"/>
    <n v="11.997999999999999"/>
    <x v="1"/>
    <x v="3"/>
    <x v="2"/>
    <n v="0.125"/>
  </r>
  <r>
    <s v="CA-2016-160717"/>
    <x v="39"/>
    <d v="2016-06-11T00:00:00"/>
    <x v="0"/>
    <s v="ME-17320"/>
    <s v="Maria Etezadi"/>
    <x v="2"/>
    <s v="United States"/>
    <x v="339"/>
    <x v="0"/>
    <x v="0"/>
    <s v="TEC-PH-10001459"/>
    <x v="0"/>
    <x v="0"/>
    <s v="Samsung Galaxy Mega 6.3"/>
    <n v="3023.9279999999999"/>
    <n v="9"/>
    <n v="226.7946"/>
    <x v="0"/>
    <x v="1"/>
    <x v="0"/>
    <n v="7.4999999999999997E-2"/>
  </r>
  <r>
    <s v="CA-2016-160717"/>
    <x v="39"/>
    <d v="2016-06-11T00:00:00"/>
    <x v="0"/>
    <s v="ME-17320"/>
    <s v="Maria Etezadi"/>
    <x v="2"/>
    <s v="United States"/>
    <x v="339"/>
    <x v="0"/>
    <x v="0"/>
    <s v="TEC-AC-10002134"/>
    <x v="0"/>
    <x v="1"/>
    <s v="Rosewill 107 Normal Keys USB Wired Standard Keyboard"/>
    <n v="26.96"/>
    <n v="2"/>
    <n v="3.7744"/>
    <x v="0"/>
    <x v="1"/>
    <x v="0"/>
    <n v="0.14000000000000001"/>
  </r>
  <r>
    <s v="CA-2016-160717"/>
    <x v="39"/>
    <d v="2016-06-11T00:00:00"/>
    <x v="0"/>
    <s v="ME-17320"/>
    <s v="Maria Etezadi"/>
    <x v="2"/>
    <s v="United States"/>
    <x v="339"/>
    <x v="0"/>
    <x v="0"/>
    <s v="TEC-PH-10001760"/>
    <x v="0"/>
    <x v="0"/>
    <s v="Bose SoundLink Bluetooth Speaker"/>
    <n v="477.6"/>
    <n v="3"/>
    <n v="161.19"/>
    <x v="0"/>
    <x v="1"/>
    <x v="0"/>
    <n v="0.33750000000000002"/>
  </r>
  <r>
    <s v="US-2017-140312"/>
    <x v="335"/>
    <d v="2017-11-19T00:00:00"/>
    <x v="0"/>
    <s v="KL-16645"/>
    <s v="Ken Lonsdale"/>
    <x v="0"/>
    <s v="United States"/>
    <x v="28"/>
    <x v="0"/>
    <x v="0"/>
    <s v="TEC-PH-10003442"/>
    <x v="0"/>
    <x v="0"/>
    <s v="Samsung Replacement EH64AVFWE Premium Headset"/>
    <n v="22"/>
    <n v="5"/>
    <n v="1.375"/>
    <x v="3"/>
    <x v="3"/>
    <x v="6"/>
    <n v="6.25E-2"/>
  </r>
  <r>
    <s v="CA-2016-114867"/>
    <x v="650"/>
    <d v="2016-12-28T00:00:00"/>
    <x v="0"/>
    <s v="FM-14290"/>
    <s v="Frank Merwin"/>
    <x v="2"/>
    <s v="United States"/>
    <x v="20"/>
    <x v="12"/>
    <x v="2"/>
    <s v="TEC-PH-10002645"/>
    <x v="0"/>
    <x v="0"/>
    <s v="LG G2"/>
    <n v="1499.97"/>
    <n v="5"/>
    <n v="-374.99250000000001"/>
    <x v="0"/>
    <x v="1"/>
    <x v="3"/>
    <n v="-0.25"/>
  </r>
  <r>
    <s v="CA-2015-130113"/>
    <x v="4"/>
    <d v="2015-12-31T00:00:00"/>
    <x v="0"/>
    <s v="AH-10030"/>
    <s v="Aaron Hawkins"/>
    <x v="1"/>
    <s v="United States"/>
    <x v="1"/>
    <x v="0"/>
    <x v="0"/>
    <s v="TEC-PH-10003505"/>
    <x v="0"/>
    <x v="0"/>
    <s v="Geemarc AmpliPOWER60"/>
    <n v="668.16"/>
    <n v="9"/>
    <n v="75.168000000000006"/>
    <x v="1"/>
    <x v="2"/>
    <x v="3"/>
    <n v="0.1125"/>
  </r>
  <r>
    <s v="CA-2017-118668"/>
    <x v="188"/>
    <d v="2017-01-04T00:00:00"/>
    <x v="1"/>
    <s v="FW-14395"/>
    <s v="Fred Wasserman"/>
    <x v="1"/>
    <s v="United States"/>
    <x v="0"/>
    <x v="0"/>
    <x v="0"/>
    <s v="TEC-AC-10000682"/>
    <x v="0"/>
    <x v="1"/>
    <s v="Kensington K72356US Mouse-in-a-Box USB Desktop Mouse"/>
    <n v="16.59"/>
    <n v="1"/>
    <n v="5.8064999999999998"/>
    <x v="2"/>
    <x v="3"/>
    <x v="2"/>
    <n v="0.35"/>
  </r>
  <r>
    <s v="US-2017-135986"/>
    <x v="117"/>
    <d v="2017-06-27T00:00:00"/>
    <x v="0"/>
    <s v="PG-18895"/>
    <s v="Paul Gonzalez"/>
    <x v="0"/>
    <s v="United States"/>
    <x v="184"/>
    <x v="23"/>
    <x v="3"/>
    <s v="TEC-PH-10003691"/>
    <x v="0"/>
    <x v="0"/>
    <s v="BlackBerry Q10"/>
    <n v="503.96"/>
    <n v="4"/>
    <n v="125.99"/>
    <x v="5"/>
    <x v="3"/>
    <x v="0"/>
    <n v="0.25"/>
  </r>
  <r>
    <s v="CA-2017-154116"/>
    <x v="810"/>
    <d v="2017-12-19T00:00:00"/>
    <x v="0"/>
    <s v="KM-16660"/>
    <s v="Khloe Miller"/>
    <x v="0"/>
    <s v="United States"/>
    <x v="194"/>
    <x v="0"/>
    <x v="0"/>
    <s v="TEC-PH-10000675"/>
    <x v="0"/>
    <x v="0"/>
    <s v="Panasonic KX TS3282B Corded phone"/>
    <n v="196.77600000000001"/>
    <n v="3"/>
    <n v="14.7582"/>
    <x v="1"/>
    <x v="3"/>
    <x v="3"/>
    <n v="7.4999999999999997E-2"/>
  </r>
  <r>
    <s v="CA-2014-114251"/>
    <x v="762"/>
    <d v="2014-11-10T00:00:00"/>
    <x v="0"/>
    <s v="MD-17350"/>
    <s v="Maribeth Dona"/>
    <x v="0"/>
    <s v="United States"/>
    <x v="20"/>
    <x v="12"/>
    <x v="2"/>
    <s v="TEC-AC-10001101"/>
    <x v="0"/>
    <x v="1"/>
    <s v="Sony 16GB Class 10 Micro SDHC R40 Memory Card"/>
    <n v="51.56"/>
    <n v="5"/>
    <n v="-6.4450000000000003"/>
    <x v="0"/>
    <x v="0"/>
    <x v="6"/>
    <n v="-0.125"/>
  </r>
  <r>
    <s v="CA-2014-114251"/>
    <x v="762"/>
    <d v="2014-11-10T00:00:00"/>
    <x v="0"/>
    <s v="MD-17350"/>
    <s v="Maribeth Dona"/>
    <x v="0"/>
    <s v="United States"/>
    <x v="20"/>
    <x v="12"/>
    <x v="2"/>
    <s v="TEC-AC-10004864"/>
    <x v="0"/>
    <x v="1"/>
    <s v="Memorex Micro Travel Drive 32 GB"/>
    <n v="58.415999999999997"/>
    <n v="2"/>
    <n v="16.794599999999999"/>
    <x v="0"/>
    <x v="0"/>
    <x v="6"/>
    <n v="0.28749999999999998"/>
  </r>
  <r>
    <s v="CA-2016-108210"/>
    <x v="175"/>
    <d v="2016-05-31T00:00:00"/>
    <x v="3"/>
    <s v="AT-10735"/>
    <s v="Annie Thurman"/>
    <x v="0"/>
    <s v="United States"/>
    <x v="3"/>
    <x v="1"/>
    <x v="1"/>
    <s v="TEC-PH-10002293"/>
    <x v="0"/>
    <x v="0"/>
    <s v="Anker 36W 4-Port USB Wall Charger Travel Power Adapter for iPhone 5s 5c 5"/>
    <n v="79.959999999999994"/>
    <n v="5"/>
    <n v="7.9960000000000004"/>
    <x v="4"/>
    <x v="1"/>
    <x v="11"/>
    <n v="0.1"/>
  </r>
  <r>
    <s v="CA-2016-108210"/>
    <x v="175"/>
    <d v="2016-05-31T00:00:00"/>
    <x v="3"/>
    <s v="AT-10735"/>
    <s v="Annie Thurman"/>
    <x v="0"/>
    <s v="United States"/>
    <x v="3"/>
    <x v="1"/>
    <x v="1"/>
    <s v="TEC-AC-10000109"/>
    <x v="0"/>
    <x v="1"/>
    <s v="Sony Micro Vault Click 16 GB USB 2.0 Flash Drive"/>
    <n v="223.96"/>
    <n v="5"/>
    <n v="11.198"/>
    <x v="4"/>
    <x v="1"/>
    <x v="11"/>
    <n v="0.05"/>
  </r>
  <r>
    <s v="CA-2016-105781"/>
    <x v="811"/>
    <d v="2016-02-20T00:00:00"/>
    <x v="0"/>
    <s v="JF-15565"/>
    <s v="Jill Fjeld"/>
    <x v="0"/>
    <s v="United States"/>
    <x v="7"/>
    <x v="5"/>
    <x v="2"/>
    <s v="TEC-AC-10003628"/>
    <x v="0"/>
    <x v="1"/>
    <s v="Logitech 910-002974 M325 Wireless Mouse for Web Scrolling"/>
    <n v="89.97"/>
    <n v="3"/>
    <n v="39.586799999999997"/>
    <x v="1"/>
    <x v="1"/>
    <x v="8"/>
    <n v="0.44"/>
  </r>
  <r>
    <s v="CA-2017-142293"/>
    <x v="695"/>
    <d v="2017-09-20T00:00:00"/>
    <x v="2"/>
    <s v="SC-20380"/>
    <s v="Shahid Collister"/>
    <x v="0"/>
    <s v="United States"/>
    <x v="213"/>
    <x v="45"/>
    <x v="0"/>
    <s v="TEC-AC-10001109"/>
    <x v="0"/>
    <x v="1"/>
    <s v="Logitech Trackman Marble Mouse"/>
    <n v="89.97"/>
    <n v="3"/>
    <n v="37.787399999999998"/>
    <x v="6"/>
    <x v="3"/>
    <x v="4"/>
    <n v="0.42"/>
  </r>
  <r>
    <s v="CA-2017-167395"/>
    <x v="581"/>
    <d v="2017-12-04T00:00:00"/>
    <x v="2"/>
    <s v="KM-16720"/>
    <s v="Kunst Miller"/>
    <x v="0"/>
    <s v="United States"/>
    <x v="177"/>
    <x v="35"/>
    <x v="2"/>
    <s v="TEC-PH-10004977"/>
    <x v="0"/>
    <x v="0"/>
    <s v="GE 30524EE4"/>
    <n v="979.95"/>
    <n v="5"/>
    <n v="284.18549999999999"/>
    <x v="2"/>
    <x v="3"/>
    <x v="3"/>
    <n v="0.28999999999999998"/>
  </r>
  <r>
    <s v="US-2015-100069"/>
    <x v="812"/>
    <d v="2015-07-03T00:00:00"/>
    <x v="0"/>
    <s v="NF-18475"/>
    <s v="Neil Französisch"/>
    <x v="2"/>
    <s v="United States"/>
    <x v="70"/>
    <x v="25"/>
    <x v="1"/>
    <s v="TEC-PH-10004667"/>
    <x v="0"/>
    <x v="0"/>
    <s v="Cisco 8x8 Inc. 6753i IP Business Phone System"/>
    <n v="269.98"/>
    <n v="2"/>
    <n v="72.894599999999997"/>
    <x v="1"/>
    <x v="2"/>
    <x v="0"/>
    <n v="0.27"/>
  </r>
  <r>
    <s v="CA-2016-158358"/>
    <x v="813"/>
    <d v="2016-03-08T00:00:00"/>
    <x v="0"/>
    <s v="EM-13810"/>
    <s v="Eleni McCrary"/>
    <x v="1"/>
    <s v="United States"/>
    <x v="6"/>
    <x v="28"/>
    <x v="2"/>
    <s v="TEC-AC-10002567"/>
    <x v="0"/>
    <x v="1"/>
    <s v="Logitech G602 Wireless Gaming Mouse"/>
    <n v="159.97999999999999"/>
    <n v="2"/>
    <n v="57.592799999999997"/>
    <x v="1"/>
    <x v="1"/>
    <x v="5"/>
    <n v="0.36"/>
  </r>
  <r>
    <s v="CA-2017-113705"/>
    <x v="814"/>
    <d v="2017-03-29T00:00:00"/>
    <x v="1"/>
    <s v="LC-16870"/>
    <s v="Lena Cacioppo"/>
    <x v="0"/>
    <s v="United States"/>
    <x v="184"/>
    <x v="23"/>
    <x v="3"/>
    <s v="TEC-PH-10004006"/>
    <x v="0"/>
    <x v="0"/>
    <s v="Panasonic KX - TS880B Telephone"/>
    <n v="206.1"/>
    <n v="5"/>
    <n v="55.646999999999998"/>
    <x v="2"/>
    <x v="3"/>
    <x v="5"/>
    <n v="0.27"/>
  </r>
  <r>
    <s v="CA-2014-121762"/>
    <x v="815"/>
    <d v="2014-02-18T00:00:00"/>
    <x v="0"/>
    <s v="ML-17395"/>
    <s v="Marina Lichtenstein"/>
    <x v="1"/>
    <s v="United States"/>
    <x v="45"/>
    <x v="17"/>
    <x v="0"/>
    <s v="TEC-AC-10000736"/>
    <x v="0"/>
    <x v="1"/>
    <s v="Logitech G600 MMO Gaming Mouse"/>
    <n v="239.97"/>
    <n v="3"/>
    <n v="86.389200000000002"/>
    <x v="1"/>
    <x v="0"/>
    <x v="8"/>
    <n v="0.36"/>
  </r>
  <r>
    <s v="CA-2014-123855"/>
    <x v="816"/>
    <d v="2014-06-23T00:00:00"/>
    <x v="0"/>
    <s v="MC-18100"/>
    <s v="Mick Crebagga"/>
    <x v="0"/>
    <s v="United States"/>
    <x v="0"/>
    <x v="0"/>
    <x v="0"/>
    <s v="TEC-PH-10000215"/>
    <x v="0"/>
    <x v="0"/>
    <s v="Plantronics Cordless Phone Headset with In-line Volume - M214C"/>
    <n v="139.80000000000001"/>
    <n v="5"/>
    <n v="12.2325"/>
    <x v="0"/>
    <x v="0"/>
    <x v="0"/>
    <n v="8.7499999999999994E-2"/>
  </r>
  <r>
    <s v="CA-2016-160234"/>
    <x v="230"/>
    <d v="2016-07-03T00:00:00"/>
    <x v="0"/>
    <s v="PF-19225"/>
    <s v="Phillip Flathmann"/>
    <x v="0"/>
    <s v="United States"/>
    <x v="144"/>
    <x v="31"/>
    <x v="3"/>
    <s v="TEC-PH-10004434"/>
    <x v="0"/>
    <x v="0"/>
    <s v="Cisco IP Phone 7961G VoIP phone - Dark gray"/>
    <n v="135.94999999999999"/>
    <n v="1"/>
    <n v="39.4255"/>
    <x v="5"/>
    <x v="1"/>
    <x v="0"/>
    <n v="0.28999999999999998"/>
  </r>
  <r>
    <s v="CA-2014-169019"/>
    <x v="455"/>
    <d v="2014-07-30T00:00:00"/>
    <x v="0"/>
    <s v="LF-17185"/>
    <s v="Luke Foster"/>
    <x v="0"/>
    <s v="United States"/>
    <x v="21"/>
    <x v="1"/>
    <x v="1"/>
    <s v="TEC-AC-10002076"/>
    <x v="0"/>
    <x v="1"/>
    <s v="Microsoft Natural Keyboard Elite"/>
    <n v="431.13600000000002"/>
    <n v="9"/>
    <n v="-26.946000000000002"/>
    <x v="1"/>
    <x v="0"/>
    <x v="10"/>
    <n v="-6.25E-2"/>
  </r>
  <r>
    <s v="CA-2016-153178"/>
    <x v="817"/>
    <d v="2016-09-18T00:00:00"/>
    <x v="0"/>
    <s v="CL-12565"/>
    <s v="Clay Ludtke"/>
    <x v="0"/>
    <s v="United States"/>
    <x v="113"/>
    <x v="5"/>
    <x v="2"/>
    <s v="TEC-PH-10001944"/>
    <x v="0"/>
    <x v="0"/>
    <s v="Wi-Ex zBoost YX540 Cellular Phone Signal Booster"/>
    <n v="437.85"/>
    <n v="3"/>
    <n v="131.35499999999999"/>
    <x v="1"/>
    <x v="1"/>
    <x v="4"/>
    <n v="0.3"/>
  </r>
  <r>
    <s v="CA-2017-144491"/>
    <x v="814"/>
    <d v="2017-04-01T00:00:00"/>
    <x v="0"/>
    <s v="CJ-12010"/>
    <s v="Caroline Jumper"/>
    <x v="0"/>
    <s v="United States"/>
    <x v="3"/>
    <x v="1"/>
    <x v="1"/>
    <s v="TEC-AC-10004901"/>
    <x v="0"/>
    <x v="1"/>
    <s v="Kensington SlimBlade Notebook Wireless Mouse with Nano Receiver "/>
    <n v="39.991999999999997"/>
    <n v="1"/>
    <n v="6.9985999999999997"/>
    <x v="0"/>
    <x v="3"/>
    <x v="5"/>
    <n v="0.17499999999999999"/>
  </r>
  <r>
    <s v="CA-2015-128608"/>
    <x v="818"/>
    <d v="2015-01-17T00:00:00"/>
    <x v="0"/>
    <s v="CS-12490"/>
    <s v="Cindy Schnelling"/>
    <x v="1"/>
    <s v="United States"/>
    <x v="86"/>
    <x v="9"/>
    <x v="2"/>
    <s v="TEC-PH-10004977"/>
    <x v="0"/>
    <x v="0"/>
    <s v="GE 30524EE4"/>
    <n v="235.18799999999999"/>
    <n v="2"/>
    <n v="-43.117800000000003"/>
    <x v="0"/>
    <x v="2"/>
    <x v="2"/>
    <n v="-0.18333333333333299"/>
  </r>
  <r>
    <s v="CA-2015-128608"/>
    <x v="818"/>
    <d v="2015-01-17T00:00:00"/>
    <x v="0"/>
    <s v="CS-12490"/>
    <s v="Cindy Schnelling"/>
    <x v="1"/>
    <s v="United States"/>
    <x v="86"/>
    <x v="9"/>
    <x v="2"/>
    <s v="TEC-PH-10000912"/>
    <x v="0"/>
    <x v="0"/>
    <s v="Anker 24W Portable Micro USB Car Charger"/>
    <n v="26.376000000000001"/>
    <n v="4"/>
    <n v="2.6375999999999999"/>
    <x v="0"/>
    <x v="2"/>
    <x v="2"/>
    <n v="0.1"/>
  </r>
  <r>
    <s v="CA-2015-128608"/>
    <x v="818"/>
    <d v="2015-01-17T00:00:00"/>
    <x v="0"/>
    <s v="CS-12490"/>
    <s v="Cindy Schnelling"/>
    <x v="1"/>
    <s v="United States"/>
    <x v="86"/>
    <x v="9"/>
    <x v="2"/>
    <s v="TEC-AC-10000487"/>
    <x v="0"/>
    <x v="1"/>
    <s v="SanDisk Cruzer 4 GB USB Flash Drive"/>
    <n v="10.384"/>
    <n v="2"/>
    <n v="2.2065999999999999"/>
    <x v="0"/>
    <x v="2"/>
    <x v="2"/>
    <n v="0.21249999999999999"/>
  </r>
  <r>
    <s v="CA-2015-128608"/>
    <x v="818"/>
    <d v="2015-01-17T00:00:00"/>
    <x v="0"/>
    <s v="CS-12490"/>
    <s v="Cindy Schnelling"/>
    <x v="1"/>
    <s v="United States"/>
    <x v="86"/>
    <x v="9"/>
    <x v="2"/>
    <s v="TEC-PH-10002262"/>
    <x v="0"/>
    <x v="0"/>
    <s v="LG Electronics Tone+ HBS-730 Bluetooth Headset"/>
    <n v="107.11799999999999"/>
    <n v="3"/>
    <n v="-21.4236"/>
    <x v="0"/>
    <x v="2"/>
    <x v="2"/>
    <n v="-0.2"/>
  </r>
  <r>
    <s v="CA-2015-122973"/>
    <x v="600"/>
    <d v="2015-07-20T00:00:00"/>
    <x v="1"/>
    <s v="PJ-19015"/>
    <s v="Pauline Johnson"/>
    <x v="0"/>
    <s v="United States"/>
    <x v="7"/>
    <x v="5"/>
    <x v="2"/>
    <s v="TEC-PH-10002468"/>
    <x v="0"/>
    <x v="0"/>
    <s v="Plantronics CS 50-USB - headset - Convertible, Monaural"/>
    <n v="135.99"/>
    <n v="1"/>
    <n v="36.717300000000002"/>
    <x v="2"/>
    <x v="2"/>
    <x v="10"/>
    <n v="0.27"/>
  </r>
  <r>
    <s v="CA-2014-113257"/>
    <x v="382"/>
    <d v="2014-12-18T00:00:00"/>
    <x v="1"/>
    <s v="SC-20305"/>
    <s v="Sean Christensen"/>
    <x v="0"/>
    <s v="United States"/>
    <x v="279"/>
    <x v="1"/>
    <x v="1"/>
    <s v="TEC-AC-10004171"/>
    <x v="0"/>
    <x v="1"/>
    <s v="Razer Kraken 7.1 Surround Sound Over Ear USB Gaming Headset"/>
    <n v="319.96800000000002"/>
    <n v="4"/>
    <n v="95.990399999999994"/>
    <x v="2"/>
    <x v="0"/>
    <x v="3"/>
    <n v="0.3"/>
  </r>
  <r>
    <s v="CA-2017-130302"/>
    <x v="661"/>
    <d v="2017-09-19T00:00:00"/>
    <x v="0"/>
    <s v="CY-12745"/>
    <s v="Craig Yedwab"/>
    <x v="1"/>
    <s v="United States"/>
    <x v="84"/>
    <x v="9"/>
    <x v="2"/>
    <s v="TEC-AC-10002001"/>
    <x v="0"/>
    <x v="1"/>
    <s v="Logitech Wireless Gaming Headset G930"/>
    <n v="895.94399999999996"/>
    <n v="7"/>
    <n v="190.38810000000001"/>
    <x v="0"/>
    <x v="3"/>
    <x v="4"/>
    <n v="0.21249999999999999"/>
  </r>
  <r>
    <s v="US-2016-125402"/>
    <x v="586"/>
    <d v="2016-10-01T00:00:00"/>
    <x v="0"/>
    <s v="DL-12865"/>
    <s v="Dan Lawera"/>
    <x v="0"/>
    <s v="United States"/>
    <x v="113"/>
    <x v="0"/>
    <x v="0"/>
    <s v="TEC-CO-10001943"/>
    <x v="0"/>
    <x v="3"/>
    <s v="Canon PC-428 Personal Copier"/>
    <n v="479.976"/>
    <n v="3"/>
    <n v="161.99189999999999"/>
    <x v="3"/>
    <x v="1"/>
    <x v="4"/>
    <n v="0.33750000000000002"/>
  </r>
  <r>
    <s v="US-2016-125402"/>
    <x v="586"/>
    <d v="2016-10-01T00:00:00"/>
    <x v="0"/>
    <s v="DL-12865"/>
    <s v="Dan Lawera"/>
    <x v="0"/>
    <s v="United States"/>
    <x v="113"/>
    <x v="0"/>
    <x v="0"/>
    <s v="TEC-PH-10003356"/>
    <x v="0"/>
    <x v="0"/>
    <s v="SmartStand Mobile Device Holder, Assorted Colors"/>
    <n v="44.735999999999997"/>
    <n v="8"/>
    <n v="4.4736000000000002"/>
    <x v="3"/>
    <x v="1"/>
    <x v="4"/>
    <n v="0.1"/>
  </r>
  <r>
    <s v="CA-2017-113278"/>
    <x v="169"/>
    <d v="2017-01-20T00:00:00"/>
    <x v="0"/>
    <s v="HR-14770"/>
    <s v="Hallie Redmond"/>
    <x v="2"/>
    <s v="United States"/>
    <x v="184"/>
    <x v="21"/>
    <x v="1"/>
    <s v="TEC-PH-10000169"/>
    <x v="0"/>
    <x v="0"/>
    <s v="ARKON Windshield Dashboard Air Vent Car Mount Holder"/>
    <n v="67.8"/>
    <n v="4"/>
    <n v="1.3560000000000001"/>
    <x v="3"/>
    <x v="3"/>
    <x v="2"/>
    <n v="0.02"/>
  </r>
  <r>
    <s v="CA-2017-113278"/>
    <x v="169"/>
    <d v="2017-01-20T00:00:00"/>
    <x v="0"/>
    <s v="HR-14770"/>
    <s v="Hallie Redmond"/>
    <x v="2"/>
    <s v="United States"/>
    <x v="184"/>
    <x v="21"/>
    <x v="1"/>
    <s v="TEC-AC-10001445"/>
    <x v="0"/>
    <x v="1"/>
    <s v="Imation USB 2.0 Swivel Flash Drive USB flash drive - 4 GB - Pink"/>
    <n v="12.12"/>
    <n v="4"/>
    <n v="2.5451999999999999"/>
    <x v="3"/>
    <x v="3"/>
    <x v="2"/>
    <n v="0.21"/>
  </r>
  <r>
    <s v="CA-2017-113278"/>
    <x v="169"/>
    <d v="2017-01-20T00:00:00"/>
    <x v="0"/>
    <s v="HR-14770"/>
    <s v="Hallie Redmond"/>
    <x v="2"/>
    <s v="United States"/>
    <x v="184"/>
    <x v="21"/>
    <x v="1"/>
    <s v="TEC-AC-10004469"/>
    <x v="0"/>
    <x v="1"/>
    <s v="Microsoft Sculpt Comfort Mouse"/>
    <n v="159.80000000000001"/>
    <n v="4"/>
    <n v="70.311999999999998"/>
    <x v="3"/>
    <x v="3"/>
    <x v="2"/>
    <n v="0.44"/>
  </r>
  <r>
    <s v="US-2017-166324"/>
    <x v="819"/>
    <d v="2017-04-21T00:00:00"/>
    <x v="2"/>
    <s v="BE-11455"/>
    <s v="Brad Eason"/>
    <x v="2"/>
    <s v="United States"/>
    <x v="118"/>
    <x v="9"/>
    <x v="2"/>
    <s v="TEC-PH-10004080"/>
    <x v="0"/>
    <x v="0"/>
    <s v="Avaya 5410 Digital phone"/>
    <n v="122.38200000000001"/>
    <n v="3"/>
    <n v="-24.476400000000002"/>
    <x v="4"/>
    <x v="3"/>
    <x v="9"/>
    <n v="-0.2"/>
  </r>
  <r>
    <s v="CA-2014-153927"/>
    <x v="737"/>
    <d v="2014-08-13T00:00:00"/>
    <x v="2"/>
    <s v="LL-16840"/>
    <s v="Lauren Leatherbury"/>
    <x v="0"/>
    <s v="United States"/>
    <x v="340"/>
    <x v="31"/>
    <x v="3"/>
    <s v="TEC-AC-10000023"/>
    <x v="0"/>
    <x v="1"/>
    <s v="Maxell 74 Minute CD-R Spindle, 50/Pack"/>
    <n v="272.61"/>
    <n v="13"/>
    <n v="98.139600000000002"/>
    <x v="4"/>
    <x v="0"/>
    <x v="1"/>
    <n v="0.36"/>
  </r>
  <r>
    <s v="CA-2014-112291"/>
    <x v="820"/>
    <d v="2014-04-08T00:00:00"/>
    <x v="0"/>
    <s v="KE-16420"/>
    <s v="Katrina Edelman"/>
    <x v="1"/>
    <s v="United States"/>
    <x v="0"/>
    <x v="0"/>
    <x v="0"/>
    <s v="TEC-AC-10001284"/>
    <x v="0"/>
    <x v="1"/>
    <s v="Enermax Briskie RF Wireless Keyboard and Mouse Combo"/>
    <n v="62.31"/>
    <n v="3"/>
    <n v="22.4316"/>
    <x v="0"/>
    <x v="0"/>
    <x v="9"/>
    <n v="0.36"/>
  </r>
  <r>
    <s v="CA-2014-112291"/>
    <x v="820"/>
    <d v="2014-04-08T00:00:00"/>
    <x v="0"/>
    <s v="KE-16420"/>
    <s v="Katrina Edelman"/>
    <x v="1"/>
    <s v="United States"/>
    <x v="0"/>
    <x v="0"/>
    <x v="0"/>
    <s v="TEC-AC-10000736"/>
    <x v="0"/>
    <x v="1"/>
    <s v="Logitech G600 MMO Gaming Mouse"/>
    <n v="159.97999999999999"/>
    <n v="2"/>
    <n v="57.592799999999997"/>
    <x v="0"/>
    <x v="0"/>
    <x v="9"/>
    <n v="0.36"/>
  </r>
  <r>
    <s v="CA-2015-127544"/>
    <x v="821"/>
    <d v="2015-08-12T00:00:00"/>
    <x v="0"/>
    <s v="RD-19585"/>
    <s v="Rob Dowd"/>
    <x v="0"/>
    <s v="United States"/>
    <x v="259"/>
    <x v="5"/>
    <x v="2"/>
    <s v="TEC-AC-10000736"/>
    <x v="0"/>
    <x v="1"/>
    <s v="Logitech G600 MMO Gaming Mouse"/>
    <n v="79.989999999999995"/>
    <n v="1"/>
    <n v="28.796399999999998"/>
    <x v="1"/>
    <x v="2"/>
    <x v="1"/>
    <n v="0.36"/>
  </r>
  <r>
    <s v="US-2016-115441"/>
    <x v="267"/>
    <d v="2016-07-28T00:00:00"/>
    <x v="1"/>
    <s v="SH-19975"/>
    <s v="Sally Hughsby"/>
    <x v="1"/>
    <s v="United States"/>
    <x v="78"/>
    <x v="10"/>
    <x v="1"/>
    <s v="TEC-AC-10003116"/>
    <x v="0"/>
    <x v="1"/>
    <s v="Memorex Froggy Flash Drive 8 GB"/>
    <n v="124.25"/>
    <n v="7"/>
    <n v="48.457500000000003"/>
    <x v="6"/>
    <x v="1"/>
    <x v="10"/>
    <n v="0.39"/>
  </r>
  <r>
    <s v="US-2016-115441"/>
    <x v="267"/>
    <d v="2016-07-28T00:00:00"/>
    <x v="1"/>
    <s v="SH-19975"/>
    <s v="Sally Hughsby"/>
    <x v="1"/>
    <s v="United States"/>
    <x v="78"/>
    <x v="10"/>
    <x v="1"/>
    <s v="TEC-PH-10002262"/>
    <x v="0"/>
    <x v="0"/>
    <s v="LG Electronics Tone+ HBS-730 Bluetooth Headset"/>
    <n v="297.55"/>
    <n v="5"/>
    <n v="83.313999999999993"/>
    <x v="6"/>
    <x v="1"/>
    <x v="10"/>
    <n v="0.28000000000000003"/>
  </r>
  <r>
    <s v="CA-2014-115049"/>
    <x v="808"/>
    <d v="2014-10-01T00:00:00"/>
    <x v="0"/>
    <s v="MM-17920"/>
    <s v="Michael Moore"/>
    <x v="0"/>
    <s v="United States"/>
    <x v="11"/>
    <x v="2"/>
    <x v="1"/>
    <s v="TEC-AC-10004859"/>
    <x v="0"/>
    <x v="1"/>
    <s v="Maxell Pro 80 Minute CD-R, 10/Pack"/>
    <n v="153.82400000000001"/>
    <n v="11"/>
    <n v="38.456000000000003"/>
    <x v="0"/>
    <x v="0"/>
    <x v="4"/>
    <n v="0.25"/>
  </r>
  <r>
    <s v="CA-2014-122609"/>
    <x v="583"/>
    <d v="2014-11-18T00:00:00"/>
    <x v="0"/>
    <s v="DP-13000"/>
    <s v="Darren Powers"/>
    <x v="0"/>
    <s v="United States"/>
    <x v="131"/>
    <x v="1"/>
    <x v="1"/>
    <s v="TEC-AC-10002567"/>
    <x v="0"/>
    <x v="1"/>
    <s v="Logitech G602 Wireless Gaming Mouse"/>
    <n v="127.98399999999999"/>
    <n v="2"/>
    <n v="25.596800000000002"/>
    <x v="3"/>
    <x v="0"/>
    <x v="6"/>
    <n v="0.2"/>
  </r>
  <r>
    <s v="US-2017-162124"/>
    <x v="263"/>
    <d v="2017-05-10T00:00:00"/>
    <x v="0"/>
    <s v="JF-15490"/>
    <s v="Jeremy Farry"/>
    <x v="0"/>
    <s v="United States"/>
    <x v="11"/>
    <x v="2"/>
    <x v="1"/>
    <s v="TEC-AC-10001990"/>
    <x v="0"/>
    <x v="1"/>
    <s v="Kensington Orbit Wireless Mobile Trackball for PC and Mac"/>
    <n v="191.96799999999999"/>
    <n v="4"/>
    <n v="28.795200000000001"/>
    <x v="1"/>
    <x v="3"/>
    <x v="11"/>
    <n v="0.15"/>
  </r>
  <r>
    <s v="CA-2015-159534"/>
    <x v="822"/>
    <d v="2015-03-23T00:00:00"/>
    <x v="2"/>
    <s v="DH-13075"/>
    <s v="Dave Hallsten"/>
    <x v="1"/>
    <s v="United States"/>
    <x v="7"/>
    <x v="5"/>
    <x v="2"/>
    <s v="TEC-PH-10002310"/>
    <x v="0"/>
    <x v="0"/>
    <s v="Panasonic KX T7731-B Digital phone"/>
    <n v="199.98"/>
    <n v="2"/>
    <n v="53.994599999999998"/>
    <x v="6"/>
    <x v="2"/>
    <x v="5"/>
    <n v="0.27"/>
  </r>
  <r>
    <s v="CA-2016-129630"/>
    <x v="785"/>
    <d v="2016-09-04T00:00:00"/>
    <x v="3"/>
    <s v="IM-15055"/>
    <s v="Ionia McGrath"/>
    <x v="0"/>
    <s v="United States"/>
    <x v="1"/>
    <x v="0"/>
    <x v="0"/>
    <s v="TEC-CO-10003763"/>
    <x v="0"/>
    <x v="3"/>
    <s v="Canon PC1060 Personal Laser Copier"/>
    <n v="2799.96"/>
    <n v="5"/>
    <n v="944.98649999999998"/>
    <x v="7"/>
    <x v="1"/>
    <x v="4"/>
    <n v="0.33750000000000002"/>
  </r>
  <r>
    <s v="CA-2014-166555"/>
    <x v="148"/>
    <d v="2014-07-14T00:00:00"/>
    <x v="2"/>
    <s v="JK-15205"/>
    <s v="Jamie Kunitz"/>
    <x v="0"/>
    <s v="United States"/>
    <x v="341"/>
    <x v="5"/>
    <x v="2"/>
    <s v="TEC-PH-10004912"/>
    <x v="0"/>
    <x v="0"/>
    <s v="Cisco SPA112 2 Port Phone Adapter"/>
    <n v="164.85"/>
    <n v="3"/>
    <n v="47.8065"/>
    <x v="6"/>
    <x v="0"/>
    <x v="10"/>
    <n v="0.28999999999999998"/>
  </r>
  <r>
    <s v="CA-2017-164028"/>
    <x v="331"/>
    <d v="2017-11-30T00:00:00"/>
    <x v="0"/>
    <s v="JL-15835"/>
    <s v="John Lee"/>
    <x v="0"/>
    <s v="United States"/>
    <x v="1"/>
    <x v="0"/>
    <x v="0"/>
    <s v="TEC-AC-10001772"/>
    <x v="0"/>
    <x v="1"/>
    <s v="Memorex Mini Travel Drive 16 GB USB 2.0 Flash Drive"/>
    <n v="223.58"/>
    <n v="14"/>
    <n v="87.196200000000005"/>
    <x v="3"/>
    <x v="3"/>
    <x v="6"/>
    <n v="0.39"/>
  </r>
  <r>
    <s v="CA-2014-111157"/>
    <x v="823"/>
    <d v="2014-03-06T00:00:00"/>
    <x v="0"/>
    <s v="NH-18610"/>
    <s v="Nicole Hansen"/>
    <x v="1"/>
    <s v="United States"/>
    <x v="20"/>
    <x v="12"/>
    <x v="2"/>
    <s v="TEC-AC-10004353"/>
    <x v="0"/>
    <x v="1"/>
    <s v="Hypercom P1300 Pinpad"/>
    <n v="151.19999999999999"/>
    <n v="3"/>
    <n v="32.130000000000003"/>
    <x v="1"/>
    <x v="0"/>
    <x v="5"/>
    <n v="0.21249999999999999"/>
  </r>
  <r>
    <s v="CA-2017-121559"/>
    <x v="529"/>
    <d v="2017-06-03T00:00:00"/>
    <x v="1"/>
    <s v="HW-14935"/>
    <s v="Helen Wasserman"/>
    <x v="1"/>
    <s v="United States"/>
    <x v="209"/>
    <x v="21"/>
    <x v="1"/>
    <s v="TEC-AC-10004568"/>
    <x v="0"/>
    <x v="1"/>
    <s v="Maxell LTO Ultrium - 800 GB"/>
    <n v="83.97"/>
    <n v="3"/>
    <n v="15.9543"/>
    <x v="2"/>
    <x v="3"/>
    <x v="0"/>
    <n v="0.19"/>
  </r>
  <r>
    <s v="CA-2017-121559"/>
    <x v="529"/>
    <d v="2017-06-03T00:00:00"/>
    <x v="1"/>
    <s v="HW-14935"/>
    <s v="Helen Wasserman"/>
    <x v="1"/>
    <s v="United States"/>
    <x v="209"/>
    <x v="21"/>
    <x v="1"/>
    <s v="TEC-AC-10001714"/>
    <x v="0"/>
    <x v="1"/>
    <s v="Logitech MX Performance Wireless Mouse"/>
    <n v="39.89"/>
    <n v="1"/>
    <n v="14.7593"/>
    <x v="2"/>
    <x v="3"/>
    <x v="0"/>
    <n v="0.37"/>
  </r>
  <r>
    <s v="CA-2017-141446"/>
    <x v="103"/>
    <d v="2017-09-18T00:00:00"/>
    <x v="1"/>
    <s v="CL-12700"/>
    <s v="Craig Leslie"/>
    <x v="2"/>
    <s v="United States"/>
    <x v="74"/>
    <x v="27"/>
    <x v="3"/>
    <s v="TEC-AC-10002305"/>
    <x v="0"/>
    <x v="1"/>
    <s v="KeyTronic E03601U1 - Keyboard - Beige"/>
    <n v="18"/>
    <n v="1"/>
    <n v="3.24"/>
    <x v="2"/>
    <x v="3"/>
    <x v="4"/>
    <n v="0.18"/>
  </r>
  <r>
    <s v="US-2016-103674"/>
    <x v="365"/>
    <d v="2016-12-10T00:00:00"/>
    <x v="0"/>
    <s v="AP-10720"/>
    <s v="Anne Pryor"/>
    <x v="2"/>
    <s v="United States"/>
    <x v="0"/>
    <x v="0"/>
    <x v="0"/>
    <s v="TEC-PH-10004080"/>
    <x v="0"/>
    <x v="0"/>
    <s v="Avaya 5410 Digital phone"/>
    <n v="271.95999999999998"/>
    <n v="5"/>
    <n v="27.196000000000002"/>
    <x v="1"/>
    <x v="1"/>
    <x v="3"/>
    <n v="0.1"/>
  </r>
  <r>
    <s v="US-2016-103674"/>
    <x v="365"/>
    <d v="2016-12-10T00:00:00"/>
    <x v="0"/>
    <s v="AP-10720"/>
    <s v="Anne Pryor"/>
    <x v="2"/>
    <s v="United States"/>
    <x v="0"/>
    <x v="0"/>
    <x v="0"/>
    <s v="TEC-PH-10002496"/>
    <x v="0"/>
    <x v="0"/>
    <s v="Cisco SPA301"/>
    <n v="249.584"/>
    <n v="2"/>
    <n v="31.198"/>
    <x v="1"/>
    <x v="1"/>
    <x v="3"/>
    <n v="0.125"/>
  </r>
  <r>
    <s v="US-2016-157728"/>
    <x v="436"/>
    <d v="2016-09-28T00:00:00"/>
    <x v="0"/>
    <s v="RC-19960"/>
    <s v="Ryan Crowe"/>
    <x v="0"/>
    <s v="United States"/>
    <x v="342"/>
    <x v="14"/>
    <x v="1"/>
    <s v="TEC-PH-10001305"/>
    <x v="0"/>
    <x v="0"/>
    <s v="Panasonic KX TS208W Corded phone"/>
    <n v="97.98"/>
    <n v="2"/>
    <n v="27.4344"/>
    <x v="3"/>
    <x v="1"/>
    <x v="4"/>
    <n v="0.28000000000000003"/>
  </r>
  <r>
    <s v="CA-2016-125794"/>
    <x v="423"/>
    <d v="2016-10-03T00:00:00"/>
    <x v="0"/>
    <s v="ML-17410"/>
    <s v="Maris LaWare"/>
    <x v="0"/>
    <s v="United States"/>
    <x v="0"/>
    <x v="0"/>
    <x v="0"/>
    <s v="TEC-AC-10003399"/>
    <x v="0"/>
    <x v="1"/>
    <s v="Memorex Mini Travel Drive 64 GB USB 2.0 Flash Drive"/>
    <n v="36.24"/>
    <n v="1"/>
    <n v="15.220800000000001"/>
    <x v="1"/>
    <x v="1"/>
    <x v="4"/>
    <n v="0.42"/>
  </r>
  <r>
    <s v="CA-2017-163629"/>
    <x v="487"/>
    <d v="2017-11-21T00:00:00"/>
    <x v="0"/>
    <s v="RA-19885"/>
    <s v="Ruben Ausman"/>
    <x v="1"/>
    <s v="United States"/>
    <x v="252"/>
    <x v="31"/>
    <x v="3"/>
    <s v="TEC-AC-10001539"/>
    <x v="0"/>
    <x v="1"/>
    <s v="Logitech G430 Surround Sound Gaming Headset with Dolby 7.1 Technology"/>
    <n v="79.989999999999995"/>
    <n v="1"/>
    <n v="28.796399999999998"/>
    <x v="1"/>
    <x v="3"/>
    <x v="6"/>
    <n v="0.36"/>
  </r>
  <r>
    <s v="CA-2017-163629"/>
    <x v="487"/>
    <d v="2017-11-21T00:00:00"/>
    <x v="0"/>
    <s v="RA-19885"/>
    <s v="Ruben Ausman"/>
    <x v="1"/>
    <s v="United States"/>
    <x v="252"/>
    <x v="31"/>
    <x v="3"/>
    <s v="TEC-PH-10004006"/>
    <x v="0"/>
    <x v="0"/>
    <s v="Panasonic KX - TS880B Telephone"/>
    <n v="206.1"/>
    <n v="5"/>
    <n v="55.646999999999998"/>
    <x v="1"/>
    <x v="3"/>
    <x v="6"/>
    <n v="0.27"/>
  </r>
  <r>
    <s v="CA-2017-121258"/>
    <x v="170"/>
    <d v="2017-03-03T00:00:00"/>
    <x v="0"/>
    <s v="DB-13060"/>
    <s v="Dave Brooks"/>
    <x v="0"/>
    <s v="United States"/>
    <x v="107"/>
    <x v="0"/>
    <x v="0"/>
    <s v="TEC-PH-10003645"/>
    <x v="0"/>
    <x v="0"/>
    <s v="Aastra 57i VoIP phone"/>
    <n v="258.57600000000002"/>
    <n v="2"/>
    <n v="19.3932"/>
    <x v="0"/>
    <x v="3"/>
    <x v="8"/>
    <n v="7.499999999999999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2542A1-5F5F-4848-9C99-5CE31D4A1E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2:H41" firstHeaderRow="1" firstDataRow="1" firstDataCol="1"/>
  <pivotFields count="22">
    <pivotField dataField="1" showAll="0"/>
    <pivotField numFmtId="14" showAll="0"/>
    <pivotField numFmtId="14" showAll="0"/>
    <pivotField showAll="0"/>
    <pivotField showAll="0"/>
    <pivotField showAll="0"/>
    <pivotField showAll="0">
      <items count="4">
        <item x="0"/>
        <item x="1"/>
        <item x="2"/>
        <item t="default"/>
      </items>
    </pivotField>
    <pivotField showAll="0"/>
    <pivotField showAll="0">
      <items count="344">
        <item x="217"/>
        <item x="150"/>
        <item x="158"/>
        <item x="114"/>
        <item x="329"/>
        <item x="108"/>
        <item x="168"/>
        <item x="253"/>
        <item x="173"/>
        <item x="335"/>
        <item x="130"/>
        <item x="69"/>
        <item x="252"/>
        <item x="144"/>
        <item x="43"/>
        <item x="12"/>
        <item x="65"/>
        <item x="233"/>
        <item x="205"/>
        <item x="212"/>
        <item x="143"/>
        <item x="122"/>
        <item x="279"/>
        <item x="206"/>
        <item x="73"/>
        <item x="261"/>
        <item x="202"/>
        <item x="302"/>
        <item x="213"/>
        <item x="293"/>
        <item x="68"/>
        <item x="157"/>
        <item x="31"/>
        <item x="128"/>
        <item x="210"/>
        <item x="294"/>
        <item x="296"/>
        <item x="327"/>
        <item x="290"/>
        <item x="60"/>
        <item x="268"/>
        <item x="160"/>
        <item x="131"/>
        <item x="63"/>
        <item x="100"/>
        <item x="13"/>
        <item x="321"/>
        <item x="134"/>
        <item x="97"/>
        <item x="11"/>
        <item x="300"/>
        <item x="96"/>
        <item x="310"/>
        <item x="118"/>
        <item x="104"/>
        <item x="245"/>
        <item x="152"/>
        <item x="234"/>
        <item x="135"/>
        <item x="16"/>
        <item x="76"/>
        <item x="338"/>
        <item x="333"/>
        <item x="322"/>
        <item x="107"/>
        <item x="67"/>
        <item x="208"/>
        <item x="26"/>
        <item x="219"/>
        <item x="185"/>
        <item x="22"/>
        <item x="331"/>
        <item x="102"/>
        <item x="52"/>
        <item x="38"/>
        <item x="266"/>
        <item x="77"/>
        <item x="6"/>
        <item x="248"/>
        <item x="28"/>
        <item x="303"/>
        <item x="320"/>
        <item x="5"/>
        <item x="332"/>
        <item x="304"/>
        <item x="235"/>
        <item x="19"/>
        <item x="71"/>
        <item x="115"/>
        <item x="221"/>
        <item x="90"/>
        <item x="162"/>
        <item x="66"/>
        <item x="112"/>
        <item x="141"/>
        <item x="79"/>
        <item x="190"/>
        <item x="74"/>
        <item x="176"/>
        <item x="196"/>
        <item x="51"/>
        <item x="17"/>
        <item x="336"/>
        <item x="149"/>
        <item x="165"/>
        <item x="237"/>
        <item x="292"/>
        <item x="41"/>
        <item x="239"/>
        <item x="9"/>
        <item x="47"/>
        <item x="110"/>
        <item x="274"/>
        <item x="179"/>
        <item x="342"/>
        <item x="48"/>
        <item x="50"/>
        <item x="197"/>
        <item x="255"/>
        <item x="172"/>
        <item x="55"/>
        <item x="85"/>
        <item x="326"/>
        <item x="282"/>
        <item x="325"/>
        <item x="228"/>
        <item x="286"/>
        <item x="183"/>
        <item x="174"/>
        <item x="34"/>
        <item x="256"/>
        <item x="188"/>
        <item x="222"/>
        <item x="318"/>
        <item x="299"/>
        <item x="164"/>
        <item x="161"/>
        <item x="3"/>
        <item x="280"/>
        <item x="46"/>
        <item x="209"/>
        <item x="194"/>
        <item x="267"/>
        <item x="61"/>
        <item x="42"/>
        <item x="154"/>
        <item x="201"/>
        <item x="92"/>
        <item x="263"/>
        <item x="123"/>
        <item x="117"/>
        <item x="308"/>
        <item x="307"/>
        <item x="249"/>
        <item x="250"/>
        <item x="98"/>
        <item x="155"/>
        <item x="207"/>
        <item x="271"/>
        <item x="175"/>
        <item x="95"/>
        <item x="192"/>
        <item x="93"/>
        <item x="54"/>
        <item x="328"/>
        <item x="200"/>
        <item x="270"/>
        <item x="238"/>
        <item x="231"/>
        <item x="75"/>
        <item x="140"/>
        <item x="230"/>
        <item x="113"/>
        <item x="312"/>
        <item x="103"/>
        <item x="0"/>
        <item x="39"/>
        <item x="177"/>
        <item x="311"/>
        <item x="99"/>
        <item x="254"/>
        <item x="265"/>
        <item x="195"/>
        <item x="236"/>
        <item x="142"/>
        <item x="264"/>
        <item x="27"/>
        <item x="298"/>
        <item x="225"/>
        <item x="87"/>
        <item x="193"/>
        <item x="56"/>
        <item x="305"/>
        <item x="306"/>
        <item x="78"/>
        <item x="240"/>
        <item x="334"/>
        <item x="109"/>
        <item x="291"/>
        <item x="23"/>
        <item x="277"/>
        <item x="49"/>
        <item x="214"/>
        <item x="319"/>
        <item x="64"/>
        <item x="317"/>
        <item x="215"/>
        <item x="126"/>
        <item x="4"/>
        <item x="283"/>
        <item x="262"/>
        <item x="146"/>
        <item x="40"/>
        <item x="7"/>
        <item x="129"/>
        <item x="229"/>
        <item x="341"/>
        <item x="170"/>
        <item x="44"/>
        <item x="120"/>
        <item x="89"/>
        <item x="242"/>
        <item x="133"/>
        <item x="247"/>
        <item x="116"/>
        <item x="70"/>
        <item x="14"/>
        <item x="191"/>
        <item x="186"/>
        <item x="316"/>
        <item x="269"/>
        <item x="289"/>
        <item x="81"/>
        <item x="153"/>
        <item x="132"/>
        <item x="204"/>
        <item x="37"/>
        <item x="243"/>
        <item x="136"/>
        <item x="171"/>
        <item x="20"/>
        <item x="80"/>
        <item x="330"/>
        <item x="163"/>
        <item x="121"/>
        <item x="198"/>
        <item x="105"/>
        <item x="251"/>
        <item x="137"/>
        <item x="166"/>
        <item x="216"/>
        <item x="32"/>
        <item x="227"/>
        <item x="295"/>
        <item x="182"/>
        <item x="125"/>
        <item x="257"/>
        <item x="138"/>
        <item x="218"/>
        <item x="167"/>
        <item x="315"/>
        <item x="272"/>
        <item x="2"/>
        <item x="184"/>
        <item x="297"/>
        <item x="10"/>
        <item x="57"/>
        <item x="323"/>
        <item x="94"/>
        <item x="226"/>
        <item x="260"/>
        <item x="91"/>
        <item x="244"/>
        <item x="211"/>
        <item x="25"/>
        <item x="284"/>
        <item x="189"/>
        <item x="139"/>
        <item x="101"/>
        <item x="33"/>
        <item x="53"/>
        <item x="21"/>
        <item x="30"/>
        <item x="1"/>
        <item x="288"/>
        <item x="314"/>
        <item x="223"/>
        <item x="72"/>
        <item x="339"/>
        <item x="187"/>
        <item x="18"/>
        <item x="45"/>
        <item x="301"/>
        <item x="309"/>
        <item x="147"/>
        <item x="276"/>
        <item x="106"/>
        <item x="127"/>
        <item x="145"/>
        <item x="151"/>
        <item x="232"/>
        <item x="84"/>
        <item x="220"/>
        <item x="159"/>
        <item x="324"/>
        <item x="285"/>
        <item x="156"/>
        <item x="29"/>
        <item x="36"/>
        <item x="181"/>
        <item x="178"/>
        <item x="203"/>
        <item x="313"/>
        <item x="199"/>
        <item x="258"/>
        <item x="119"/>
        <item x="86"/>
        <item x="278"/>
        <item x="241"/>
        <item x="8"/>
        <item x="35"/>
        <item x="124"/>
        <item x="59"/>
        <item x="259"/>
        <item x="58"/>
        <item x="275"/>
        <item x="82"/>
        <item x="180"/>
        <item x="148"/>
        <item x="83"/>
        <item x="273"/>
        <item x="62"/>
        <item x="281"/>
        <item x="169"/>
        <item x="224"/>
        <item x="111"/>
        <item x="24"/>
        <item x="246"/>
        <item x="15"/>
        <item x="337"/>
        <item x="340"/>
        <item x="88"/>
        <item x="287"/>
        <item t="default"/>
      </items>
    </pivotField>
    <pivotField showAll="0"/>
    <pivotField showAll="0">
      <items count="5">
        <item x="1"/>
        <item x="2"/>
        <item x="3"/>
        <item x="0"/>
        <item t="default"/>
      </items>
    </pivotField>
    <pivotField showAll="0"/>
    <pivotField showAll="0"/>
    <pivotField showAll="0"/>
    <pivotField showAll="0"/>
    <pivotField showAll="0"/>
    <pivotField showAll="0"/>
    <pivotField showAll="0"/>
    <pivotField axis="axisRow" showAll="0" sortType="descending">
      <items count="9">
        <item x="7"/>
        <item x="4"/>
        <item x="2"/>
        <item x="6"/>
        <item x="1"/>
        <item x="0"/>
        <item x="3"/>
        <item x="5"/>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items count="13">
        <item x="2"/>
        <item x="8"/>
        <item x="5"/>
        <item x="9"/>
        <item x="11"/>
        <item x="0"/>
        <item x="10"/>
        <item x="1"/>
        <item x="4"/>
        <item x="7"/>
        <item x="6"/>
        <item x="3"/>
        <item t="default"/>
      </items>
    </pivotField>
    <pivotField numFmtId="10" showAll="0"/>
  </pivotFields>
  <rowFields count="1">
    <field x="18"/>
  </rowFields>
  <rowItems count="9">
    <i>
      <x v="4"/>
    </i>
    <i>
      <x v="5"/>
    </i>
    <i>
      <x v="2"/>
    </i>
    <i>
      <x v="6"/>
    </i>
    <i>
      <x v="3"/>
    </i>
    <i>
      <x v="7"/>
    </i>
    <i>
      <x/>
    </i>
    <i>
      <x v="1"/>
    </i>
    <i t="grand">
      <x/>
    </i>
  </rowItems>
  <colItems count="1">
    <i/>
  </colItems>
  <dataFields count="1">
    <dataField name="Count of Order ID" fld="0" subtotal="count" showDataAs="percentOfTotal" baseField="0" baseItem="0" numFmtId="10"/>
  </dataFields>
  <formats count="3">
    <format dxfId="2">
      <pivotArea outline="0" collapsedLevelsAreSubtotals="1" fieldPosition="0"/>
    </format>
    <format dxfId="1">
      <pivotArea grandRow="1" outline="0" collapsedLevelsAreSubtotals="1" fieldPosition="0"/>
    </format>
    <format dxfId="0">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52D17D-5E81-44E4-95EF-EBBD81F4E6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G16" firstHeaderRow="0" firstDataRow="1" firstDataCol="1"/>
  <pivotFields count="22">
    <pivotField dataField="1"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1"/>
        <item x="2"/>
        <item x="3"/>
        <item x="0"/>
        <item t="default"/>
      </items>
    </pivotField>
    <pivotField showAll="0"/>
    <pivotField showAll="0"/>
    <pivotField showAll="0"/>
    <pivotField showAll="0"/>
    <pivotField dataField="1" showAll="0"/>
    <pivotField dataField="1" showAll="0"/>
    <pivotField dataField="1" showAll="0"/>
    <pivotField showAll="0"/>
    <pivotField axis="axisRow" showAll="0">
      <items count="5">
        <item x="0"/>
        <item x="2"/>
        <item x="1"/>
        <item x="3"/>
        <item t="default"/>
      </items>
    </pivotField>
    <pivotField showAll="0"/>
    <pivotField dataField="1" numFmtId="10" showAll="0"/>
  </pivotFields>
  <rowFields count="1">
    <field x="19"/>
  </rowFields>
  <rowItems count="5">
    <i>
      <x/>
    </i>
    <i>
      <x v="1"/>
    </i>
    <i>
      <x v="2"/>
    </i>
    <i>
      <x v="3"/>
    </i>
    <i t="grand">
      <x/>
    </i>
  </rowItems>
  <colFields count="1">
    <field x="-2"/>
  </colFields>
  <colItems count="5">
    <i>
      <x/>
    </i>
    <i i="1">
      <x v="1"/>
    </i>
    <i i="2">
      <x v="2"/>
    </i>
    <i i="3">
      <x v="3"/>
    </i>
    <i i="4">
      <x v="4"/>
    </i>
  </colItems>
  <dataFields count="5">
    <dataField name="Sum of Sales" fld="15" baseField="0" baseItem="0"/>
    <dataField name="Sum of Quantity" fld="16" baseField="0" baseItem="0"/>
    <dataField name="Sum of Profit" fld="17" baseField="0" baseItem="0"/>
    <dataField name="Count of Order ID" fld="0" subtotal="count" baseField="0" baseItem="0"/>
    <dataField name="Average of Profit Margin" fld="21" subtotal="average" baseField="0" baseItem="3" numFmtId="10"/>
  </dataFields>
  <formats count="2">
    <format dxfId="4">
      <pivotArea outline="0" collapsedLevelsAreSubtotals="1" fieldPosition="0"/>
    </format>
    <format dxfId="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A2B234-7EA6-4997-880C-2487490689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50:H55" firstHeaderRow="1" firstDataRow="1" firstDataCol="1"/>
  <pivotFields count="22">
    <pivotField dataField="1" showAll="0"/>
    <pivotField numFmtId="14" showAll="0"/>
    <pivotField numFmtId="14" showAll="0"/>
    <pivotField axis="axisRow" showAll="0">
      <items count="5">
        <item x="2"/>
        <item x="3"/>
        <item x="1"/>
        <item x="0"/>
        <item t="default"/>
      </items>
    </pivotField>
    <pivotField showAll="0"/>
    <pivotField showAll="0"/>
    <pivotField showAll="0">
      <items count="4">
        <item x="0"/>
        <item x="1"/>
        <item x="2"/>
        <item t="default"/>
      </items>
    </pivotField>
    <pivotField showAll="0"/>
    <pivotField showAll="0">
      <items count="344">
        <item x="217"/>
        <item x="150"/>
        <item x="158"/>
        <item x="114"/>
        <item x="329"/>
        <item x="108"/>
        <item x="168"/>
        <item x="253"/>
        <item x="173"/>
        <item x="335"/>
        <item x="130"/>
        <item x="69"/>
        <item x="252"/>
        <item x="144"/>
        <item x="43"/>
        <item x="12"/>
        <item x="65"/>
        <item x="233"/>
        <item x="205"/>
        <item x="212"/>
        <item x="143"/>
        <item x="122"/>
        <item x="279"/>
        <item x="206"/>
        <item x="73"/>
        <item x="261"/>
        <item x="202"/>
        <item x="302"/>
        <item x="213"/>
        <item x="293"/>
        <item x="68"/>
        <item x="157"/>
        <item x="31"/>
        <item x="128"/>
        <item x="210"/>
        <item x="294"/>
        <item x="296"/>
        <item x="327"/>
        <item x="290"/>
        <item x="60"/>
        <item x="268"/>
        <item x="160"/>
        <item x="131"/>
        <item x="63"/>
        <item x="100"/>
        <item x="13"/>
        <item x="321"/>
        <item x="134"/>
        <item x="97"/>
        <item x="11"/>
        <item x="300"/>
        <item x="96"/>
        <item x="310"/>
        <item x="118"/>
        <item x="104"/>
        <item x="245"/>
        <item x="152"/>
        <item x="234"/>
        <item x="135"/>
        <item x="16"/>
        <item x="76"/>
        <item x="338"/>
        <item x="333"/>
        <item x="322"/>
        <item x="107"/>
        <item x="67"/>
        <item x="208"/>
        <item x="26"/>
        <item x="219"/>
        <item x="185"/>
        <item x="22"/>
        <item x="331"/>
        <item x="102"/>
        <item x="52"/>
        <item x="38"/>
        <item x="266"/>
        <item x="77"/>
        <item x="6"/>
        <item x="248"/>
        <item x="28"/>
        <item x="303"/>
        <item x="320"/>
        <item x="5"/>
        <item x="332"/>
        <item x="304"/>
        <item x="235"/>
        <item x="19"/>
        <item x="71"/>
        <item x="115"/>
        <item x="221"/>
        <item x="90"/>
        <item x="162"/>
        <item x="66"/>
        <item x="112"/>
        <item x="141"/>
        <item x="79"/>
        <item x="190"/>
        <item x="74"/>
        <item x="176"/>
        <item x="196"/>
        <item x="51"/>
        <item x="17"/>
        <item x="336"/>
        <item x="149"/>
        <item x="165"/>
        <item x="237"/>
        <item x="292"/>
        <item x="41"/>
        <item x="239"/>
        <item x="9"/>
        <item x="47"/>
        <item x="110"/>
        <item x="274"/>
        <item x="179"/>
        <item x="342"/>
        <item x="48"/>
        <item x="50"/>
        <item x="197"/>
        <item x="255"/>
        <item x="172"/>
        <item x="55"/>
        <item x="85"/>
        <item x="326"/>
        <item x="282"/>
        <item x="325"/>
        <item x="228"/>
        <item x="286"/>
        <item x="183"/>
        <item x="174"/>
        <item x="34"/>
        <item x="256"/>
        <item x="188"/>
        <item x="222"/>
        <item x="318"/>
        <item x="299"/>
        <item x="164"/>
        <item x="161"/>
        <item x="3"/>
        <item x="280"/>
        <item x="46"/>
        <item x="209"/>
        <item x="194"/>
        <item x="267"/>
        <item x="61"/>
        <item x="42"/>
        <item x="154"/>
        <item x="201"/>
        <item x="92"/>
        <item x="263"/>
        <item x="123"/>
        <item x="117"/>
        <item x="308"/>
        <item x="307"/>
        <item x="249"/>
        <item x="250"/>
        <item x="98"/>
        <item x="155"/>
        <item x="207"/>
        <item x="271"/>
        <item x="175"/>
        <item x="95"/>
        <item x="192"/>
        <item x="93"/>
        <item x="54"/>
        <item x="328"/>
        <item x="200"/>
        <item x="270"/>
        <item x="238"/>
        <item x="231"/>
        <item x="75"/>
        <item x="140"/>
        <item x="230"/>
        <item x="113"/>
        <item x="312"/>
        <item x="103"/>
        <item x="0"/>
        <item x="39"/>
        <item x="177"/>
        <item x="311"/>
        <item x="99"/>
        <item x="254"/>
        <item x="265"/>
        <item x="195"/>
        <item x="236"/>
        <item x="142"/>
        <item x="264"/>
        <item x="27"/>
        <item x="298"/>
        <item x="225"/>
        <item x="87"/>
        <item x="193"/>
        <item x="56"/>
        <item x="305"/>
        <item x="306"/>
        <item x="78"/>
        <item x="240"/>
        <item x="334"/>
        <item x="109"/>
        <item x="291"/>
        <item x="23"/>
        <item x="277"/>
        <item x="49"/>
        <item x="214"/>
        <item x="319"/>
        <item x="64"/>
        <item x="317"/>
        <item x="215"/>
        <item x="126"/>
        <item x="4"/>
        <item x="283"/>
        <item x="262"/>
        <item x="146"/>
        <item x="40"/>
        <item x="7"/>
        <item x="129"/>
        <item x="229"/>
        <item x="341"/>
        <item x="170"/>
        <item x="44"/>
        <item x="120"/>
        <item x="89"/>
        <item x="242"/>
        <item x="133"/>
        <item x="247"/>
        <item x="116"/>
        <item x="70"/>
        <item x="14"/>
        <item x="191"/>
        <item x="186"/>
        <item x="316"/>
        <item x="269"/>
        <item x="289"/>
        <item x="81"/>
        <item x="153"/>
        <item x="132"/>
        <item x="204"/>
        <item x="37"/>
        <item x="243"/>
        <item x="136"/>
        <item x="171"/>
        <item x="20"/>
        <item x="80"/>
        <item x="330"/>
        <item x="163"/>
        <item x="121"/>
        <item x="198"/>
        <item x="105"/>
        <item x="251"/>
        <item x="137"/>
        <item x="166"/>
        <item x="216"/>
        <item x="32"/>
        <item x="227"/>
        <item x="295"/>
        <item x="182"/>
        <item x="125"/>
        <item x="257"/>
        <item x="138"/>
        <item x="218"/>
        <item x="167"/>
        <item x="315"/>
        <item x="272"/>
        <item x="2"/>
        <item x="184"/>
        <item x="297"/>
        <item x="10"/>
        <item x="57"/>
        <item x="323"/>
        <item x="94"/>
        <item x="226"/>
        <item x="260"/>
        <item x="91"/>
        <item x="244"/>
        <item x="211"/>
        <item x="25"/>
        <item x="284"/>
        <item x="189"/>
        <item x="139"/>
        <item x="101"/>
        <item x="33"/>
        <item x="53"/>
        <item x="21"/>
        <item x="30"/>
        <item x="1"/>
        <item x="288"/>
        <item x="314"/>
        <item x="223"/>
        <item x="72"/>
        <item x="339"/>
        <item x="187"/>
        <item x="18"/>
        <item x="45"/>
        <item x="301"/>
        <item x="309"/>
        <item x="147"/>
        <item x="276"/>
        <item x="106"/>
        <item x="127"/>
        <item x="145"/>
        <item x="151"/>
        <item x="232"/>
        <item x="84"/>
        <item x="220"/>
        <item x="159"/>
        <item x="324"/>
        <item x="285"/>
        <item x="156"/>
        <item x="29"/>
        <item x="36"/>
        <item x="181"/>
        <item x="178"/>
        <item x="203"/>
        <item x="313"/>
        <item x="199"/>
        <item x="258"/>
        <item x="119"/>
        <item x="86"/>
        <item x="278"/>
        <item x="241"/>
        <item x="8"/>
        <item x="35"/>
        <item x="124"/>
        <item x="59"/>
        <item x="259"/>
        <item x="58"/>
        <item x="275"/>
        <item x="82"/>
        <item x="180"/>
        <item x="148"/>
        <item x="83"/>
        <item x="273"/>
        <item x="62"/>
        <item x="281"/>
        <item x="169"/>
        <item x="224"/>
        <item x="111"/>
        <item x="24"/>
        <item x="246"/>
        <item x="15"/>
        <item x="337"/>
        <item x="340"/>
        <item x="88"/>
        <item x="287"/>
        <item t="default"/>
      </items>
    </pivotField>
    <pivotField showAll="0"/>
    <pivotField showAll="0">
      <items count="5">
        <item x="1"/>
        <item x="2"/>
        <item x="3"/>
        <item x="0"/>
        <item t="default"/>
      </items>
    </pivotField>
    <pivotField showAll="0"/>
    <pivotField showAll="0"/>
    <pivotField showAll="0"/>
    <pivotField showAll="0"/>
    <pivotField showAll="0"/>
    <pivotField showAll="0"/>
    <pivotField showAll="0"/>
    <pivotField showAll="0">
      <items count="9">
        <item x="7"/>
        <item x="4"/>
        <item x="2"/>
        <item x="6"/>
        <item x="1"/>
        <item x="0"/>
        <item x="3"/>
        <item x="5"/>
        <item t="default"/>
      </items>
    </pivotField>
    <pivotField showAll="0">
      <items count="5">
        <item x="0"/>
        <item x="2"/>
        <item x="1"/>
        <item x="3"/>
        <item t="default"/>
      </items>
    </pivotField>
    <pivotField showAll="0">
      <items count="13">
        <item x="2"/>
        <item x="8"/>
        <item x="5"/>
        <item x="9"/>
        <item x="11"/>
        <item x="0"/>
        <item x="10"/>
        <item x="1"/>
        <item x="4"/>
        <item x="7"/>
        <item x="6"/>
        <item x="3"/>
        <item t="default"/>
      </items>
    </pivotField>
    <pivotField numFmtId="10" showAll="0"/>
  </pivotFields>
  <rowFields count="1">
    <field x="3"/>
  </rowFields>
  <rowItems count="5">
    <i>
      <x/>
    </i>
    <i>
      <x v="1"/>
    </i>
    <i>
      <x v="2"/>
    </i>
    <i>
      <x v="3"/>
    </i>
    <i t="grand">
      <x/>
    </i>
  </rowItems>
  <colItems count="1">
    <i/>
  </colItems>
  <dataFields count="1">
    <dataField name="Count of Order ID" fld="0" subtotal="count" showDataAs="percentOfTotal" baseField="3" baseItem="0" numFmtId="10"/>
  </dataFields>
  <formats count="4">
    <format dxfId="8">
      <pivotArea outline="0" collapsedLevelsAreSubtotals="1" fieldPosition="0"/>
    </format>
    <format dxfId="7">
      <pivotArea collapsedLevelsAreSubtotals="1" fieldPosition="0">
        <references count="1">
          <reference field="3" count="1">
            <x v="3"/>
          </reference>
        </references>
      </pivotArea>
    </format>
    <format dxfId="6">
      <pivotArea grandRow="1" outline="0" collapsedLevelsAreSubtotals="1" fieldPosition="0"/>
    </format>
    <format dxfId="5">
      <pivotArea outline="0" fieldPosition="0">
        <references count="1">
          <reference field="4294967294" count="1">
            <x v="0"/>
          </reference>
        </references>
      </pivotArea>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2C03B5-D34C-432A-ACE2-668A4E6B67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M20:O25" firstHeaderRow="0"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measureFilter="1">
      <items count="344">
        <item x="217"/>
        <item x="150"/>
        <item x="158"/>
        <item x="114"/>
        <item x="329"/>
        <item x="108"/>
        <item x="168"/>
        <item x="253"/>
        <item x="173"/>
        <item x="335"/>
        <item x="130"/>
        <item x="69"/>
        <item x="252"/>
        <item x="144"/>
        <item x="43"/>
        <item x="12"/>
        <item x="65"/>
        <item x="233"/>
        <item x="205"/>
        <item x="212"/>
        <item x="143"/>
        <item x="122"/>
        <item x="279"/>
        <item x="206"/>
        <item x="73"/>
        <item x="261"/>
        <item x="202"/>
        <item x="302"/>
        <item x="213"/>
        <item x="293"/>
        <item x="68"/>
        <item x="157"/>
        <item x="31"/>
        <item x="128"/>
        <item x="210"/>
        <item x="294"/>
        <item x="296"/>
        <item x="327"/>
        <item x="290"/>
        <item x="60"/>
        <item x="268"/>
        <item x="160"/>
        <item x="131"/>
        <item x="63"/>
        <item x="100"/>
        <item x="13"/>
        <item x="321"/>
        <item x="134"/>
        <item x="97"/>
        <item x="11"/>
        <item x="300"/>
        <item x="96"/>
        <item x="310"/>
        <item x="118"/>
        <item x="104"/>
        <item x="245"/>
        <item x="152"/>
        <item x="234"/>
        <item x="135"/>
        <item x="16"/>
        <item x="76"/>
        <item x="338"/>
        <item x="333"/>
        <item x="322"/>
        <item x="107"/>
        <item x="67"/>
        <item x="208"/>
        <item x="26"/>
        <item x="219"/>
        <item x="185"/>
        <item x="22"/>
        <item x="331"/>
        <item x="102"/>
        <item x="52"/>
        <item x="38"/>
        <item x="266"/>
        <item x="77"/>
        <item x="6"/>
        <item x="248"/>
        <item x="28"/>
        <item x="303"/>
        <item x="320"/>
        <item x="5"/>
        <item x="332"/>
        <item x="304"/>
        <item x="235"/>
        <item x="19"/>
        <item x="71"/>
        <item x="115"/>
        <item x="221"/>
        <item x="90"/>
        <item x="162"/>
        <item x="66"/>
        <item x="112"/>
        <item x="141"/>
        <item x="79"/>
        <item x="190"/>
        <item x="74"/>
        <item x="176"/>
        <item x="196"/>
        <item x="51"/>
        <item x="17"/>
        <item x="336"/>
        <item x="149"/>
        <item x="165"/>
        <item x="237"/>
        <item x="292"/>
        <item x="41"/>
        <item x="239"/>
        <item x="9"/>
        <item x="47"/>
        <item x="110"/>
        <item x="274"/>
        <item x="179"/>
        <item x="342"/>
        <item x="48"/>
        <item x="50"/>
        <item x="197"/>
        <item x="255"/>
        <item x="172"/>
        <item x="55"/>
        <item x="85"/>
        <item x="326"/>
        <item x="282"/>
        <item x="325"/>
        <item x="228"/>
        <item x="286"/>
        <item x="183"/>
        <item x="174"/>
        <item x="34"/>
        <item x="256"/>
        <item x="188"/>
        <item x="222"/>
        <item x="318"/>
        <item x="299"/>
        <item x="164"/>
        <item x="161"/>
        <item x="3"/>
        <item x="280"/>
        <item x="46"/>
        <item x="209"/>
        <item x="194"/>
        <item x="267"/>
        <item x="61"/>
        <item x="42"/>
        <item x="154"/>
        <item x="201"/>
        <item x="92"/>
        <item x="263"/>
        <item x="123"/>
        <item x="117"/>
        <item x="308"/>
        <item x="307"/>
        <item x="249"/>
        <item x="250"/>
        <item x="98"/>
        <item x="155"/>
        <item x="207"/>
        <item x="271"/>
        <item x="175"/>
        <item x="95"/>
        <item x="192"/>
        <item x="93"/>
        <item x="54"/>
        <item x="328"/>
        <item x="200"/>
        <item x="270"/>
        <item x="238"/>
        <item x="231"/>
        <item x="75"/>
        <item x="140"/>
        <item x="230"/>
        <item x="113"/>
        <item x="312"/>
        <item x="103"/>
        <item x="0"/>
        <item x="39"/>
        <item x="177"/>
        <item x="311"/>
        <item x="99"/>
        <item x="254"/>
        <item x="265"/>
        <item x="195"/>
        <item x="236"/>
        <item x="142"/>
        <item x="264"/>
        <item x="27"/>
        <item x="298"/>
        <item x="225"/>
        <item x="87"/>
        <item x="193"/>
        <item x="56"/>
        <item x="305"/>
        <item x="306"/>
        <item x="78"/>
        <item x="240"/>
        <item x="334"/>
        <item x="109"/>
        <item x="291"/>
        <item x="23"/>
        <item x="277"/>
        <item x="49"/>
        <item x="214"/>
        <item x="319"/>
        <item x="64"/>
        <item x="317"/>
        <item x="215"/>
        <item x="126"/>
        <item x="4"/>
        <item x="283"/>
        <item x="262"/>
        <item x="146"/>
        <item x="40"/>
        <item x="7"/>
        <item x="129"/>
        <item x="229"/>
        <item x="341"/>
        <item x="170"/>
        <item x="44"/>
        <item x="120"/>
        <item x="89"/>
        <item x="242"/>
        <item x="133"/>
        <item x="247"/>
        <item x="116"/>
        <item x="70"/>
        <item x="14"/>
        <item x="191"/>
        <item x="186"/>
        <item x="316"/>
        <item x="269"/>
        <item x="289"/>
        <item x="81"/>
        <item x="153"/>
        <item x="132"/>
        <item x="204"/>
        <item x="37"/>
        <item x="243"/>
        <item x="136"/>
        <item x="171"/>
        <item x="20"/>
        <item x="80"/>
        <item x="330"/>
        <item x="163"/>
        <item x="121"/>
        <item x="198"/>
        <item x="105"/>
        <item x="251"/>
        <item x="137"/>
        <item x="166"/>
        <item x="216"/>
        <item x="32"/>
        <item x="227"/>
        <item x="295"/>
        <item x="182"/>
        <item x="125"/>
        <item x="257"/>
        <item x="138"/>
        <item x="218"/>
        <item x="167"/>
        <item x="315"/>
        <item x="272"/>
        <item x="2"/>
        <item x="184"/>
        <item x="297"/>
        <item x="10"/>
        <item x="57"/>
        <item x="323"/>
        <item x="94"/>
        <item x="226"/>
        <item x="260"/>
        <item x="91"/>
        <item x="244"/>
        <item x="211"/>
        <item x="25"/>
        <item x="284"/>
        <item x="189"/>
        <item x="139"/>
        <item x="101"/>
        <item x="33"/>
        <item x="53"/>
        <item x="21"/>
        <item x="30"/>
        <item x="1"/>
        <item x="288"/>
        <item x="314"/>
        <item x="223"/>
        <item x="72"/>
        <item x="339"/>
        <item x="187"/>
        <item x="18"/>
        <item x="45"/>
        <item x="301"/>
        <item x="309"/>
        <item x="147"/>
        <item x="276"/>
        <item x="106"/>
        <item x="127"/>
        <item x="145"/>
        <item x="151"/>
        <item x="232"/>
        <item x="84"/>
        <item x="220"/>
        <item x="159"/>
        <item x="324"/>
        <item x="285"/>
        <item x="156"/>
        <item x="29"/>
        <item x="36"/>
        <item x="181"/>
        <item x="178"/>
        <item x="203"/>
        <item x="313"/>
        <item x="199"/>
        <item x="258"/>
        <item x="119"/>
        <item x="86"/>
        <item x="278"/>
        <item x="241"/>
        <item x="8"/>
        <item x="35"/>
        <item x="124"/>
        <item x="59"/>
        <item x="259"/>
        <item x="58"/>
        <item x="275"/>
        <item x="82"/>
        <item x="180"/>
        <item x="148"/>
        <item x="83"/>
        <item x="273"/>
        <item x="62"/>
        <item x="281"/>
        <item x="169"/>
        <item x="224"/>
        <item x="111"/>
        <item x="24"/>
        <item x="246"/>
        <item x="15"/>
        <item x="337"/>
        <item x="340"/>
        <item x="88"/>
        <item x="287"/>
        <item t="default"/>
      </items>
    </pivotField>
    <pivotField showAll="0"/>
    <pivotField showAll="0">
      <items count="5">
        <item x="1"/>
        <item x="2"/>
        <item x="3"/>
        <item x="0"/>
        <item t="default"/>
      </items>
    </pivotField>
    <pivotField showAll="0"/>
    <pivotField showAll="0">
      <items count="2">
        <item x="0"/>
        <item t="default"/>
      </items>
    </pivotField>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showAll="0"/>
    <pivotField showAll="0">
      <items count="5">
        <item x="0"/>
        <item x="2"/>
        <item x="1"/>
        <item x="3"/>
        <item t="default"/>
      </items>
    </pivotField>
    <pivotField showAll="0">
      <items count="13">
        <item x="2"/>
        <item x="8"/>
        <item x="5"/>
        <item x="9"/>
        <item x="11"/>
        <item x="0"/>
        <item x="10"/>
        <item x="1"/>
        <item x="4"/>
        <item x="7"/>
        <item x="6"/>
        <item x="3"/>
        <item t="default"/>
      </items>
    </pivotField>
    <pivotField numFmtId="10" showAll="0"/>
  </pivotFields>
  <rowFields count="1">
    <field x="13"/>
  </rowFields>
  <rowItems count="5">
    <i>
      <x v="1"/>
    </i>
    <i>
      <x/>
    </i>
    <i>
      <x v="2"/>
    </i>
    <i>
      <x v="3"/>
    </i>
    <i t="grand">
      <x/>
    </i>
  </rowItems>
  <colFields count="1">
    <field x="-2"/>
  </colFields>
  <colItems count="2">
    <i>
      <x/>
    </i>
    <i i="1">
      <x v="1"/>
    </i>
  </colItems>
  <dataFields count="2">
    <dataField name="Sum of Sales" fld="15" baseField="0" baseItem="0" numFmtId="164"/>
    <dataField name="Sum of Profit" fld="17" baseField="0" baseItem="0"/>
  </dataFields>
  <formats count="1">
    <format dxfId="9">
      <pivotArea outline="0" collapsedLevelsAreSubtotals="1" fieldPosition="0"/>
    </format>
  </formats>
  <chartFormats count="7">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1"/>
          </reference>
          <reference field="13" count="1" selected="0">
            <x v="2"/>
          </reference>
        </references>
      </pivotArea>
    </chartFormat>
    <chartFormat chart="11" format="7">
      <pivotArea type="data" outline="0" fieldPosition="0">
        <references count="2">
          <reference field="4294967294" count="1" selected="0">
            <x v="1"/>
          </reference>
          <reference field="13" count="1" selected="0">
            <x v="1"/>
          </reference>
        </references>
      </pivotArea>
    </chartFormat>
    <chartFormat chart="11" format="8">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05F3AA-E230-4B97-836A-41B1D6BC30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1:C34" firstHeaderRow="1"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1"/>
        <item x="2"/>
        <item x="3"/>
        <item x="0"/>
        <item t="default"/>
      </items>
    </pivotField>
    <pivotField showAll="0"/>
    <pivotField showAll="0"/>
    <pivotField showAll="0"/>
    <pivotField showAll="0"/>
    <pivotField dataField="1" showAll="0"/>
    <pivotField showAll="0"/>
    <pivotField showAll="0"/>
    <pivotField showAll="0"/>
    <pivotField showAll="0">
      <items count="5">
        <item x="0"/>
        <item x="2"/>
        <item x="1"/>
        <item x="3"/>
        <item t="default"/>
      </items>
    </pivotField>
    <pivotField axis="axisRow" showAll="0">
      <items count="13">
        <item x="2"/>
        <item x="8"/>
        <item x="5"/>
        <item x="9"/>
        <item x="11"/>
        <item x="0"/>
        <item x="10"/>
        <item x="1"/>
        <item x="4"/>
        <item x="7"/>
        <item x="6"/>
        <item x="3"/>
        <item t="default"/>
      </items>
    </pivotField>
    <pivotField numFmtId="10" showAll="0"/>
  </pivotFields>
  <rowFields count="1">
    <field x="20"/>
  </rowFields>
  <rowItems count="13">
    <i>
      <x/>
    </i>
    <i>
      <x v="1"/>
    </i>
    <i>
      <x v="2"/>
    </i>
    <i>
      <x v="3"/>
    </i>
    <i>
      <x v="4"/>
    </i>
    <i>
      <x v="5"/>
    </i>
    <i>
      <x v="6"/>
    </i>
    <i>
      <x v="7"/>
    </i>
    <i>
      <x v="8"/>
    </i>
    <i>
      <x v="9"/>
    </i>
    <i>
      <x v="10"/>
    </i>
    <i>
      <x v="11"/>
    </i>
    <i t="grand">
      <x/>
    </i>
  </rowItems>
  <colItems count="1">
    <i/>
  </colItems>
  <dataFields count="1">
    <dataField name="Sum of Sales" fld="15" baseField="0" baseItem="0" numFmtId="164"/>
  </dataFields>
  <formats count="1">
    <format dxfId="1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E62343-4889-4DB9-8A6B-CB3648CA1D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F5" firstHeaderRow="0" firstDataRow="1" firstDataCol="0"/>
  <pivotFields count="22">
    <pivotField dataField="1"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1"/>
        <item x="2"/>
        <item x="3"/>
        <item x="0"/>
        <item t="default"/>
      </items>
    </pivotField>
    <pivotField showAll="0"/>
    <pivotField showAll="0"/>
    <pivotField showAll="0"/>
    <pivotField showAll="0"/>
    <pivotField dataField="1" showAll="0"/>
    <pivotField dataField="1" showAll="0"/>
    <pivotField dataField="1" showAll="0"/>
    <pivotField showAll="0"/>
    <pivotField showAll="0">
      <items count="5">
        <item x="0"/>
        <item x="2"/>
        <item x="1"/>
        <item x="3"/>
        <item t="default"/>
      </items>
    </pivotField>
    <pivotField showAll="0"/>
    <pivotField dataField="1" numFmtId="10" showAll="0"/>
  </pivotFields>
  <rowItems count="1">
    <i/>
  </rowItems>
  <colFields count="1">
    <field x="-2"/>
  </colFields>
  <colItems count="5">
    <i>
      <x/>
    </i>
    <i i="1">
      <x v="1"/>
    </i>
    <i i="2">
      <x v="2"/>
    </i>
    <i i="3">
      <x v="3"/>
    </i>
    <i i="4">
      <x v="4"/>
    </i>
  </colItems>
  <dataFields count="5">
    <dataField name="Sum of Sales" fld="15" baseField="0" baseItem="0"/>
    <dataField name="Sum of Quantity" fld="16" baseField="0" baseItem="0"/>
    <dataField name="Sum of Profit" fld="17" baseField="0" baseItem="0"/>
    <dataField name="Count of Order ID" fld="0" subtotal="count" baseField="0" baseItem="0"/>
    <dataField name="Average of Profit Margin" fld="21" subtotal="average" baseField="0" baseItem="4" numFmtId="10"/>
  </dataFields>
  <formats count="2">
    <format dxfId="12">
      <pivotArea outline="0" collapsedLevelsAreSubtotals="1" fieldPosition="0"/>
    </format>
    <format dxfId="1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E1EC49-B834-4235-96CF-5D0999E3E0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C85" firstHeaderRow="1" firstDataRow="1" firstDataCol="1"/>
  <pivotFields count="22">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47">
        <item x="20"/>
        <item x="6"/>
        <item x="32"/>
        <item x="0"/>
        <item x="7"/>
        <item x="37"/>
        <item x="4"/>
        <item x="30"/>
        <item x="15"/>
        <item x="31"/>
        <item x="45"/>
        <item x="2"/>
        <item x="21"/>
        <item x="24"/>
        <item x="43"/>
        <item x="27"/>
        <item x="13"/>
        <item x="39"/>
        <item x="33"/>
        <item x="35"/>
        <item x="14"/>
        <item x="3"/>
        <item x="22"/>
        <item x="18"/>
        <item x="19"/>
        <item x="25"/>
        <item x="36"/>
        <item x="28"/>
        <item x="26"/>
        <item x="29"/>
        <item x="5"/>
        <item x="8"/>
        <item x="9"/>
        <item x="11"/>
        <item x="16"/>
        <item x="12"/>
        <item x="41"/>
        <item x="42"/>
        <item x="40"/>
        <item x="44"/>
        <item x="1"/>
        <item x="34"/>
        <item x="38"/>
        <item x="23"/>
        <item x="17"/>
        <item x="10"/>
        <item t="default"/>
      </items>
    </pivotField>
    <pivotField showAll="0">
      <items count="5">
        <item x="1"/>
        <item x="2"/>
        <item x="3"/>
        <item x="0"/>
        <item t="default"/>
      </items>
    </pivotField>
    <pivotField showAll="0"/>
    <pivotField showAll="0"/>
    <pivotField showAll="0"/>
    <pivotField showAll="0"/>
    <pivotField dataField="1" showAll="0"/>
    <pivotField showAll="0"/>
    <pivotField showAll="0"/>
    <pivotField showAll="0"/>
    <pivotField showAll="0">
      <items count="5">
        <item x="0"/>
        <item x="2"/>
        <item x="1"/>
        <item x="3"/>
        <item t="default"/>
      </items>
    </pivotField>
    <pivotField showAll="0">
      <items count="13">
        <item x="2"/>
        <item x="8"/>
        <item x="5"/>
        <item x="9"/>
        <item x="11"/>
        <item x="0"/>
        <item x="10"/>
        <item x="1"/>
        <item x="4"/>
        <item x="7"/>
        <item x="6"/>
        <item x="3"/>
        <item t="default"/>
      </items>
    </pivotField>
    <pivotField numFmtId="10" showAll="0"/>
  </pivotFields>
  <rowFields count="1">
    <field x="9"/>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Sales" fld="15"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C7E923-EF27-4FBC-A9EA-8A8977BEAC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H26" firstHeaderRow="1" firstDataRow="1" firstDataCol="1"/>
  <pivotFields count="22">
    <pivotField showAll="0"/>
    <pivotField numFmtId="14" showAll="0">
      <items count="825">
        <item x="698"/>
        <item x="85"/>
        <item x="108"/>
        <item x="255"/>
        <item x="136"/>
        <item x="162"/>
        <item x="329"/>
        <item x="79"/>
        <item x="789"/>
        <item x="268"/>
        <item x="123"/>
        <item x="588"/>
        <item x="815"/>
        <item x="507"/>
        <item x="593"/>
        <item x="823"/>
        <item x="165"/>
        <item x="754"/>
        <item x="675"/>
        <item x="517"/>
        <item x="419"/>
        <item x="340"/>
        <item x="624"/>
        <item x="703"/>
        <item x="433"/>
        <item x="797"/>
        <item x="491"/>
        <item x="750"/>
        <item x="704"/>
        <item x="549"/>
        <item x="592"/>
        <item x="820"/>
        <item x="555"/>
        <item x="401"/>
        <item x="197"/>
        <item x="484"/>
        <item x="680"/>
        <item x="448"/>
        <item x="357"/>
        <item x="49"/>
        <item x="431"/>
        <item x="343"/>
        <item x="749"/>
        <item x="740"/>
        <item x="542"/>
        <item x="678"/>
        <item x="767"/>
        <item x="118"/>
        <item x="561"/>
        <item x="81"/>
        <item x="393"/>
        <item x="756"/>
        <item x="246"/>
        <item x="758"/>
        <item x="141"/>
        <item x="398"/>
        <item x="88"/>
        <item x="218"/>
        <item x="151"/>
        <item x="591"/>
        <item x="717"/>
        <item x="722"/>
        <item x="288"/>
        <item x="461"/>
        <item x="0"/>
        <item x="636"/>
        <item x="816"/>
        <item x="425"/>
        <item x="99"/>
        <item x="60"/>
        <item x="280"/>
        <item x="530"/>
        <item x="298"/>
        <item x="185"/>
        <item x="347"/>
        <item x="98"/>
        <item x="209"/>
        <item x="148"/>
        <item x="173"/>
        <item x="289"/>
        <item x="399"/>
        <item x="413"/>
        <item x="731"/>
        <item x="752"/>
        <item x="70"/>
        <item x="52"/>
        <item x="455"/>
        <item x="458"/>
        <item x="625"/>
        <item x="193"/>
        <item x="567"/>
        <item x="447"/>
        <item x="86"/>
        <item x="43"/>
        <item x="737"/>
        <item x="322"/>
        <item x="676"/>
        <item x="608"/>
        <item x="26"/>
        <item x="1"/>
        <item x="421"/>
        <item x="736"/>
        <item x="547"/>
        <item x="229"/>
        <item x="24"/>
        <item x="434"/>
        <item x="61"/>
        <item x="133"/>
        <item x="556"/>
        <item x="402"/>
        <item x="38"/>
        <item x="562"/>
        <item x="57"/>
        <item x="412"/>
        <item x="808"/>
        <item x="163"/>
        <item x="395"/>
        <item x="584"/>
        <item x="660"/>
        <item x="69"/>
        <item x="707"/>
        <item x="803"/>
        <item x="701"/>
        <item x="469"/>
        <item x="115"/>
        <item x="596"/>
        <item x="602"/>
        <item x="667"/>
        <item x="265"/>
        <item x="800"/>
        <item x="652"/>
        <item x="708"/>
        <item x="496"/>
        <item x="692"/>
        <item x="72"/>
        <item x="274"/>
        <item x="113"/>
        <item x="629"/>
        <item x="524"/>
        <item x="44"/>
        <item x="762"/>
        <item x="597"/>
        <item x="67"/>
        <item x="391"/>
        <item x="139"/>
        <item x="583"/>
        <item x="290"/>
        <item x="545"/>
        <item x="450"/>
        <item x="397"/>
        <item x="406"/>
        <item x="25"/>
        <item x="702"/>
        <item x="417"/>
        <item x="213"/>
        <item x="282"/>
        <item x="333"/>
        <item x="223"/>
        <item x="582"/>
        <item x="503"/>
        <item x="794"/>
        <item x="390"/>
        <item x="101"/>
        <item x="266"/>
        <item x="344"/>
        <item x="11"/>
        <item x="552"/>
        <item x="439"/>
        <item x="729"/>
        <item x="264"/>
        <item x="214"/>
        <item x="382"/>
        <item x="63"/>
        <item x="456"/>
        <item x="506"/>
        <item x="743"/>
        <item x="106"/>
        <item x="407"/>
        <item x="270"/>
        <item x="31"/>
        <item x="550"/>
        <item x="818"/>
        <item x="324"/>
        <item x="342"/>
        <item x="114"/>
        <item x="730"/>
        <item x="107"/>
        <item x="30"/>
        <item x="497"/>
        <item x="241"/>
        <item x="336"/>
        <item x="509"/>
        <item x="755"/>
        <item x="299"/>
        <item x="297"/>
        <item x="637"/>
        <item x="468"/>
        <item x="525"/>
        <item x="534"/>
        <item x="535"/>
        <item x="326"/>
        <item x="211"/>
        <item x="822"/>
        <item x="76"/>
        <item x="774"/>
        <item x="553"/>
        <item x="100"/>
        <item x="521"/>
        <item x="643"/>
        <item x="580"/>
        <item x="354"/>
        <item x="164"/>
        <item x="463"/>
        <item x="321"/>
        <item x="528"/>
        <item x="132"/>
        <item x="275"/>
        <item x="152"/>
        <item x="352"/>
        <item x="319"/>
        <item x="300"/>
        <item x="655"/>
        <item x="633"/>
        <item x="715"/>
        <item x="146"/>
        <item x="372"/>
        <item x="202"/>
        <item x="482"/>
        <item x="514"/>
        <item x="594"/>
        <item x="551"/>
        <item x="751"/>
        <item x="519"/>
        <item x="682"/>
        <item x="205"/>
        <item x="728"/>
        <item x="537"/>
        <item x="511"/>
        <item x="512"/>
        <item x="578"/>
        <item x="786"/>
        <item x="688"/>
        <item x="792"/>
        <item x="590"/>
        <item x="371"/>
        <item x="671"/>
        <item x="441"/>
        <item x="599"/>
        <item x="765"/>
        <item x="710"/>
        <item x="349"/>
        <item x="557"/>
        <item x="216"/>
        <item x="53"/>
        <item x="812"/>
        <item x="770"/>
        <item x="176"/>
        <item x="502"/>
        <item x="145"/>
        <item x="440"/>
        <item x="548"/>
        <item x="510"/>
        <item x="476"/>
        <item x="600"/>
        <item x="248"/>
        <item x="648"/>
        <item x="673"/>
        <item x="627"/>
        <item x="41"/>
        <item x="142"/>
        <item x="513"/>
        <item x="778"/>
        <item x="821"/>
        <item x="215"/>
        <item x="657"/>
        <item x="685"/>
        <item x="325"/>
        <item x="801"/>
        <item x="793"/>
        <item x="471"/>
        <item x="385"/>
        <item x="375"/>
        <item x="646"/>
        <item x="303"/>
        <item x="48"/>
        <item x="236"/>
        <item x="161"/>
        <item x="323"/>
        <item x="544"/>
        <item x="726"/>
        <item x="364"/>
        <item x="560"/>
        <item x="454"/>
        <item x="453"/>
        <item x="430"/>
        <item x="444"/>
        <item x="554"/>
        <item x="199"/>
        <item x="771"/>
        <item x="479"/>
        <item x="231"/>
        <item x="42"/>
        <item x="716"/>
        <item x="734"/>
        <item x="632"/>
        <item x="394"/>
        <item x="110"/>
        <item x="585"/>
        <item x="316"/>
        <item x="566"/>
        <item x="27"/>
        <item x="122"/>
        <item x="17"/>
        <item x="674"/>
        <item x="620"/>
        <item x="466"/>
        <item x="727"/>
        <item x="460"/>
        <item x="651"/>
        <item x="559"/>
        <item x="256"/>
        <item x="279"/>
        <item x="224"/>
        <item x="166"/>
        <item x="208"/>
        <item x="787"/>
        <item x="294"/>
        <item x="543"/>
        <item x="40"/>
        <item x="452"/>
        <item x="15"/>
        <item x="305"/>
        <item x="359"/>
        <item x="601"/>
        <item x="720"/>
        <item x="477"/>
        <item x="494"/>
        <item x="351"/>
        <item x="768"/>
        <item x="10"/>
        <item x="598"/>
        <item x="54"/>
        <item x="37"/>
        <item x="212"/>
        <item x="281"/>
        <item x="55"/>
        <item x="416"/>
        <item x="483"/>
        <item x="157"/>
        <item x="538"/>
        <item x="237"/>
        <item x="470"/>
        <item x="271"/>
        <item x="523"/>
        <item x="403"/>
        <item x="292"/>
        <item x="66"/>
        <item x="780"/>
        <item x="295"/>
        <item x="221"/>
        <item x="233"/>
        <item x="144"/>
        <item x="33"/>
        <item x="481"/>
        <item x="4"/>
        <item x="23"/>
        <item x="612"/>
        <item x="533"/>
        <item x="759"/>
        <item x="363"/>
        <item x="124"/>
        <item x="713"/>
        <item x="392"/>
        <item x="515"/>
        <item x="147"/>
        <item x="362"/>
        <item x="2"/>
        <item x="126"/>
        <item x="630"/>
        <item x="791"/>
        <item x="779"/>
        <item x="540"/>
        <item x="753"/>
        <item x="784"/>
        <item x="194"/>
        <item x="234"/>
        <item x="245"/>
        <item x="769"/>
        <item x="244"/>
        <item x="811"/>
        <item x="367"/>
        <item x="571"/>
        <item x="154"/>
        <item x="380"/>
        <item x="813"/>
        <item x="748"/>
        <item x="121"/>
        <item x="150"/>
        <item x="733"/>
        <item x="478"/>
        <item x="6"/>
        <item x="21"/>
        <item x="219"/>
        <item x="445"/>
        <item x="84"/>
        <item x="228"/>
        <item x="370"/>
        <item x="415"/>
        <item x="386"/>
        <item x="432"/>
        <item x="573"/>
        <item x="64"/>
        <item x="603"/>
        <item x="490"/>
        <item x="798"/>
        <item x="766"/>
        <item x="105"/>
        <item x="171"/>
        <item x="374"/>
        <item x="62"/>
        <item x="493"/>
        <item x="337"/>
        <item x="712"/>
        <item x="217"/>
        <item x="45"/>
        <item x="168"/>
        <item x="47"/>
        <item x="89"/>
        <item x="804"/>
        <item x="330"/>
        <item x="414"/>
        <item x="285"/>
        <item x="222"/>
        <item x="73"/>
        <item x="738"/>
        <item x="796"/>
        <item x="526"/>
        <item x="111"/>
        <item x="77"/>
        <item x="311"/>
        <item x="200"/>
        <item x="181"/>
        <item x="418"/>
        <item x="78"/>
        <item x="175"/>
        <item x="809"/>
        <item x="35"/>
        <item x="39"/>
        <item x="259"/>
        <item x="353"/>
        <item x="18"/>
        <item x="438"/>
        <item x="158"/>
        <item x="802"/>
        <item x="9"/>
        <item x="7"/>
        <item x="672"/>
        <item x="429"/>
        <item x="230"/>
        <item x="622"/>
        <item x="465"/>
        <item x="775"/>
        <item x="697"/>
        <item x="606"/>
        <item x="467"/>
        <item x="257"/>
        <item x="687"/>
        <item x="68"/>
        <item x="80"/>
        <item x="87"/>
        <item x="272"/>
        <item x="520"/>
        <item x="689"/>
        <item x="723"/>
        <item x="504"/>
        <item x="120"/>
        <item x="267"/>
        <item x="516"/>
        <item x="711"/>
        <item x="563"/>
        <item x="623"/>
        <item x="480"/>
        <item x="607"/>
        <item x="654"/>
        <item x="427"/>
        <item x="328"/>
        <item x="613"/>
        <item x="568"/>
        <item x="155"/>
        <item x="366"/>
        <item x="253"/>
        <item x="666"/>
        <item x="369"/>
        <item x="204"/>
        <item x="410"/>
        <item x="339"/>
        <item x="14"/>
        <item x="46"/>
        <item x="51"/>
        <item x="659"/>
        <item x="125"/>
        <item x="785"/>
        <item x="182"/>
        <item x="149"/>
        <item x="58"/>
        <item x="317"/>
        <item x="36"/>
        <item x="664"/>
        <item x="693"/>
        <item x="817"/>
        <item x="13"/>
        <item x="807"/>
        <item x="443"/>
        <item x="436"/>
        <item x="586"/>
        <item x="474"/>
        <item x="669"/>
        <item x="423"/>
        <item x="180"/>
        <item x="662"/>
        <item x="706"/>
        <item x="705"/>
        <item x="522"/>
        <item x="356"/>
        <item x="721"/>
        <item x="283"/>
        <item x="207"/>
        <item x="320"/>
        <item x="777"/>
        <item x="628"/>
        <item x="486"/>
        <item x="587"/>
        <item x="358"/>
        <item x="32"/>
        <item x="196"/>
        <item x="314"/>
        <item x="773"/>
        <item x="355"/>
        <item x="376"/>
        <item x="760"/>
        <item x="437"/>
        <item x="239"/>
        <item x="153"/>
        <item x="618"/>
        <item x="296"/>
        <item x="254"/>
        <item x="757"/>
        <item x="536"/>
        <item x="159"/>
        <item x="22"/>
        <item x="428"/>
        <item x="616"/>
        <item x="195"/>
        <item x="653"/>
        <item x="203"/>
        <item x="238"/>
        <item x="532"/>
        <item x="435"/>
        <item x="422"/>
        <item x="167"/>
        <item x="645"/>
        <item x="574"/>
        <item x="174"/>
        <item x="20"/>
        <item x="365"/>
        <item x="3"/>
        <item x="446"/>
        <item x="287"/>
        <item x="8"/>
        <item x="475"/>
        <item x="65"/>
        <item x="763"/>
        <item x="745"/>
        <item x="546"/>
        <item x="426"/>
        <item x="761"/>
        <item x="650"/>
        <item x="178"/>
        <item x="243"/>
        <item x="411"/>
        <item x="684"/>
        <item x="360"/>
        <item x="188"/>
        <item x="138"/>
        <item x="169"/>
        <item x="640"/>
        <item x="788"/>
        <item x="226"/>
        <item x="104"/>
        <item x="75"/>
        <item x="638"/>
        <item x="806"/>
        <item x="742"/>
        <item x="284"/>
        <item x="198"/>
        <item x="109"/>
        <item x="19"/>
        <item x="663"/>
        <item x="677"/>
        <item x="379"/>
        <item x="384"/>
        <item x="346"/>
        <item x="634"/>
        <item x="457"/>
        <item x="569"/>
        <item x="112"/>
        <item x="799"/>
        <item x="614"/>
        <item x="686"/>
        <item x="170"/>
        <item x="318"/>
        <item x="420"/>
        <item x="609"/>
        <item x="649"/>
        <item x="192"/>
        <item x="258"/>
        <item x="177"/>
        <item x="681"/>
        <item x="387"/>
        <item x="377"/>
        <item x="747"/>
        <item x="260"/>
        <item x="312"/>
        <item x="96"/>
        <item x="499"/>
        <item x="302"/>
        <item x="732"/>
        <item x="278"/>
        <item x="251"/>
        <item x="249"/>
        <item x="814"/>
        <item x="595"/>
        <item x="700"/>
        <item x="187"/>
        <item x="488"/>
        <item x="373"/>
        <item x="626"/>
        <item x="34"/>
        <item x="424"/>
        <item x="269"/>
        <item x="348"/>
        <item x="368"/>
        <item x="819"/>
        <item x="442"/>
        <item x="459"/>
        <item x="611"/>
        <item x="683"/>
        <item x="744"/>
        <item x="227"/>
        <item x="462"/>
        <item x="670"/>
        <item x="189"/>
        <item x="263"/>
        <item x="541"/>
        <item x="400"/>
        <item x="746"/>
        <item x="658"/>
        <item x="332"/>
        <item x="116"/>
        <item x="135"/>
        <item x="361"/>
        <item x="102"/>
        <item x="615"/>
        <item x="644"/>
        <item x="724"/>
        <item x="783"/>
        <item x="378"/>
        <item x="310"/>
        <item x="694"/>
        <item x="529"/>
        <item x="186"/>
        <item x="605"/>
        <item x="156"/>
        <item x="464"/>
        <item x="94"/>
        <item x="71"/>
        <item x="489"/>
        <item x="576"/>
        <item x="201"/>
        <item x="50"/>
        <item x="119"/>
        <item x="719"/>
        <item x="93"/>
        <item x="117"/>
        <item x="696"/>
        <item x="127"/>
        <item x="764"/>
        <item x="518"/>
        <item x="558"/>
        <item x="183"/>
        <item x="805"/>
        <item x="304"/>
        <item x="220"/>
        <item x="621"/>
        <item x="341"/>
        <item x="527"/>
        <item x="699"/>
        <item x="577"/>
        <item x="508"/>
        <item x="679"/>
        <item x="301"/>
        <item x="492"/>
        <item x="389"/>
        <item x="500"/>
        <item x="668"/>
        <item x="741"/>
        <item x="565"/>
        <item x="291"/>
        <item x="235"/>
        <item x="709"/>
        <item x="451"/>
        <item x="143"/>
        <item x="795"/>
        <item x="656"/>
        <item x="641"/>
        <item x="350"/>
        <item x="286"/>
        <item x="472"/>
        <item x="739"/>
        <item x="718"/>
        <item x="642"/>
        <item x="91"/>
        <item x="610"/>
        <item x="409"/>
        <item x="495"/>
        <item x="345"/>
        <item x="242"/>
        <item x="315"/>
        <item x="539"/>
        <item x="498"/>
        <item x="130"/>
        <item x="589"/>
        <item x="210"/>
        <item x="735"/>
        <item x="277"/>
        <item x="381"/>
        <item x="172"/>
        <item x="5"/>
        <item x="631"/>
        <item x="661"/>
        <item x="128"/>
        <item x="103"/>
        <item x="695"/>
        <item x="572"/>
        <item x="619"/>
        <item x="617"/>
        <item x="570"/>
        <item x="240"/>
        <item x="262"/>
        <item x="92"/>
        <item x="383"/>
        <item x="505"/>
        <item x="140"/>
        <item x="790"/>
        <item x="404"/>
        <item x="388"/>
        <item x="639"/>
        <item x="137"/>
        <item x="485"/>
        <item x="306"/>
        <item x="575"/>
        <item x="307"/>
        <item x="772"/>
        <item x="691"/>
        <item x="690"/>
        <item x="725"/>
        <item x="190"/>
        <item x="776"/>
        <item x="247"/>
        <item x="334"/>
        <item x="179"/>
        <item x="12"/>
        <item x="396"/>
        <item x="647"/>
        <item x="232"/>
        <item x="714"/>
        <item x="531"/>
        <item x="564"/>
        <item x="97"/>
        <item x="134"/>
        <item x="604"/>
        <item x="276"/>
        <item x="308"/>
        <item x="191"/>
        <item x="781"/>
        <item x="250"/>
        <item x="335"/>
        <item x="90"/>
        <item x="405"/>
        <item x="487"/>
        <item x="225"/>
        <item x="206"/>
        <item x="501"/>
        <item x="293"/>
        <item x="16"/>
        <item x="331"/>
        <item x="635"/>
        <item x="74"/>
        <item x="131"/>
        <item x="338"/>
        <item x="449"/>
        <item x="29"/>
        <item x="581"/>
        <item x="313"/>
        <item x="579"/>
        <item x="95"/>
        <item x="82"/>
        <item x="59"/>
        <item x="28"/>
        <item x="184"/>
        <item x="56"/>
        <item x="408"/>
        <item x="810"/>
        <item x="782"/>
        <item x="160"/>
        <item x="261"/>
        <item x="273"/>
        <item x="665"/>
        <item x="473"/>
        <item x="309"/>
        <item x="327"/>
        <item x="83"/>
        <item x="252"/>
        <item x="129"/>
        <item t="default"/>
      </items>
    </pivotField>
    <pivotField numFmtId="14" showAll="0"/>
    <pivotField showAll="0"/>
    <pivotField showAll="0"/>
    <pivotField showAll="0"/>
    <pivotField showAll="0">
      <items count="4">
        <item x="0"/>
        <item x="1"/>
        <item x="2"/>
        <item t="default"/>
      </items>
    </pivotField>
    <pivotField showAll="0"/>
    <pivotField axis="axisRow" showAll="0" measureFilter="1">
      <items count="344">
        <item x="217"/>
        <item x="150"/>
        <item x="158"/>
        <item x="114"/>
        <item x="329"/>
        <item x="108"/>
        <item x="168"/>
        <item x="253"/>
        <item x="173"/>
        <item x="335"/>
        <item x="130"/>
        <item x="69"/>
        <item x="252"/>
        <item x="144"/>
        <item x="43"/>
        <item x="12"/>
        <item x="65"/>
        <item x="233"/>
        <item x="205"/>
        <item x="212"/>
        <item x="143"/>
        <item x="122"/>
        <item x="279"/>
        <item x="206"/>
        <item x="73"/>
        <item x="261"/>
        <item x="202"/>
        <item x="302"/>
        <item x="213"/>
        <item x="293"/>
        <item x="68"/>
        <item x="157"/>
        <item x="31"/>
        <item x="128"/>
        <item x="210"/>
        <item x="294"/>
        <item x="296"/>
        <item x="327"/>
        <item x="290"/>
        <item x="60"/>
        <item x="268"/>
        <item x="160"/>
        <item x="131"/>
        <item x="63"/>
        <item x="100"/>
        <item x="13"/>
        <item x="321"/>
        <item x="134"/>
        <item x="97"/>
        <item x="11"/>
        <item x="300"/>
        <item x="96"/>
        <item x="310"/>
        <item x="118"/>
        <item x="104"/>
        <item x="245"/>
        <item x="152"/>
        <item x="234"/>
        <item x="135"/>
        <item x="16"/>
        <item x="76"/>
        <item x="338"/>
        <item x="333"/>
        <item x="322"/>
        <item x="107"/>
        <item x="67"/>
        <item x="208"/>
        <item x="26"/>
        <item x="219"/>
        <item x="185"/>
        <item x="22"/>
        <item x="331"/>
        <item x="102"/>
        <item x="52"/>
        <item x="38"/>
        <item x="266"/>
        <item x="77"/>
        <item x="6"/>
        <item x="248"/>
        <item x="28"/>
        <item x="303"/>
        <item x="320"/>
        <item x="5"/>
        <item x="332"/>
        <item x="304"/>
        <item x="235"/>
        <item x="19"/>
        <item x="71"/>
        <item x="115"/>
        <item x="221"/>
        <item x="90"/>
        <item x="162"/>
        <item x="66"/>
        <item x="112"/>
        <item x="141"/>
        <item x="79"/>
        <item x="190"/>
        <item x="74"/>
        <item x="176"/>
        <item x="196"/>
        <item x="51"/>
        <item x="17"/>
        <item x="336"/>
        <item x="149"/>
        <item x="165"/>
        <item x="237"/>
        <item x="292"/>
        <item x="41"/>
        <item x="239"/>
        <item x="9"/>
        <item x="47"/>
        <item x="110"/>
        <item x="274"/>
        <item x="179"/>
        <item x="342"/>
        <item x="48"/>
        <item x="50"/>
        <item x="197"/>
        <item x="255"/>
        <item x="172"/>
        <item x="55"/>
        <item x="85"/>
        <item x="326"/>
        <item x="282"/>
        <item x="325"/>
        <item x="228"/>
        <item x="286"/>
        <item x="183"/>
        <item x="174"/>
        <item x="34"/>
        <item x="256"/>
        <item x="188"/>
        <item x="222"/>
        <item x="318"/>
        <item x="299"/>
        <item x="164"/>
        <item x="161"/>
        <item x="3"/>
        <item x="280"/>
        <item x="46"/>
        <item x="209"/>
        <item x="194"/>
        <item x="267"/>
        <item x="61"/>
        <item x="42"/>
        <item x="154"/>
        <item x="201"/>
        <item x="92"/>
        <item x="263"/>
        <item x="123"/>
        <item x="117"/>
        <item x="308"/>
        <item x="307"/>
        <item x="249"/>
        <item x="250"/>
        <item x="98"/>
        <item x="155"/>
        <item x="207"/>
        <item x="271"/>
        <item x="175"/>
        <item x="95"/>
        <item x="192"/>
        <item x="93"/>
        <item x="54"/>
        <item x="328"/>
        <item x="200"/>
        <item x="270"/>
        <item x="238"/>
        <item x="231"/>
        <item x="75"/>
        <item x="140"/>
        <item x="230"/>
        <item x="113"/>
        <item x="312"/>
        <item x="103"/>
        <item x="0"/>
        <item x="39"/>
        <item x="177"/>
        <item x="311"/>
        <item x="99"/>
        <item x="254"/>
        <item x="265"/>
        <item x="195"/>
        <item x="236"/>
        <item x="142"/>
        <item x="264"/>
        <item x="27"/>
        <item x="298"/>
        <item x="225"/>
        <item x="87"/>
        <item x="193"/>
        <item x="56"/>
        <item x="305"/>
        <item x="306"/>
        <item x="78"/>
        <item x="240"/>
        <item x="334"/>
        <item x="109"/>
        <item x="291"/>
        <item x="23"/>
        <item x="277"/>
        <item x="49"/>
        <item x="214"/>
        <item x="319"/>
        <item x="64"/>
        <item x="317"/>
        <item x="215"/>
        <item x="126"/>
        <item x="4"/>
        <item x="283"/>
        <item x="262"/>
        <item x="146"/>
        <item x="40"/>
        <item x="7"/>
        <item x="129"/>
        <item x="229"/>
        <item x="341"/>
        <item x="170"/>
        <item x="44"/>
        <item x="120"/>
        <item x="89"/>
        <item x="242"/>
        <item x="133"/>
        <item x="247"/>
        <item x="116"/>
        <item x="70"/>
        <item x="14"/>
        <item x="191"/>
        <item x="186"/>
        <item x="316"/>
        <item x="269"/>
        <item x="289"/>
        <item x="81"/>
        <item x="153"/>
        <item x="132"/>
        <item x="204"/>
        <item x="37"/>
        <item x="243"/>
        <item x="136"/>
        <item x="171"/>
        <item x="20"/>
        <item x="80"/>
        <item x="330"/>
        <item x="163"/>
        <item x="121"/>
        <item x="198"/>
        <item x="105"/>
        <item x="251"/>
        <item x="137"/>
        <item x="166"/>
        <item x="216"/>
        <item x="32"/>
        <item x="227"/>
        <item x="295"/>
        <item x="182"/>
        <item x="125"/>
        <item x="257"/>
        <item x="138"/>
        <item x="218"/>
        <item x="167"/>
        <item x="315"/>
        <item x="272"/>
        <item x="2"/>
        <item x="184"/>
        <item x="297"/>
        <item x="10"/>
        <item x="57"/>
        <item x="323"/>
        <item x="94"/>
        <item x="226"/>
        <item x="260"/>
        <item x="91"/>
        <item x="244"/>
        <item x="211"/>
        <item x="25"/>
        <item x="284"/>
        <item x="189"/>
        <item x="139"/>
        <item x="101"/>
        <item x="33"/>
        <item x="53"/>
        <item x="21"/>
        <item x="30"/>
        <item x="1"/>
        <item x="288"/>
        <item x="314"/>
        <item x="223"/>
        <item x="72"/>
        <item x="339"/>
        <item x="187"/>
        <item x="18"/>
        <item x="45"/>
        <item x="301"/>
        <item x="309"/>
        <item x="147"/>
        <item x="276"/>
        <item x="106"/>
        <item x="127"/>
        <item x="145"/>
        <item x="151"/>
        <item x="232"/>
        <item x="84"/>
        <item x="220"/>
        <item x="159"/>
        <item x="324"/>
        <item x="285"/>
        <item x="156"/>
        <item x="29"/>
        <item x="36"/>
        <item x="181"/>
        <item x="178"/>
        <item x="203"/>
        <item x="313"/>
        <item x="199"/>
        <item x="258"/>
        <item x="119"/>
        <item x="86"/>
        <item x="278"/>
        <item x="241"/>
        <item x="8"/>
        <item x="35"/>
        <item x="124"/>
        <item x="59"/>
        <item x="259"/>
        <item x="58"/>
        <item x="275"/>
        <item x="82"/>
        <item x="180"/>
        <item x="148"/>
        <item x="83"/>
        <item x="273"/>
        <item x="62"/>
        <item x="281"/>
        <item x="169"/>
        <item x="224"/>
        <item x="111"/>
        <item x="24"/>
        <item x="246"/>
        <item x="15"/>
        <item x="337"/>
        <item x="340"/>
        <item x="88"/>
        <item x="287"/>
        <item t="default"/>
      </items>
    </pivotField>
    <pivotField showAll="0"/>
    <pivotField showAll="0">
      <items count="5">
        <item x="1"/>
        <item x="2"/>
        <item x="3"/>
        <item x="0"/>
        <item t="default"/>
      </items>
    </pivotField>
    <pivotField showAll="0"/>
    <pivotField showAll="0"/>
    <pivotField showAll="0"/>
    <pivotField showAll="0"/>
    <pivotField dataField="1" showAll="0"/>
    <pivotField showAll="0"/>
    <pivotField showAll="0"/>
    <pivotField showAll="0"/>
    <pivotField showAll="0">
      <items count="5">
        <item x="0"/>
        <item x="2"/>
        <item x="1"/>
        <item x="3"/>
        <item t="default"/>
      </items>
    </pivotField>
    <pivotField showAll="0">
      <items count="13">
        <item x="2"/>
        <item x="8"/>
        <item x="5"/>
        <item x="9"/>
        <item x="11"/>
        <item x="0"/>
        <item x="10"/>
        <item x="1"/>
        <item x="4"/>
        <item x="7"/>
        <item x="6"/>
        <item x="3"/>
        <item t="default"/>
      </items>
    </pivotField>
    <pivotField numFmtId="10" showAll="0"/>
  </pivotFields>
  <rowFields count="1">
    <field x="8"/>
  </rowFields>
  <rowItems count="6">
    <i>
      <x v="175"/>
    </i>
    <i>
      <x v="213"/>
    </i>
    <i>
      <x v="240"/>
    </i>
    <i>
      <x v="283"/>
    </i>
    <i>
      <x v="291"/>
    </i>
    <i t="grand">
      <x/>
    </i>
  </rowItems>
  <colItems count="1">
    <i/>
  </colItems>
  <dataFields count="1">
    <dataField name="Sum of Sales" fld="15" baseField="0" baseItem="0" numFmtId="164"/>
  </dataFields>
  <formats count="1">
    <format dxfId="14">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5D1CDB-3A60-439C-BC36-7A577951FD8A}" autoFormatId="16" applyNumberFormats="0" applyBorderFormats="0" applyFontFormats="0" applyPatternFormats="0" applyAlignmentFormats="0" applyWidthHeightFormats="0">
  <queryTableRefresh nextId="23">
    <queryTableFields count="22">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Year" tableColumnId="20"/>
      <queryTableField id="21" name="Month" tableColumnId="21"/>
      <queryTableField id="22" name="Profit Margin"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C61B9DD-F08C-490B-BC4B-7E5CC7800A0E}" sourceName="Year">
  <pivotTables>
    <pivotTable tabId="1" name="PivotTable6"/>
    <pivotTable tabId="1" name="PivotTable1"/>
    <pivotTable tabId="1" name="PivotTable2"/>
    <pivotTable tabId="1" name="PivotTable4"/>
    <pivotTable tabId="1" name="PivotTable5"/>
    <pivotTable tabId="1" name="PivotTable7"/>
    <pivotTable tabId="1" name="PivotTable8"/>
    <pivotTable tabId="1" name="PivotTable9"/>
  </pivotTables>
  <data>
    <tabular pivotCacheId="1776824265">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7DAEC8F-308B-4700-9836-F45ACFAEACFA}" sourceName="Segment">
  <pivotTables>
    <pivotTable tabId="1" name="PivotTable6"/>
    <pivotTable tabId="1" name="PivotTable1"/>
    <pivotTable tabId="1" name="PivotTable2"/>
    <pivotTable tabId="1" name="PivotTable4"/>
    <pivotTable tabId="1" name="PivotTable5"/>
    <pivotTable tabId="1" name="PivotTable7"/>
    <pivotTable tabId="1" name="PivotTable8"/>
    <pivotTable tabId="1" name="PivotTable9"/>
  </pivotTables>
  <data>
    <tabular pivotCacheId="177682426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29CE9F-7BE9-40A0-9CA8-239D9907D908}" sourceName="Region">
  <pivotTables>
    <pivotTable tabId="1" name="PivotTable6"/>
    <pivotTable tabId="1" name="PivotTable1"/>
    <pivotTable tabId="1" name="PivotTable2"/>
    <pivotTable tabId="1" name="PivotTable4"/>
    <pivotTable tabId="1" name="PivotTable5"/>
    <pivotTable tabId="1" name="PivotTable7"/>
    <pivotTable tabId="1" name="PivotTable8"/>
    <pivotTable tabId="1" name="PivotTable9"/>
  </pivotTables>
  <data>
    <tabular pivotCacheId="1776824265">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23ACCA9-F5C6-418E-B9DB-34B948CC3175}" cache="Slicer_Year" caption="Year" columnCount="4" style="Slicer Style 2" rowHeight="257175"/>
  <slicer name="Segment" xr10:uid="{BFC1E9B8-50C1-4B7C-AF67-CFB5A91D0EDD}" cache="Slicer_Segment" caption="Segment" columnCount="3" showCaption="0" style="Slicer Style 2" rowHeight="257175"/>
  <slicer name="Region" xr10:uid="{591AE7D7-AFBA-4805-BF80-F52AA175E6F9}" cache="Slicer_Region" caption="Region" columnCount="4" showCaption="0" style="Slicer Style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2B89D82-AFBC-421C-980F-BF4C9A211DDC}" cache="Slicer_Year" caption="Year" columnCount="4" showCaption="0" style="Slicer Style 2" rowHeight="365760"/>
  <slicer name="Segment 1" xr10:uid="{0402149B-AD1E-47AF-B185-7F007A0EB729}" cache="Slicer_Segment" caption="Segment" columnCount="3" showCaption="0" style="Slicer Style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7BF0BA-DA12-4D99-98D4-E061248089AC}" name="Sample___Superstore" displayName="Sample___Superstore" ref="A1:V1848" tableType="queryTable" totalsRowShown="0">
  <autoFilter ref="A1:V1848" xr:uid="{137BF0BA-DA12-4D99-98D4-E061248089AC}"/>
  <tableColumns count="22">
    <tableColumn id="1" xr3:uid="{5B488908-AA04-4FB8-B954-A099F4033374}" uniqueName="1" name="Order ID" queryTableFieldId="1" dataDxfId="32"/>
    <tableColumn id="2" xr3:uid="{1ECF7325-DD87-4233-912D-3007043C0C21}" uniqueName="2" name="Order Date" queryTableFieldId="2" dataDxfId="31"/>
    <tableColumn id="3" xr3:uid="{66FFF876-4C19-4904-BB1E-51024AEF3947}" uniqueName="3" name="Ship Date" queryTableFieldId="3" dataDxfId="30"/>
    <tableColumn id="4" xr3:uid="{BC4D3464-C848-40CA-9C2F-716E2B1FEDDC}" uniqueName="4" name="Ship Mode" queryTableFieldId="4" dataDxfId="29"/>
    <tableColumn id="5" xr3:uid="{8F516E93-2A52-4D0A-AC97-05736861512F}" uniqueName="5" name="Customer ID" queryTableFieldId="5" dataDxfId="28"/>
    <tableColumn id="6" xr3:uid="{B23AE907-6831-464B-BB54-748594B12201}" uniqueName="6" name="Customer Name" queryTableFieldId="6" dataDxfId="27"/>
    <tableColumn id="7" xr3:uid="{B4421B13-2483-4DAD-8576-AB77412CB170}" uniqueName="7" name="Segment" queryTableFieldId="7" dataDxfId="26"/>
    <tableColumn id="8" xr3:uid="{E21ED2F4-FCF4-452F-A443-95776D8B9CD8}" uniqueName="8" name="Country" queryTableFieldId="8" dataDxfId="25"/>
    <tableColumn id="9" xr3:uid="{BE086120-D7D7-4EF2-8A46-D75E4FE5E756}" uniqueName="9" name="City" queryTableFieldId="9" dataDxfId="24"/>
    <tableColumn id="10" xr3:uid="{3E286219-41C0-4244-8D59-4660130A6263}" uniqueName="10" name="State" queryTableFieldId="10" dataDxfId="23"/>
    <tableColumn id="11" xr3:uid="{A2D94700-51AD-4CDD-B1ED-787CB97B62DC}" uniqueName="11" name="Region" queryTableFieldId="11" dataDxfId="22"/>
    <tableColumn id="12" xr3:uid="{8109F52F-CC74-4523-BC8C-656FA232470D}" uniqueName="12" name="Product ID" queryTableFieldId="12" dataDxfId="21"/>
    <tableColumn id="13" xr3:uid="{32902369-AF17-4B7F-8191-6473FB3D3EB0}" uniqueName="13" name="Category" queryTableFieldId="13" dataDxfId="20"/>
    <tableColumn id="14" xr3:uid="{1652E524-950E-42F6-B58A-68272EC5FBE6}" uniqueName="14" name="Sub-Category" queryTableFieldId="14" dataDxfId="19"/>
    <tableColumn id="15" xr3:uid="{EEF42715-CC64-4FCC-8707-6CE69C844221}" uniqueName="15" name="Product Name" queryTableFieldId="15" dataDxfId="18"/>
    <tableColumn id="16" xr3:uid="{93229F2A-CFB3-495C-AE52-CA30A0976DDD}" uniqueName="16" name="Sales" queryTableFieldId="16"/>
    <tableColumn id="17" xr3:uid="{00D0405B-DE68-442A-B7A5-6D2FC28E34CA}" uniqueName="17" name="Quantity" queryTableFieldId="17"/>
    <tableColumn id="18" xr3:uid="{A7F60856-9143-4D6D-A021-E86AE3EB0DFE}" uniqueName="18" name="Profit" queryTableFieldId="18"/>
    <tableColumn id="19" xr3:uid="{F19B7FA0-7D58-45D8-A9A4-B6E8BA6E9126}" uniqueName="19" name="Duration" queryTableFieldId="19" dataDxfId="17"/>
    <tableColumn id="20" xr3:uid="{ED339B88-B22D-46C4-9BE4-6A3346372BC2}" uniqueName="20" name="Year" queryTableFieldId="20"/>
    <tableColumn id="21" xr3:uid="{DDABF8C7-7D77-420E-9F8A-82DEEAA465EB}" uniqueName="21" name="Month" queryTableFieldId="21" dataDxfId="16"/>
    <tableColumn id="22" xr3:uid="{B392F5DE-E30C-4995-9CCA-FCCC145D2D14}" uniqueName="22" name="Profit Margin" queryTableFieldId="22" dataDxfId="15"/>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BE02D-60EE-48CC-957E-ABE52F5392BF}">
  <dimension ref="A1:V1848"/>
  <sheetViews>
    <sheetView topLeftCell="A206" zoomScale="80" zoomScaleNormal="80" workbookViewId="0">
      <selection activeCell="O153" sqref="O153"/>
    </sheetView>
  </sheetViews>
  <sheetFormatPr defaultRowHeight="15" x14ac:dyDescent="0.25"/>
  <cols>
    <col min="1" max="1" width="14.85546875" bestFit="1" customWidth="1"/>
    <col min="2" max="2" width="13.140625" bestFit="1" customWidth="1"/>
    <col min="3" max="3" width="12" bestFit="1" customWidth="1"/>
    <col min="4" max="4" width="14.42578125" bestFit="1" customWidth="1"/>
    <col min="5" max="5" width="14.7109375" bestFit="1" customWidth="1"/>
    <col min="6" max="6" width="22.7109375" bestFit="1" customWidth="1"/>
    <col min="7" max="7" width="11.7109375" bestFit="1" customWidth="1"/>
    <col min="8" max="8" width="12.42578125" bestFit="1" customWidth="1"/>
    <col min="9" max="9" width="16.7109375" bestFit="1" customWidth="1"/>
    <col min="10" max="10" width="18.7109375" bestFit="1" customWidth="1"/>
    <col min="11" max="11" width="9.5703125" bestFit="1" customWidth="1"/>
    <col min="12" max="12" width="16.42578125" bestFit="1" customWidth="1"/>
    <col min="13" max="13" width="11.42578125" bestFit="1" customWidth="1"/>
    <col min="14" max="14" width="15.7109375" bestFit="1" customWidth="1"/>
    <col min="15" max="15" width="81.140625" bestFit="1" customWidth="1"/>
    <col min="16" max="16" width="10" bestFit="1" customWidth="1"/>
    <col min="17" max="17" width="11" bestFit="1" customWidth="1"/>
    <col min="18" max="18" width="10.7109375" bestFit="1" customWidth="1"/>
    <col min="19" max="19" width="11.140625" style="3" bestFit="1" customWidth="1"/>
    <col min="20" max="20" width="7.28515625" bestFit="1" customWidth="1"/>
    <col min="21" max="21" width="9" bestFit="1" customWidth="1"/>
    <col min="22" max="22" width="14.7109375" style="2"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3" t="s">
        <v>18</v>
      </c>
      <c r="T1" t="s">
        <v>19</v>
      </c>
      <c r="U1" t="s">
        <v>20</v>
      </c>
      <c r="V1" s="2" t="s">
        <v>21</v>
      </c>
    </row>
    <row r="2" spans="1:22" x14ac:dyDescent="0.25">
      <c r="A2" t="s">
        <v>22</v>
      </c>
      <c r="B2" s="1">
        <v>41799</v>
      </c>
      <c r="C2" s="1">
        <v>41804</v>
      </c>
      <c r="D2" t="s">
        <v>23</v>
      </c>
      <c r="E2" t="s">
        <v>24</v>
      </c>
      <c r="F2" t="s">
        <v>25</v>
      </c>
      <c r="G2" t="s">
        <v>26</v>
      </c>
      <c r="H2" t="s">
        <v>27</v>
      </c>
      <c r="I2" t="s">
        <v>28</v>
      </c>
      <c r="J2" t="s">
        <v>29</v>
      </c>
      <c r="K2" t="s">
        <v>30</v>
      </c>
      <c r="L2" t="s">
        <v>31</v>
      </c>
      <c r="M2" t="s">
        <v>32</v>
      </c>
      <c r="N2" t="s">
        <v>33</v>
      </c>
      <c r="O2" t="s">
        <v>34</v>
      </c>
      <c r="P2">
        <v>907.15200000000004</v>
      </c>
      <c r="Q2">
        <v>6</v>
      </c>
      <c r="R2">
        <v>90.715199999999996</v>
      </c>
      <c r="S2" s="3" t="s">
        <v>35</v>
      </c>
      <c r="T2">
        <v>2014</v>
      </c>
      <c r="U2" t="s">
        <v>36</v>
      </c>
      <c r="V2" s="2">
        <v>0.1</v>
      </c>
    </row>
    <row r="3" spans="1:22" x14ac:dyDescent="0.25">
      <c r="A3" t="s">
        <v>22</v>
      </c>
      <c r="B3" s="1">
        <v>41799</v>
      </c>
      <c r="C3" s="1">
        <v>41804</v>
      </c>
      <c r="D3" t="s">
        <v>23</v>
      </c>
      <c r="E3" t="s">
        <v>24</v>
      </c>
      <c r="F3" t="s">
        <v>25</v>
      </c>
      <c r="G3" t="s">
        <v>26</v>
      </c>
      <c r="H3" t="s">
        <v>27</v>
      </c>
      <c r="I3" t="s">
        <v>28</v>
      </c>
      <c r="J3" t="s">
        <v>29</v>
      </c>
      <c r="K3" t="s">
        <v>30</v>
      </c>
      <c r="L3" t="s">
        <v>37</v>
      </c>
      <c r="M3" t="s">
        <v>32</v>
      </c>
      <c r="N3" t="s">
        <v>33</v>
      </c>
      <c r="O3" t="s">
        <v>38</v>
      </c>
      <c r="P3">
        <v>911.42399999999998</v>
      </c>
      <c r="Q3">
        <v>4</v>
      </c>
      <c r="R3">
        <v>68.356800000000007</v>
      </c>
      <c r="S3" s="3" t="s">
        <v>35</v>
      </c>
      <c r="T3">
        <v>2014</v>
      </c>
      <c r="U3" t="s">
        <v>36</v>
      </c>
      <c r="V3" s="2">
        <v>7.4999999999999997E-2</v>
      </c>
    </row>
    <row r="4" spans="1:22" x14ac:dyDescent="0.25">
      <c r="A4" t="s">
        <v>39</v>
      </c>
      <c r="B4" s="1">
        <v>41878</v>
      </c>
      <c r="C4" s="1">
        <v>41883</v>
      </c>
      <c r="D4" t="s">
        <v>40</v>
      </c>
      <c r="E4" t="s">
        <v>41</v>
      </c>
      <c r="F4" t="s">
        <v>42</v>
      </c>
      <c r="G4" t="s">
        <v>26</v>
      </c>
      <c r="H4" t="s">
        <v>27</v>
      </c>
      <c r="I4" t="s">
        <v>43</v>
      </c>
      <c r="J4" t="s">
        <v>29</v>
      </c>
      <c r="K4" t="s">
        <v>30</v>
      </c>
      <c r="L4" t="s">
        <v>44</v>
      </c>
      <c r="M4" t="s">
        <v>32</v>
      </c>
      <c r="N4" t="s">
        <v>33</v>
      </c>
      <c r="O4" t="s">
        <v>45</v>
      </c>
      <c r="P4">
        <v>213.48</v>
      </c>
      <c r="Q4">
        <v>3</v>
      </c>
      <c r="R4">
        <v>16.010999999999999</v>
      </c>
      <c r="S4" s="3" t="s">
        <v>35</v>
      </c>
      <c r="T4">
        <v>2014</v>
      </c>
      <c r="U4" t="s">
        <v>46</v>
      </c>
      <c r="V4" s="2">
        <v>7.4999999999999997E-2</v>
      </c>
    </row>
    <row r="5" spans="1:22" x14ac:dyDescent="0.25">
      <c r="A5" t="s">
        <v>47</v>
      </c>
      <c r="B5" s="1">
        <v>42385</v>
      </c>
      <c r="C5" s="1">
        <v>42389</v>
      </c>
      <c r="D5" t="s">
        <v>40</v>
      </c>
      <c r="E5" t="s">
        <v>48</v>
      </c>
      <c r="F5" t="s">
        <v>49</v>
      </c>
      <c r="G5" t="s">
        <v>26</v>
      </c>
      <c r="H5" t="s">
        <v>27</v>
      </c>
      <c r="I5" t="s">
        <v>28</v>
      </c>
      <c r="J5" t="s">
        <v>29</v>
      </c>
      <c r="K5" t="s">
        <v>30</v>
      </c>
      <c r="L5" t="s">
        <v>50</v>
      </c>
      <c r="M5" t="s">
        <v>32</v>
      </c>
      <c r="N5" t="s">
        <v>51</v>
      </c>
      <c r="O5" t="s">
        <v>52</v>
      </c>
      <c r="P5">
        <v>90.57</v>
      </c>
      <c r="Q5">
        <v>3</v>
      </c>
      <c r="R5">
        <v>11.774100000000001</v>
      </c>
      <c r="S5" s="3" t="s">
        <v>53</v>
      </c>
      <c r="T5">
        <v>2016</v>
      </c>
      <c r="U5" t="s">
        <v>54</v>
      </c>
      <c r="V5" s="2">
        <v>0.13</v>
      </c>
    </row>
    <row r="6" spans="1:22" x14ac:dyDescent="0.25">
      <c r="A6" t="s">
        <v>55</v>
      </c>
      <c r="B6" s="1">
        <v>42712</v>
      </c>
      <c r="C6" s="1">
        <v>42714</v>
      </c>
      <c r="D6" t="s">
        <v>56</v>
      </c>
      <c r="E6" t="s">
        <v>57</v>
      </c>
      <c r="F6" t="s">
        <v>58</v>
      </c>
      <c r="G6" t="s">
        <v>59</v>
      </c>
      <c r="H6" t="s">
        <v>27</v>
      </c>
      <c r="I6" t="s">
        <v>60</v>
      </c>
      <c r="J6" t="s">
        <v>61</v>
      </c>
      <c r="K6" t="s">
        <v>62</v>
      </c>
      <c r="L6" t="s">
        <v>63</v>
      </c>
      <c r="M6" t="s">
        <v>32</v>
      </c>
      <c r="N6" t="s">
        <v>33</v>
      </c>
      <c r="O6" t="s">
        <v>64</v>
      </c>
      <c r="P6">
        <v>1097.5440000000001</v>
      </c>
      <c r="Q6">
        <v>7</v>
      </c>
      <c r="R6">
        <v>123.47369999999999</v>
      </c>
      <c r="S6" s="3" t="s">
        <v>65</v>
      </c>
      <c r="T6">
        <v>2016</v>
      </c>
      <c r="U6" t="s">
        <v>66</v>
      </c>
      <c r="V6" s="2">
        <v>0.1125</v>
      </c>
    </row>
    <row r="7" spans="1:22" x14ac:dyDescent="0.25">
      <c r="A7" t="s">
        <v>67</v>
      </c>
      <c r="B7" s="1">
        <v>42365</v>
      </c>
      <c r="C7" s="1">
        <v>42369</v>
      </c>
      <c r="D7" t="s">
        <v>23</v>
      </c>
      <c r="E7" t="s">
        <v>68</v>
      </c>
      <c r="F7" t="s">
        <v>69</v>
      </c>
      <c r="G7" t="s">
        <v>70</v>
      </c>
      <c r="H7" t="s">
        <v>27</v>
      </c>
      <c r="I7" t="s">
        <v>71</v>
      </c>
      <c r="J7" t="s">
        <v>61</v>
      </c>
      <c r="K7" t="s">
        <v>62</v>
      </c>
      <c r="L7" t="s">
        <v>72</v>
      </c>
      <c r="M7" t="s">
        <v>32</v>
      </c>
      <c r="N7" t="s">
        <v>33</v>
      </c>
      <c r="O7" t="s">
        <v>73</v>
      </c>
      <c r="P7">
        <v>371.16800000000001</v>
      </c>
      <c r="Q7">
        <v>4</v>
      </c>
      <c r="R7">
        <v>41.756399999999999</v>
      </c>
      <c r="S7" s="3" t="s">
        <v>53</v>
      </c>
      <c r="T7">
        <v>2015</v>
      </c>
      <c r="U7" t="s">
        <v>66</v>
      </c>
      <c r="V7" s="2">
        <v>0.1125</v>
      </c>
    </row>
    <row r="8" spans="1:22" x14ac:dyDescent="0.25">
      <c r="A8" t="s">
        <v>74</v>
      </c>
      <c r="B8" s="1">
        <v>42988</v>
      </c>
      <c r="C8" s="1">
        <v>42993</v>
      </c>
      <c r="D8" t="s">
        <v>23</v>
      </c>
      <c r="E8" t="s">
        <v>75</v>
      </c>
      <c r="F8" t="s">
        <v>76</v>
      </c>
      <c r="G8" t="s">
        <v>59</v>
      </c>
      <c r="H8" t="s">
        <v>27</v>
      </c>
      <c r="I8" t="s">
        <v>77</v>
      </c>
      <c r="J8" t="s">
        <v>78</v>
      </c>
      <c r="K8" t="s">
        <v>62</v>
      </c>
      <c r="L8" t="s">
        <v>79</v>
      </c>
      <c r="M8" t="s">
        <v>32</v>
      </c>
      <c r="N8" t="s">
        <v>33</v>
      </c>
      <c r="O8" t="s">
        <v>80</v>
      </c>
      <c r="P8">
        <v>147.16800000000001</v>
      </c>
      <c r="Q8">
        <v>4</v>
      </c>
      <c r="R8">
        <v>16.5564</v>
      </c>
      <c r="S8" s="3" t="s">
        <v>35</v>
      </c>
      <c r="T8">
        <v>2017</v>
      </c>
      <c r="U8" t="s">
        <v>81</v>
      </c>
      <c r="V8" s="2">
        <v>0.1125</v>
      </c>
    </row>
    <row r="9" spans="1:22" x14ac:dyDescent="0.25">
      <c r="A9" t="s">
        <v>82</v>
      </c>
      <c r="B9" s="1">
        <v>42440</v>
      </c>
      <c r="C9" s="1">
        <v>42442</v>
      </c>
      <c r="D9" t="s">
        <v>56</v>
      </c>
      <c r="E9" t="s">
        <v>83</v>
      </c>
      <c r="F9" t="s">
        <v>84</v>
      </c>
      <c r="G9" t="s">
        <v>59</v>
      </c>
      <c r="H9" t="s">
        <v>27</v>
      </c>
      <c r="I9" t="s">
        <v>85</v>
      </c>
      <c r="J9" t="s">
        <v>86</v>
      </c>
      <c r="K9" t="s">
        <v>62</v>
      </c>
      <c r="L9" t="s">
        <v>87</v>
      </c>
      <c r="M9" t="s">
        <v>32</v>
      </c>
      <c r="N9" t="s">
        <v>51</v>
      </c>
      <c r="O9" t="s">
        <v>88</v>
      </c>
      <c r="P9">
        <v>45.98</v>
      </c>
      <c r="Q9">
        <v>2</v>
      </c>
      <c r="R9">
        <v>19.7714</v>
      </c>
      <c r="S9" s="3" t="s">
        <v>65</v>
      </c>
      <c r="T9">
        <v>2016</v>
      </c>
      <c r="U9" t="s">
        <v>89</v>
      </c>
      <c r="V9" s="2">
        <v>0.43</v>
      </c>
    </row>
    <row r="10" spans="1:22" x14ac:dyDescent="0.25">
      <c r="A10" t="s">
        <v>90</v>
      </c>
      <c r="B10" s="1">
        <v>42541</v>
      </c>
      <c r="C10" s="1">
        <v>42546</v>
      </c>
      <c r="D10" t="s">
        <v>23</v>
      </c>
      <c r="E10" t="s">
        <v>91</v>
      </c>
      <c r="F10" t="s">
        <v>92</v>
      </c>
      <c r="G10" t="s">
        <v>26</v>
      </c>
      <c r="H10" t="s">
        <v>27</v>
      </c>
      <c r="I10" t="s">
        <v>93</v>
      </c>
      <c r="J10" t="s">
        <v>94</v>
      </c>
      <c r="K10" t="s">
        <v>95</v>
      </c>
      <c r="L10" t="s">
        <v>96</v>
      </c>
      <c r="M10" t="s">
        <v>32</v>
      </c>
      <c r="N10" t="s">
        <v>51</v>
      </c>
      <c r="O10" t="s">
        <v>97</v>
      </c>
      <c r="P10">
        <v>45</v>
      </c>
      <c r="Q10">
        <v>3</v>
      </c>
      <c r="R10">
        <v>4.95</v>
      </c>
      <c r="S10" s="3" t="s">
        <v>35</v>
      </c>
      <c r="T10">
        <v>2016</v>
      </c>
      <c r="U10" t="s">
        <v>36</v>
      </c>
      <c r="V10" s="2">
        <v>0.11</v>
      </c>
    </row>
    <row r="11" spans="1:22" x14ac:dyDescent="0.25">
      <c r="A11" t="s">
        <v>90</v>
      </c>
      <c r="B11" s="1">
        <v>42541</v>
      </c>
      <c r="C11" s="1">
        <v>42546</v>
      </c>
      <c r="D11" t="s">
        <v>23</v>
      </c>
      <c r="E11" t="s">
        <v>91</v>
      </c>
      <c r="F11" t="s">
        <v>92</v>
      </c>
      <c r="G11" t="s">
        <v>26</v>
      </c>
      <c r="H11" t="s">
        <v>27</v>
      </c>
      <c r="I11" t="s">
        <v>93</v>
      </c>
      <c r="J11" t="s">
        <v>94</v>
      </c>
      <c r="K11" t="s">
        <v>95</v>
      </c>
      <c r="L11" t="s">
        <v>98</v>
      </c>
      <c r="M11" t="s">
        <v>32</v>
      </c>
      <c r="N11" t="s">
        <v>33</v>
      </c>
      <c r="O11" t="s">
        <v>99</v>
      </c>
      <c r="P11">
        <v>21.8</v>
      </c>
      <c r="Q11">
        <v>2</v>
      </c>
      <c r="R11">
        <v>6.1040000000000001</v>
      </c>
      <c r="S11" s="3" t="s">
        <v>35</v>
      </c>
      <c r="T11">
        <v>2016</v>
      </c>
      <c r="U11" t="s">
        <v>36</v>
      </c>
      <c r="V11" s="2">
        <v>0.28000000000000003</v>
      </c>
    </row>
    <row r="12" spans="1:22" x14ac:dyDescent="0.25">
      <c r="A12" t="s">
        <v>100</v>
      </c>
      <c r="B12" s="1">
        <v>42715</v>
      </c>
      <c r="C12" s="1">
        <v>42721</v>
      </c>
      <c r="D12" t="s">
        <v>23</v>
      </c>
      <c r="E12" t="s">
        <v>101</v>
      </c>
      <c r="F12" t="s">
        <v>102</v>
      </c>
      <c r="G12" t="s">
        <v>59</v>
      </c>
      <c r="H12" t="s">
        <v>27</v>
      </c>
      <c r="I12" t="s">
        <v>103</v>
      </c>
      <c r="J12" t="s">
        <v>104</v>
      </c>
      <c r="K12" t="s">
        <v>95</v>
      </c>
      <c r="L12" t="s">
        <v>105</v>
      </c>
      <c r="M12" t="s">
        <v>32</v>
      </c>
      <c r="N12" t="s">
        <v>33</v>
      </c>
      <c r="O12" t="s">
        <v>106</v>
      </c>
      <c r="P12">
        <v>1029.95</v>
      </c>
      <c r="Q12">
        <v>5</v>
      </c>
      <c r="R12">
        <v>298.68549999999999</v>
      </c>
      <c r="S12" s="3" t="s">
        <v>107</v>
      </c>
      <c r="T12">
        <v>2016</v>
      </c>
      <c r="U12" t="s">
        <v>66</v>
      </c>
      <c r="V12" s="2">
        <v>0.28999999999999998</v>
      </c>
    </row>
    <row r="13" spans="1:22" x14ac:dyDescent="0.25">
      <c r="A13" t="s">
        <v>108</v>
      </c>
      <c r="B13" s="1">
        <v>42538</v>
      </c>
      <c r="C13" s="1">
        <v>42539</v>
      </c>
      <c r="D13" t="s">
        <v>56</v>
      </c>
      <c r="E13" t="s">
        <v>109</v>
      </c>
      <c r="F13" t="s">
        <v>110</v>
      </c>
      <c r="G13" t="s">
        <v>26</v>
      </c>
      <c r="H13" t="s">
        <v>27</v>
      </c>
      <c r="I13" t="s">
        <v>111</v>
      </c>
      <c r="J13" t="s">
        <v>104</v>
      </c>
      <c r="K13" t="s">
        <v>95</v>
      </c>
      <c r="L13" t="s">
        <v>96</v>
      </c>
      <c r="M13" t="s">
        <v>32</v>
      </c>
      <c r="N13" t="s">
        <v>51</v>
      </c>
      <c r="O13" t="s">
        <v>97</v>
      </c>
      <c r="P13">
        <v>30</v>
      </c>
      <c r="Q13">
        <v>2</v>
      </c>
      <c r="R13">
        <v>3.3</v>
      </c>
      <c r="S13" s="3" t="s">
        <v>112</v>
      </c>
      <c r="T13">
        <v>2016</v>
      </c>
      <c r="U13" t="s">
        <v>36</v>
      </c>
      <c r="V13" s="2">
        <v>0.11</v>
      </c>
    </row>
    <row r="14" spans="1:22" x14ac:dyDescent="0.25">
      <c r="A14" t="s">
        <v>113</v>
      </c>
      <c r="B14" s="1">
        <v>42332</v>
      </c>
      <c r="C14" s="1">
        <v>42338</v>
      </c>
      <c r="D14" t="s">
        <v>23</v>
      </c>
      <c r="E14" t="s">
        <v>114</v>
      </c>
      <c r="F14" t="s">
        <v>115</v>
      </c>
      <c r="G14" t="s">
        <v>26</v>
      </c>
      <c r="H14" t="s">
        <v>27</v>
      </c>
      <c r="I14" t="s">
        <v>28</v>
      </c>
      <c r="J14" t="s">
        <v>29</v>
      </c>
      <c r="K14" t="s">
        <v>30</v>
      </c>
      <c r="L14" t="s">
        <v>116</v>
      </c>
      <c r="M14" t="s">
        <v>32</v>
      </c>
      <c r="N14" t="s">
        <v>51</v>
      </c>
      <c r="O14" t="s">
        <v>117</v>
      </c>
      <c r="P14">
        <v>13.98</v>
      </c>
      <c r="Q14">
        <v>2</v>
      </c>
      <c r="R14">
        <v>6.1512000000000002</v>
      </c>
      <c r="S14" s="3" t="s">
        <v>107</v>
      </c>
      <c r="T14">
        <v>2015</v>
      </c>
      <c r="U14" t="s">
        <v>118</v>
      </c>
      <c r="V14" s="2">
        <v>0.44</v>
      </c>
    </row>
    <row r="15" spans="1:22" x14ac:dyDescent="0.25">
      <c r="A15" t="s">
        <v>119</v>
      </c>
      <c r="B15" s="1">
        <v>41978</v>
      </c>
      <c r="C15" s="1">
        <v>41983</v>
      </c>
      <c r="D15" t="s">
        <v>23</v>
      </c>
      <c r="E15" t="s">
        <v>120</v>
      </c>
      <c r="F15" t="s">
        <v>121</v>
      </c>
      <c r="G15" t="s">
        <v>59</v>
      </c>
      <c r="H15" t="s">
        <v>27</v>
      </c>
      <c r="I15" t="s">
        <v>122</v>
      </c>
      <c r="J15" t="s">
        <v>123</v>
      </c>
      <c r="K15" t="s">
        <v>30</v>
      </c>
      <c r="L15" t="s">
        <v>124</v>
      </c>
      <c r="M15" t="s">
        <v>32</v>
      </c>
      <c r="N15" t="s">
        <v>33</v>
      </c>
      <c r="O15" t="s">
        <v>125</v>
      </c>
      <c r="P15">
        <v>167.96799999999999</v>
      </c>
      <c r="Q15">
        <v>4</v>
      </c>
      <c r="R15">
        <v>62.988</v>
      </c>
      <c r="S15" s="3" t="s">
        <v>35</v>
      </c>
      <c r="T15">
        <v>2014</v>
      </c>
      <c r="U15" t="s">
        <v>66</v>
      </c>
      <c r="V15" s="2">
        <v>0.375</v>
      </c>
    </row>
    <row r="16" spans="1:22" x14ac:dyDescent="0.25">
      <c r="A16" t="s">
        <v>126</v>
      </c>
      <c r="B16" s="1">
        <v>43034</v>
      </c>
      <c r="C16" s="1">
        <v>43041</v>
      </c>
      <c r="D16" t="s">
        <v>23</v>
      </c>
      <c r="E16" t="s">
        <v>127</v>
      </c>
      <c r="F16" t="s">
        <v>128</v>
      </c>
      <c r="G16" t="s">
        <v>26</v>
      </c>
      <c r="H16" t="s">
        <v>27</v>
      </c>
      <c r="I16" t="s">
        <v>129</v>
      </c>
      <c r="J16" t="s">
        <v>86</v>
      </c>
      <c r="K16" t="s">
        <v>62</v>
      </c>
      <c r="L16" t="s">
        <v>130</v>
      </c>
      <c r="M16" t="s">
        <v>32</v>
      </c>
      <c r="N16" t="s">
        <v>51</v>
      </c>
      <c r="O16" t="s">
        <v>131</v>
      </c>
      <c r="P16">
        <v>19.989999999999998</v>
      </c>
      <c r="Q16">
        <v>1</v>
      </c>
      <c r="R16">
        <v>6.7965999999999998</v>
      </c>
      <c r="S16" s="3" t="s">
        <v>132</v>
      </c>
      <c r="T16">
        <v>2017</v>
      </c>
      <c r="U16" t="s">
        <v>133</v>
      </c>
      <c r="V16" s="2">
        <v>0.34</v>
      </c>
    </row>
    <row r="17" spans="1:22" x14ac:dyDescent="0.25">
      <c r="A17" t="s">
        <v>134</v>
      </c>
      <c r="B17" s="1">
        <v>42630</v>
      </c>
      <c r="C17" s="1">
        <v>42635</v>
      </c>
      <c r="D17" t="s">
        <v>23</v>
      </c>
      <c r="E17" t="s">
        <v>135</v>
      </c>
      <c r="F17" t="s">
        <v>136</v>
      </c>
      <c r="G17" t="s">
        <v>59</v>
      </c>
      <c r="H17" t="s">
        <v>27</v>
      </c>
      <c r="I17" t="s">
        <v>28</v>
      </c>
      <c r="J17" t="s">
        <v>29</v>
      </c>
      <c r="K17" t="s">
        <v>30</v>
      </c>
      <c r="L17" t="s">
        <v>79</v>
      </c>
      <c r="M17" t="s">
        <v>32</v>
      </c>
      <c r="N17" t="s">
        <v>33</v>
      </c>
      <c r="O17" t="s">
        <v>80</v>
      </c>
      <c r="P17">
        <v>73.584000000000003</v>
      </c>
      <c r="Q17">
        <v>2</v>
      </c>
      <c r="R17">
        <v>8.2782</v>
      </c>
      <c r="S17" s="3" t="s">
        <v>35</v>
      </c>
      <c r="T17">
        <v>2016</v>
      </c>
      <c r="U17" t="s">
        <v>81</v>
      </c>
      <c r="V17" s="2">
        <v>0.1125</v>
      </c>
    </row>
    <row r="18" spans="1:22" x14ac:dyDescent="0.25">
      <c r="A18" t="s">
        <v>137</v>
      </c>
      <c r="B18" s="1">
        <v>42611</v>
      </c>
      <c r="C18" s="1">
        <v>42615</v>
      </c>
      <c r="D18" t="s">
        <v>23</v>
      </c>
      <c r="E18" t="s">
        <v>138</v>
      </c>
      <c r="F18" t="s">
        <v>139</v>
      </c>
      <c r="G18" t="s">
        <v>70</v>
      </c>
      <c r="H18" t="s">
        <v>27</v>
      </c>
      <c r="I18" t="s">
        <v>140</v>
      </c>
      <c r="J18" t="s">
        <v>78</v>
      </c>
      <c r="K18" t="s">
        <v>62</v>
      </c>
      <c r="L18" t="s">
        <v>141</v>
      </c>
      <c r="M18" t="s">
        <v>32</v>
      </c>
      <c r="N18" t="s">
        <v>51</v>
      </c>
      <c r="O18" t="s">
        <v>142</v>
      </c>
      <c r="P18">
        <v>95.975999999999999</v>
      </c>
      <c r="Q18">
        <v>3</v>
      </c>
      <c r="R18">
        <v>-10.7973</v>
      </c>
      <c r="S18" s="3" t="s">
        <v>53</v>
      </c>
      <c r="T18">
        <v>2016</v>
      </c>
      <c r="U18" t="s">
        <v>46</v>
      </c>
      <c r="V18" s="2">
        <v>-0.1125</v>
      </c>
    </row>
    <row r="19" spans="1:22" x14ac:dyDescent="0.25">
      <c r="A19" t="s">
        <v>143</v>
      </c>
      <c r="B19" s="1">
        <v>42321</v>
      </c>
      <c r="C19" s="1">
        <v>42325</v>
      </c>
      <c r="D19" t="s">
        <v>23</v>
      </c>
      <c r="E19" t="s">
        <v>144</v>
      </c>
      <c r="F19" t="s">
        <v>145</v>
      </c>
      <c r="G19" t="s">
        <v>26</v>
      </c>
      <c r="H19" t="s">
        <v>27</v>
      </c>
      <c r="I19" t="s">
        <v>146</v>
      </c>
      <c r="J19" t="s">
        <v>147</v>
      </c>
      <c r="K19" t="s">
        <v>30</v>
      </c>
      <c r="L19" t="s">
        <v>148</v>
      </c>
      <c r="M19" t="s">
        <v>32</v>
      </c>
      <c r="N19" t="s">
        <v>51</v>
      </c>
      <c r="O19" t="s">
        <v>149</v>
      </c>
      <c r="P19">
        <v>238.89599999999999</v>
      </c>
      <c r="Q19">
        <v>6</v>
      </c>
      <c r="R19">
        <v>-26.875800000000002</v>
      </c>
      <c r="S19" s="3" t="s">
        <v>53</v>
      </c>
      <c r="T19">
        <v>2015</v>
      </c>
      <c r="U19" t="s">
        <v>118</v>
      </c>
      <c r="V19" s="2">
        <v>-0.1125</v>
      </c>
    </row>
    <row r="20" spans="1:22" x14ac:dyDescent="0.25">
      <c r="A20" t="s">
        <v>150</v>
      </c>
      <c r="B20" s="1">
        <v>43062</v>
      </c>
      <c r="C20" s="1">
        <v>43067</v>
      </c>
      <c r="D20" t="s">
        <v>23</v>
      </c>
      <c r="E20" t="s">
        <v>151</v>
      </c>
      <c r="F20" t="s">
        <v>152</v>
      </c>
      <c r="G20" t="s">
        <v>26</v>
      </c>
      <c r="H20" t="s">
        <v>27</v>
      </c>
      <c r="I20" t="s">
        <v>153</v>
      </c>
      <c r="J20" t="s">
        <v>154</v>
      </c>
      <c r="K20" t="s">
        <v>155</v>
      </c>
      <c r="L20" t="s">
        <v>156</v>
      </c>
      <c r="M20" t="s">
        <v>32</v>
      </c>
      <c r="N20" t="s">
        <v>51</v>
      </c>
      <c r="O20" t="s">
        <v>157</v>
      </c>
      <c r="P20">
        <v>74.111999999999995</v>
      </c>
      <c r="Q20">
        <v>8</v>
      </c>
      <c r="R20">
        <v>17.601600000000001</v>
      </c>
      <c r="S20" s="3" t="s">
        <v>35</v>
      </c>
      <c r="T20">
        <v>2017</v>
      </c>
      <c r="U20" t="s">
        <v>118</v>
      </c>
      <c r="V20" s="2">
        <v>0.23749999999999999</v>
      </c>
    </row>
    <row r="21" spans="1:22" x14ac:dyDescent="0.25">
      <c r="A21" t="s">
        <v>150</v>
      </c>
      <c r="B21" s="1">
        <v>43062</v>
      </c>
      <c r="C21" s="1">
        <v>43067</v>
      </c>
      <c r="D21" t="s">
        <v>23</v>
      </c>
      <c r="E21" t="s">
        <v>151</v>
      </c>
      <c r="F21" t="s">
        <v>152</v>
      </c>
      <c r="G21" t="s">
        <v>26</v>
      </c>
      <c r="H21" t="s">
        <v>27</v>
      </c>
      <c r="I21" t="s">
        <v>153</v>
      </c>
      <c r="J21" t="s">
        <v>154</v>
      </c>
      <c r="K21" t="s">
        <v>155</v>
      </c>
      <c r="L21" t="s">
        <v>158</v>
      </c>
      <c r="M21" t="s">
        <v>32</v>
      </c>
      <c r="N21" t="s">
        <v>33</v>
      </c>
      <c r="O21" t="s">
        <v>159</v>
      </c>
      <c r="P21">
        <v>27.992000000000001</v>
      </c>
      <c r="Q21">
        <v>1</v>
      </c>
      <c r="R21">
        <v>2.0994000000000002</v>
      </c>
      <c r="S21" s="3" t="s">
        <v>35</v>
      </c>
      <c r="T21">
        <v>2017</v>
      </c>
      <c r="U21" t="s">
        <v>118</v>
      </c>
      <c r="V21" s="2">
        <v>7.4999999999999997E-2</v>
      </c>
    </row>
    <row r="22" spans="1:22" x14ac:dyDescent="0.25">
      <c r="A22" t="s">
        <v>160</v>
      </c>
      <c r="B22" s="1">
        <v>42292</v>
      </c>
      <c r="C22" s="1">
        <v>42297</v>
      </c>
      <c r="D22" t="s">
        <v>23</v>
      </c>
      <c r="E22" t="s">
        <v>161</v>
      </c>
      <c r="F22" t="s">
        <v>162</v>
      </c>
      <c r="G22" t="s">
        <v>70</v>
      </c>
      <c r="H22" t="s">
        <v>27</v>
      </c>
      <c r="I22" t="s">
        <v>163</v>
      </c>
      <c r="J22" t="s">
        <v>78</v>
      </c>
      <c r="K22" t="s">
        <v>62</v>
      </c>
      <c r="L22" t="s">
        <v>164</v>
      </c>
      <c r="M22" t="s">
        <v>32</v>
      </c>
      <c r="N22" t="s">
        <v>51</v>
      </c>
      <c r="O22" t="s">
        <v>165</v>
      </c>
      <c r="P22">
        <v>339.96</v>
      </c>
      <c r="Q22">
        <v>5</v>
      </c>
      <c r="R22">
        <v>67.992000000000004</v>
      </c>
      <c r="S22" s="3" t="s">
        <v>35</v>
      </c>
      <c r="T22">
        <v>2015</v>
      </c>
      <c r="U22" t="s">
        <v>133</v>
      </c>
      <c r="V22" s="2">
        <v>0.2</v>
      </c>
    </row>
    <row r="23" spans="1:22" x14ac:dyDescent="0.25">
      <c r="A23" t="s">
        <v>166</v>
      </c>
      <c r="B23" s="1">
        <v>42533</v>
      </c>
      <c r="C23" s="1">
        <v>42536</v>
      </c>
      <c r="D23" t="s">
        <v>56</v>
      </c>
      <c r="E23" t="s">
        <v>167</v>
      </c>
      <c r="F23" t="s">
        <v>168</v>
      </c>
      <c r="G23" t="s">
        <v>26</v>
      </c>
      <c r="H23" t="s">
        <v>27</v>
      </c>
      <c r="I23" t="s">
        <v>169</v>
      </c>
      <c r="J23" t="s">
        <v>94</v>
      </c>
      <c r="K23" t="s">
        <v>95</v>
      </c>
      <c r="L23" t="s">
        <v>170</v>
      </c>
      <c r="M23" t="s">
        <v>32</v>
      </c>
      <c r="N23" t="s">
        <v>33</v>
      </c>
      <c r="O23" t="s">
        <v>171</v>
      </c>
      <c r="P23">
        <v>68.040000000000006</v>
      </c>
      <c r="Q23">
        <v>7</v>
      </c>
      <c r="R23">
        <v>19.7316</v>
      </c>
      <c r="S23" s="3" t="s">
        <v>172</v>
      </c>
      <c r="T23">
        <v>2016</v>
      </c>
      <c r="U23" t="s">
        <v>36</v>
      </c>
      <c r="V23" s="2">
        <v>0.28999999999999998</v>
      </c>
    </row>
    <row r="24" spans="1:22" x14ac:dyDescent="0.25">
      <c r="A24" t="s">
        <v>173</v>
      </c>
      <c r="B24" s="1">
        <v>42768</v>
      </c>
      <c r="C24" s="1">
        <v>42771</v>
      </c>
      <c r="D24" t="s">
        <v>56</v>
      </c>
      <c r="E24" t="s">
        <v>174</v>
      </c>
      <c r="F24" t="s">
        <v>175</v>
      </c>
      <c r="G24" t="s">
        <v>59</v>
      </c>
      <c r="H24" t="s">
        <v>27</v>
      </c>
      <c r="I24" t="s">
        <v>176</v>
      </c>
      <c r="J24" t="s">
        <v>177</v>
      </c>
      <c r="K24" t="s">
        <v>95</v>
      </c>
      <c r="L24" t="s">
        <v>178</v>
      </c>
      <c r="M24" t="s">
        <v>32</v>
      </c>
      <c r="N24" t="s">
        <v>33</v>
      </c>
      <c r="O24" t="s">
        <v>179</v>
      </c>
      <c r="P24">
        <v>59.97</v>
      </c>
      <c r="Q24">
        <v>5</v>
      </c>
      <c r="R24">
        <v>-11.994</v>
      </c>
      <c r="S24" s="3" t="s">
        <v>172</v>
      </c>
      <c r="T24">
        <v>2017</v>
      </c>
      <c r="U24" t="s">
        <v>180</v>
      </c>
      <c r="V24" s="2">
        <v>-0.2</v>
      </c>
    </row>
    <row r="25" spans="1:22" x14ac:dyDescent="0.25">
      <c r="A25" t="s">
        <v>181</v>
      </c>
      <c r="B25" s="1">
        <v>42709</v>
      </c>
      <c r="C25" s="1">
        <v>42713</v>
      </c>
      <c r="D25" t="s">
        <v>23</v>
      </c>
      <c r="E25" t="s">
        <v>182</v>
      </c>
      <c r="F25" t="s">
        <v>183</v>
      </c>
      <c r="G25" t="s">
        <v>59</v>
      </c>
      <c r="H25" t="s">
        <v>27</v>
      </c>
      <c r="I25" t="s">
        <v>184</v>
      </c>
      <c r="J25" t="s">
        <v>185</v>
      </c>
      <c r="K25" t="s">
        <v>62</v>
      </c>
      <c r="L25" t="s">
        <v>186</v>
      </c>
      <c r="M25" t="s">
        <v>32</v>
      </c>
      <c r="N25" t="s">
        <v>33</v>
      </c>
      <c r="O25" t="s">
        <v>187</v>
      </c>
      <c r="P25">
        <v>384.45</v>
      </c>
      <c r="Q25">
        <v>11</v>
      </c>
      <c r="R25">
        <v>103.8015</v>
      </c>
      <c r="S25" s="3" t="s">
        <v>53</v>
      </c>
      <c r="T25">
        <v>2016</v>
      </c>
      <c r="U25" t="s">
        <v>66</v>
      </c>
      <c r="V25" s="2">
        <v>0.27</v>
      </c>
    </row>
    <row r="26" spans="1:22" x14ac:dyDescent="0.25">
      <c r="A26" t="s">
        <v>181</v>
      </c>
      <c r="B26" s="1">
        <v>42709</v>
      </c>
      <c r="C26" s="1">
        <v>42713</v>
      </c>
      <c r="D26" t="s">
        <v>23</v>
      </c>
      <c r="E26" t="s">
        <v>182</v>
      </c>
      <c r="F26" t="s">
        <v>183</v>
      </c>
      <c r="G26" t="s">
        <v>59</v>
      </c>
      <c r="H26" t="s">
        <v>27</v>
      </c>
      <c r="I26" t="s">
        <v>184</v>
      </c>
      <c r="J26" t="s">
        <v>185</v>
      </c>
      <c r="K26" t="s">
        <v>62</v>
      </c>
      <c r="L26" t="s">
        <v>188</v>
      </c>
      <c r="M26" t="s">
        <v>32</v>
      </c>
      <c r="N26" t="s">
        <v>33</v>
      </c>
      <c r="O26" t="s">
        <v>189</v>
      </c>
      <c r="P26">
        <v>149.97</v>
      </c>
      <c r="Q26">
        <v>3</v>
      </c>
      <c r="R26">
        <v>5.9988000000000001</v>
      </c>
      <c r="S26" s="3" t="s">
        <v>53</v>
      </c>
      <c r="T26">
        <v>2016</v>
      </c>
      <c r="U26" t="s">
        <v>66</v>
      </c>
      <c r="V26" s="2">
        <v>0.04</v>
      </c>
    </row>
    <row r="27" spans="1:22" x14ac:dyDescent="0.25">
      <c r="A27" t="s">
        <v>190</v>
      </c>
      <c r="B27" s="1">
        <v>42442</v>
      </c>
      <c r="C27" s="1">
        <v>42445</v>
      </c>
      <c r="D27" t="s">
        <v>56</v>
      </c>
      <c r="E27" t="s">
        <v>191</v>
      </c>
      <c r="F27" t="s">
        <v>192</v>
      </c>
      <c r="G27" t="s">
        <v>70</v>
      </c>
      <c r="H27" t="s">
        <v>27</v>
      </c>
      <c r="I27" t="s">
        <v>193</v>
      </c>
      <c r="J27" t="s">
        <v>123</v>
      </c>
      <c r="K27" t="s">
        <v>30</v>
      </c>
      <c r="L27" t="s">
        <v>194</v>
      </c>
      <c r="M27" t="s">
        <v>32</v>
      </c>
      <c r="N27" t="s">
        <v>33</v>
      </c>
      <c r="O27" t="s">
        <v>195</v>
      </c>
      <c r="P27">
        <v>203.184</v>
      </c>
      <c r="Q27">
        <v>2</v>
      </c>
      <c r="R27">
        <v>15.238799999999999</v>
      </c>
      <c r="S27" s="3" t="s">
        <v>172</v>
      </c>
      <c r="T27">
        <v>2016</v>
      </c>
      <c r="U27" t="s">
        <v>89</v>
      </c>
      <c r="V27" s="2">
        <v>7.4999999999999997E-2</v>
      </c>
    </row>
    <row r="28" spans="1:22" x14ac:dyDescent="0.25">
      <c r="A28" t="s">
        <v>196</v>
      </c>
      <c r="B28" s="1">
        <v>42694</v>
      </c>
      <c r="C28" s="1">
        <v>42698</v>
      </c>
      <c r="D28" t="s">
        <v>23</v>
      </c>
      <c r="E28" t="s">
        <v>197</v>
      </c>
      <c r="F28" t="s">
        <v>198</v>
      </c>
      <c r="G28" t="s">
        <v>26</v>
      </c>
      <c r="H28" t="s">
        <v>27</v>
      </c>
      <c r="I28" t="s">
        <v>199</v>
      </c>
      <c r="J28" t="s">
        <v>200</v>
      </c>
      <c r="K28" t="s">
        <v>62</v>
      </c>
      <c r="L28" t="s">
        <v>201</v>
      </c>
      <c r="M28" t="s">
        <v>32</v>
      </c>
      <c r="N28" t="s">
        <v>33</v>
      </c>
      <c r="O28" t="s">
        <v>202</v>
      </c>
      <c r="P28">
        <v>944.93</v>
      </c>
      <c r="Q28">
        <v>7</v>
      </c>
      <c r="R28">
        <v>236.23249999999999</v>
      </c>
      <c r="S28" s="3" t="s">
        <v>53</v>
      </c>
      <c r="T28">
        <v>2016</v>
      </c>
      <c r="U28" t="s">
        <v>118</v>
      </c>
      <c r="V28" s="2">
        <v>0.25</v>
      </c>
    </row>
    <row r="29" spans="1:22" x14ac:dyDescent="0.25">
      <c r="A29" t="s">
        <v>203</v>
      </c>
      <c r="B29" s="1">
        <v>42366</v>
      </c>
      <c r="C29" s="1">
        <v>42369</v>
      </c>
      <c r="D29" t="s">
        <v>40</v>
      </c>
      <c r="E29" t="s">
        <v>204</v>
      </c>
      <c r="F29" t="s">
        <v>205</v>
      </c>
      <c r="G29" t="s">
        <v>26</v>
      </c>
      <c r="H29" t="s">
        <v>27</v>
      </c>
      <c r="I29" t="s">
        <v>206</v>
      </c>
      <c r="J29" t="s">
        <v>207</v>
      </c>
      <c r="K29" t="s">
        <v>95</v>
      </c>
      <c r="L29" t="s">
        <v>208</v>
      </c>
      <c r="M29" t="s">
        <v>32</v>
      </c>
      <c r="N29" t="s">
        <v>51</v>
      </c>
      <c r="O29" t="s">
        <v>209</v>
      </c>
      <c r="P29">
        <v>54.384</v>
      </c>
      <c r="Q29">
        <v>2</v>
      </c>
      <c r="R29">
        <v>1.3595999999999999</v>
      </c>
      <c r="S29" s="3" t="s">
        <v>172</v>
      </c>
      <c r="T29">
        <v>2015</v>
      </c>
      <c r="U29" t="s">
        <v>66</v>
      </c>
      <c r="V29" s="2">
        <v>2.5000000000000001E-2</v>
      </c>
    </row>
    <row r="30" spans="1:22" x14ac:dyDescent="0.25">
      <c r="A30" t="s">
        <v>210</v>
      </c>
      <c r="B30" s="1">
        <v>41890</v>
      </c>
      <c r="C30" s="1">
        <v>41894</v>
      </c>
      <c r="D30" t="s">
        <v>23</v>
      </c>
      <c r="E30" t="s">
        <v>211</v>
      </c>
      <c r="F30" t="s">
        <v>212</v>
      </c>
      <c r="G30" t="s">
        <v>26</v>
      </c>
      <c r="H30" t="s">
        <v>27</v>
      </c>
      <c r="I30" t="s">
        <v>213</v>
      </c>
      <c r="J30" t="s">
        <v>61</v>
      </c>
      <c r="K30" t="s">
        <v>62</v>
      </c>
      <c r="L30" t="s">
        <v>214</v>
      </c>
      <c r="M30" t="s">
        <v>32</v>
      </c>
      <c r="N30" t="s">
        <v>215</v>
      </c>
      <c r="O30" t="s">
        <v>216</v>
      </c>
      <c r="P30">
        <v>8159.9520000000002</v>
      </c>
      <c r="Q30">
        <v>8</v>
      </c>
      <c r="R30">
        <v>-1359.992</v>
      </c>
      <c r="S30" s="3" t="s">
        <v>53</v>
      </c>
      <c r="T30">
        <v>2014</v>
      </c>
      <c r="U30" t="s">
        <v>81</v>
      </c>
      <c r="V30" s="2">
        <v>-0.16666666666666699</v>
      </c>
    </row>
    <row r="31" spans="1:22" x14ac:dyDescent="0.25">
      <c r="A31" t="s">
        <v>210</v>
      </c>
      <c r="B31" s="1">
        <v>41890</v>
      </c>
      <c r="C31" s="1">
        <v>41894</v>
      </c>
      <c r="D31" t="s">
        <v>23</v>
      </c>
      <c r="E31" t="s">
        <v>211</v>
      </c>
      <c r="F31" t="s">
        <v>212</v>
      </c>
      <c r="G31" t="s">
        <v>26</v>
      </c>
      <c r="H31" t="s">
        <v>27</v>
      </c>
      <c r="I31" t="s">
        <v>213</v>
      </c>
      <c r="J31" t="s">
        <v>61</v>
      </c>
      <c r="K31" t="s">
        <v>62</v>
      </c>
      <c r="L31" t="s">
        <v>217</v>
      </c>
      <c r="M31" t="s">
        <v>32</v>
      </c>
      <c r="N31" t="s">
        <v>33</v>
      </c>
      <c r="O31" t="s">
        <v>218</v>
      </c>
      <c r="P31">
        <v>143.976</v>
      </c>
      <c r="Q31">
        <v>3</v>
      </c>
      <c r="R31">
        <v>8.9984999999999999</v>
      </c>
      <c r="S31" s="3" t="s">
        <v>53</v>
      </c>
      <c r="T31">
        <v>2014</v>
      </c>
      <c r="U31" t="s">
        <v>81</v>
      </c>
      <c r="V31" s="2">
        <v>6.25E-2</v>
      </c>
    </row>
    <row r="32" spans="1:22" x14ac:dyDescent="0.25">
      <c r="A32" t="s">
        <v>219</v>
      </c>
      <c r="B32" s="1">
        <v>41978</v>
      </c>
      <c r="C32" s="1">
        <v>41982</v>
      </c>
      <c r="D32" t="s">
        <v>40</v>
      </c>
      <c r="E32" t="s">
        <v>220</v>
      </c>
      <c r="F32" t="s">
        <v>221</v>
      </c>
      <c r="G32" t="s">
        <v>59</v>
      </c>
      <c r="H32" t="s">
        <v>27</v>
      </c>
      <c r="I32" t="s">
        <v>222</v>
      </c>
      <c r="J32" t="s">
        <v>78</v>
      </c>
      <c r="K32" t="s">
        <v>62</v>
      </c>
      <c r="L32" t="s">
        <v>223</v>
      </c>
      <c r="M32" t="s">
        <v>32</v>
      </c>
      <c r="N32" t="s">
        <v>51</v>
      </c>
      <c r="O32" t="s">
        <v>224</v>
      </c>
      <c r="P32">
        <v>408.74400000000003</v>
      </c>
      <c r="Q32">
        <v>7</v>
      </c>
      <c r="R32">
        <v>76.639499999999998</v>
      </c>
      <c r="S32" s="3" t="s">
        <v>53</v>
      </c>
      <c r="T32">
        <v>2014</v>
      </c>
      <c r="U32" t="s">
        <v>66</v>
      </c>
      <c r="V32" s="2">
        <v>0.1875</v>
      </c>
    </row>
    <row r="33" spans="1:22" x14ac:dyDescent="0.25">
      <c r="A33" t="s">
        <v>225</v>
      </c>
      <c r="B33" s="1">
        <v>41962</v>
      </c>
      <c r="C33" s="1">
        <v>41967</v>
      </c>
      <c r="D33" t="s">
        <v>40</v>
      </c>
      <c r="E33" t="s">
        <v>226</v>
      </c>
      <c r="F33" t="s">
        <v>227</v>
      </c>
      <c r="G33" t="s">
        <v>70</v>
      </c>
      <c r="H33" t="s">
        <v>27</v>
      </c>
      <c r="I33" t="s">
        <v>228</v>
      </c>
      <c r="J33" t="s">
        <v>229</v>
      </c>
      <c r="K33" t="s">
        <v>155</v>
      </c>
      <c r="L33" t="s">
        <v>230</v>
      </c>
      <c r="M33" t="s">
        <v>32</v>
      </c>
      <c r="N33" t="s">
        <v>33</v>
      </c>
      <c r="O33" t="s">
        <v>231</v>
      </c>
      <c r="P33">
        <v>503.96</v>
      </c>
      <c r="Q33">
        <v>4</v>
      </c>
      <c r="R33">
        <v>131.02959999999999</v>
      </c>
      <c r="S33" s="3" t="s">
        <v>35</v>
      </c>
      <c r="T33">
        <v>2014</v>
      </c>
      <c r="U33" t="s">
        <v>118</v>
      </c>
      <c r="V33" s="2">
        <v>0.26</v>
      </c>
    </row>
    <row r="34" spans="1:22" x14ac:dyDescent="0.25">
      <c r="A34" t="s">
        <v>225</v>
      </c>
      <c r="B34" s="1">
        <v>41962</v>
      </c>
      <c r="C34" s="1">
        <v>41967</v>
      </c>
      <c r="D34" t="s">
        <v>40</v>
      </c>
      <c r="E34" t="s">
        <v>226</v>
      </c>
      <c r="F34" t="s">
        <v>227</v>
      </c>
      <c r="G34" t="s">
        <v>70</v>
      </c>
      <c r="H34" t="s">
        <v>27</v>
      </c>
      <c r="I34" t="s">
        <v>228</v>
      </c>
      <c r="J34" t="s">
        <v>229</v>
      </c>
      <c r="K34" t="s">
        <v>155</v>
      </c>
      <c r="L34" t="s">
        <v>232</v>
      </c>
      <c r="M34" t="s">
        <v>32</v>
      </c>
      <c r="N34" t="s">
        <v>33</v>
      </c>
      <c r="O34" t="s">
        <v>233</v>
      </c>
      <c r="P34">
        <v>149.94999999999999</v>
      </c>
      <c r="Q34">
        <v>5</v>
      </c>
      <c r="R34">
        <v>41.985999999999997</v>
      </c>
      <c r="S34" s="3" t="s">
        <v>35</v>
      </c>
      <c r="T34">
        <v>2014</v>
      </c>
      <c r="U34" t="s">
        <v>118</v>
      </c>
      <c r="V34" s="2">
        <v>0.28000000000000003</v>
      </c>
    </row>
    <row r="35" spans="1:22" x14ac:dyDescent="0.25">
      <c r="A35" t="s">
        <v>225</v>
      </c>
      <c r="B35" s="1">
        <v>41962</v>
      </c>
      <c r="C35" s="1">
        <v>41967</v>
      </c>
      <c r="D35" t="s">
        <v>40</v>
      </c>
      <c r="E35" t="s">
        <v>226</v>
      </c>
      <c r="F35" t="s">
        <v>227</v>
      </c>
      <c r="G35" t="s">
        <v>70</v>
      </c>
      <c r="H35" t="s">
        <v>27</v>
      </c>
      <c r="I35" t="s">
        <v>228</v>
      </c>
      <c r="J35" t="s">
        <v>229</v>
      </c>
      <c r="K35" t="s">
        <v>155</v>
      </c>
      <c r="L35" t="s">
        <v>234</v>
      </c>
      <c r="M35" t="s">
        <v>32</v>
      </c>
      <c r="N35" t="s">
        <v>51</v>
      </c>
      <c r="O35" t="s">
        <v>235</v>
      </c>
      <c r="P35">
        <v>29</v>
      </c>
      <c r="Q35">
        <v>2</v>
      </c>
      <c r="R35">
        <v>7.25</v>
      </c>
      <c r="S35" s="3" t="s">
        <v>35</v>
      </c>
      <c r="T35">
        <v>2014</v>
      </c>
      <c r="U35" t="s">
        <v>118</v>
      </c>
      <c r="V35" s="2">
        <v>0.25</v>
      </c>
    </row>
    <row r="36" spans="1:22" x14ac:dyDescent="0.25">
      <c r="A36" t="s">
        <v>236</v>
      </c>
      <c r="B36" s="1">
        <v>41877</v>
      </c>
      <c r="C36" s="1">
        <v>41881</v>
      </c>
      <c r="D36" t="s">
        <v>23</v>
      </c>
      <c r="E36" t="s">
        <v>237</v>
      </c>
      <c r="F36" t="s">
        <v>238</v>
      </c>
      <c r="G36" t="s">
        <v>70</v>
      </c>
      <c r="H36" t="s">
        <v>27</v>
      </c>
      <c r="I36" t="s">
        <v>28</v>
      </c>
      <c r="J36" t="s">
        <v>29</v>
      </c>
      <c r="K36" t="s">
        <v>30</v>
      </c>
      <c r="L36" t="s">
        <v>239</v>
      </c>
      <c r="M36" t="s">
        <v>32</v>
      </c>
      <c r="N36" t="s">
        <v>51</v>
      </c>
      <c r="O36" t="s">
        <v>240</v>
      </c>
      <c r="P36">
        <v>176.8</v>
      </c>
      <c r="Q36">
        <v>8</v>
      </c>
      <c r="R36">
        <v>22.984000000000002</v>
      </c>
      <c r="S36" s="3" t="s">
        <v>53</v>
      </c>
      <c r="T36">
        <v>2014</v>
      </c>
      <c r="U36" t="s">
        <v>46</v>
      </c>
      <c r="V36" s="2">
        <v>0.13</v>
      </c>
    </row>
    <row r="37" spans="1:22" x14ac:dyDescent="0.25">
      <c r="A37" t="s">
        <v>241</v>
      </c>
      <c r="B37" s="1">
        <v>42289</v>
      </c>
      <c r="C37" s="1">
        <v>42291</v>
      </c>
      <c r="D37" t="s">
        <v>56</v>
      </c>
      <c r="E37" t="s">
        <v>242</v>
      </c>
      <c r="F37" t="s">
        <v>243</v>
      </c>
      <c r="G37" t="s">
        <v>70</v>
      </c>
      <c r="H37" t="s">
        <v>27</v>
      </c>
      <c r="I37" t="s">
        <v>103</v>
      </c>
      <c r="J37" t="s">
        <v>104</v>
      </c>
      <c r="K37" t="s">
        <v>95</v>
      </c>
      <c r="L37" t="s">
        <v>244</v>
      </c>
      <c r="M37" t="s">
        <v>32</v>
      </c>
      <c r="N37" t="s">
        <v>33</v>
      </c>
      <c r="O37" t="s">
        <v>245</v>
      </c>
      <c r="P37">
        <v>71.760000000000005</v>
      </c>
      <c r="Q37">
        <v>6</v>
      </c>
      <c r="R37">
        <v>20.0928</v>
      </c>
      <c r="S37" s="3" t="s">
        <v>65</v>
      </c>
      <c r="T37">
        <v>2015</v>
      </c>
      <c r="U37" t="s">
        <v>133</v>
      </c>
      <c r="V37" s="2">
        <v>0.28000000000000003</v>
      </c>
    </row>
    <row r="38" spans="1:22" x14ac:dyDescent="0.25">
      <c r="A38" t="s">
        <v>246</v>
      </c>
      <c r="B38" s="1">
        <v>43078</v>
      </c>
      <c r="C38" s="1">
        <v>43083</v>
      </c>
      <c r="D38" t="s">
        <v>23</v>
      </c>
      <c r="E38" t="s">
        <v>247</v>
      </c>
      <c r="F38" t="s">
        <v>248</v>
      </c>
      <c r="G38" t="s">
        <v>26</v>
      </c>
      <c r="H38" t="s">
        <v>27</v>
      </c>
      <c r="I38" t="s">
        <v>249</v>
      </c>
      <c r="J38" t="s">
        <v>29</v>
      </c>
      <c r="K38" t="s">
        <v>30</v>
      </c>
      <c r="L38" t="s">
        <v>250</v>
      </c>
      <c r="M38" t="s">
        <v>32</v>
      </c>
      <c r="N38" t="s">
        <v>33</v>
      </c>
      <c r="O38" t="s">
        <v>251</v>
      </c>
      <c r="P38">
        <v>444.76799999999997</v>
      </c>
      <c r="Q38">
        <v>4</v>
      </c>
      <c r="R38">
        <v>44.476799999999997</v>
      </c>
      <c r="S38" s="3" t="s">
        <v>35</v>
      </c>
      <c r="T38">
        <v>2017</v>
      </c>
      <c r="U38" t="s">
        <v>66</v>
      </c>
      <c r="V38" s="2">
        <v>0.1</v>
      </c>
    </row>
    <row r="39" spans="1:22" x14ac:dyDescent="0.25">
      <c r="A39" t="s">
        <v>252</v>
      </c>
      <c r="B39" s="1">
        <v>43070</v>
      </c>
      <c r="C39" s="1">
        <v>43076</v>
      </c>
      <c r="D39" t="s">
        <v>23</v>
      </c>
      <c r="E39" t="s">
        <v>253</v>
      </c>
      <c r="F39" t="s">
        <v>254</v>
      </c>
      <c r="G39" t="s">
        <v>26</v>
      </c>
      <c r="H39" t="s">
        <v>27</v>
      </c>
      <c r="I39" t="s">
        <v>255</v>
      </c>
      <c r="J39" t="s">
        <v>256</v>
      </c>
      <c r="K39" t="s">
        <v>62</v>
      </c>
      <c r="L39" t="s">
        <v>257</v>
      </c>
      <c r="M39" t="s">
        <v>32</v>
      </c>
      <c r="N39" t="s">
        <v>33</v>
      </c>
      <c r="O39" t="s">
        <v>258</v>
      </c>
      <c r="P39">
        <v>131.97999999999999</v>
      </c>
      <c r="Q39">
        <v>2</v>
      </c>
      <c r="R39">
        <v>35.634599999999999</v>
      </c>
      <c r="S39" s="3" t="s">
        <v>107</v>
      </c>
      <c r="T39">
        <v>2017</v>
      </c>
      <c r="U39" t="s">
        <v>66</v>
      </c>
      <c r="V39" s="2">
        <v>0.27</v>
      </c>
    </row>
    <row r="40" spans="1:22" x14ac:dyDescent="0.25">
      <c r="A40" t="s">
        <v>259</v>
      </c>
      <c r="B40" s="1">
        <v>42044</v>
      </c>
      <c r="C40" s="1">
        <v>42048</v>
      </c>
      <c r="D40" t="s">
        <v>40</v>
      </c>
      <c r="E40" t="s">
        <v>260</v>
      </c>
      <c r="F40" t="s">
        <v>261</v>
      </c>
      <c r="G40" t="s">
        <v>59</v>
      </c>
      <c r="H40" t="s">
        <v>27</v>
      </c>
      <c r="I40" t="s">
        <v>262</v>
      </c>
      <c r="J40" t="s">
        <v>61</v>
      </c>
      <c r="K40" t="s">
        <v>62</v>
      </c>
      <c r="L40" t="s">
        <v>263</v>
      </c>
      <c r="M40" t="s">
        <v>32</v>
      </c>
      <c r="N40" t="s">
        <v>51</v>
      </c>
      <c r="O40" t="s">
        <v>264</v>
      </c>
      <c r="P40">
        <v>20.8</v>
      </c>
      <c r="Q40">
        <v>2</v>
      </c>
      <c r="R40">
        <v>6.5</v>
      </c>
      <c r="S40" s="3" t="s">
        <v>53</v>
      </c>
      <c r="T40">
        <v>2015</v>
      </c>
      <c r="U40" t="s">
        <v>180</v>
      </c>
      <c r="V40" s="2">
        <v>0.3125</v>
      </c>
    </row>
    <row r="41" spans="1:22" x14ac:dyDescent="0.25">
      <c r="A41" t="s">
        <v>265</v>
      </c>
      <c r="B41" s="1">
        <v>42006</v>
      </c>
      <c r="C41" s="1">
        <v>42013</v>
      </c>
      <c r="D41" t="s">
        <v>23</v>
      </c>
      <c r="E41" t="s">
        <v>266</v>
      </c>
      <c r="F41" t="s">
        <v>267</v>
      </c>
      <c r="G41" t="s">
        <v>59</v>
      </c>
      <c r="H41" t="s">
        <v>27</v>
      </c>
      <c r="I41" t="s">
        <v>268</v>
      </c>
      <c r="J41" t="s">
        <v>177</v>
      </c>
      <c r="K41" t="s">
        <v>95</v>
      </c>
      <c r="L41" t="s">
        <v>158</v>
      </c>
      <c r="M41" t="s">
        <v>32</v>
      </c>
      <c r="N41" t="s">
        <v>33</v>
      </c>
      <c r="O41" t="s">
        <v>159</v>
      </c>
      <c r="P41">
        <v>62.981999999999999</v>
      </c>
      <c r="Q41">
        <v>3</v>
      </c>
      <c r="R41">
        <v>-14.6958</v>
      </c>
      <c r="S41" s="3" t="s">
        <v>132</v>
      </c>
      <c r="T41">
        <v>2015</v>
      </c>
      <c r="U41" t="s">
        <v>54</v>
      </c>
      <c r="V41" s="2">
        <v>-0.233333333333333</v>
      </c>
    </row>
    <row r="42" spans="1:22" x14ac:dyDescent="0.25">
      <c r="A42" t="s">
        <v>265</v>
      </c>
      <c r="B42" s="1">
        <v>42006</v>
      </c>
      <c r="C42" s="1">
        <v>42013</v>
      </c>
      <c r="D42" t="s">
        <v>23</v>
      </c>
      <c r="E42" t="s">
        <v>266</v>
      </c>
      <c r="F42" t="s">
        <v>267</v>
      </c>
      <c r="G42" t="s">
        <v>59</v>
      </c>
      <c r="H42" t="s">
        <v>27</v>
      </c>
      <c r="I42" t="s">
        <v>268</v>
      </c>
      <c r="J42" t="s">
        <v>177</v>
      </c>
      <c r="K42" t="s">
        <v>95</v>
      </c>
      <c r="L42" t="s">
        <v>269</v>
      </c>
      <c r="M42" t="s">
        <v>32</v>
      </c>
      <c r="N42" t="s">
        <v>215</v>
      </c>
      <c r="O42" t="s">
        <v>270</v>
      </c>
      <c r="P42">
        <v>1188</v>
      </c>
      <c r="Q42">
        <v>9</v>
      </c>
      <c r="R42">
        <v>-950.4</v>
      </c>
      <c r="S42" s="3" t="s">
        <v>132</v>
      </c>
      <c r="T42">
        <v>2015</v>
      </c>
      <c r="U42" t="s">
        <v>54</v>
      </c>
      <c r="V42" s="2">
        <v>-0.8</v>
      </c>
    </row>
    <row r="43" spans="1:22" x14ac:dyDescent="0.25">
      <c r="A43" t="s">
        <v>265</v>
      </c>
      <c r="B43" s="1">
        <v>42006</v>
      </c>
      <c r="C43" s="1">
        <v>42013</v>
      </c>
      <c r="D43" t="s">
        <v>23</v>
      </c>
      <c r="E43" t="s">
        <v>266</v>
      </c>
      <c r="F43" t="s">
        <v>267</v>
      </c>
      <c r="G43" t="s">
        <v>59</v>
      </c>
      <c r="H43" t="s">
        <v>27</v>
      </c>
      <c r="I43" t="s">
        <v>268</v>
      </c>
      <c r="J43" t="s">
        <v>177</v>
      </c>
      <c r="K43" t="s">
        <v>95</v>
      </c>
      <c r="L43" t="s">
        <v>271</v>
      </c>
      <c r="M43" t="s">
        <v>32</v>
      </c>
      <c r="N43" t="s">
        <v>51</v>
      </c>
      <c r="O43" t="s">
        <v>272</v>
      </c>
      <c r="P43">
        <v>89.584000000000003</v>
      </c>
      <c r="Q43">
        <v>2</v>
      </c>
      <c r="R43">
        <v>4.4791999999999996</v>
      </c>
      <c r="S43" s="3" t="s">
        <v>132</v>
      </c>
      <c r="T43">
        <v>2015</v>
      </c>
      <c r="U43" t="s">
        <v>54</v>
      </c>
      <c r="V43" s="2">
        <v>0.05</v>
      </c>
    </row>
    <row r="44" spans="1:22" x14ac:dyDescent="0.25">
      <c r="A44" t="s">
        <v>273</v>
      </c>
      <c r="B44" s="1">
        <v>42671</v>
      </c>
      <c r="C44" s="1">
        <v>42675</v>
      </c>
      <c r="D44" t="s">
        <v>23</v>
      </c>
      <c r="E44" t="s">
        <v>274</v>
      </c>
      <c r="F44" t="s">
        <v>275</v>
      </c>
      <c r="G44" t="s">
        <v>26</v>
      </c>
      <c r="H44" t="s">
        <v>27</v>
      </c>
      <c r="I44" t="s">
        <v>28</v>
      </c>
      <c r="J44" t="s">
        <v>29</v>
      </c>
      <c r="K44" t="s">
        <v>30</v>
      </c>
      <c r="L44" t="s">
        <v>276</v>
      </c>
      <c r="M44" t="s">
        <v>32</v>
      </c>
      <c r="N44" t="s">
        <v>33</v>
      </c>
      <c r="O44" t="s">
        <v>277</v>
      </c>
      <c r="P44">
        <v>302.37599999999998</v>
      </c>
      <c r="Q44">
        <v>3</v>
      </c>
      <c r="R44">
        <v>22.6782</v>
      </c>
      <c r="S44" s="3" t="s">
        <v>53</v>
      </c>
      <c r="T44">
        <v>2016</v>
      </c>
      <c r="U44" t="s">
        <v>133</v>
      </c>
      <c r="V44" s="2">
        <v>7.4999999999999997E-2</v>
      </c>
    </row>
    <row r="45" spans="1:22" x14ac:dyDescent="0.25">
      <c r="A45" t="s">
        <v>278</v>
      </c>
      <c r="B45" s="1">
        <v>42362</v>
      </c>
      <c r="C45" s="1">
        <v>42365</v>
      </c>
      <c r="D45" t="s">
        <v>56</v>
      </c>
      <c r="E45" t="s">
        <v>279</v>
      </c>
      <c r="F45" t="s">
        <v>280</v>
      </c>
      <c r="G45" t="s">
        <v>26</v>
      </c>
      <c r="H45" t="s">
        <v>27</v>
      </c>
      <c r="I45" t="s">
        <v>281</v>
      </c>
      <c r="J45" t="s">
        <v>177</v>
      </c>
      <c r="K45" t="s">
        <v>95</v>
      </c>
      <c r="L45" t="s">
        <v>282</v>
      </c>
      <c r="M45" t="s">
        <v>32</v>
      </c>
      <c r="N45" t="s">
        <v>215</v>
      </c>
      <c r="O45" t="s">
        <v>283</v>
      </c>
      <c r="P45">
        <v>479.988</v>
      </c>
      <c r="Q45">
        <v>4</v>
      </c>
      <c r="R45">
        <v>-383.99040000000002</v>
      </c>
      <c r="S45" s="3" t="s">
        <v>172</v>
      </c>
      <c r="T45">
        <v>2015</v>
      </c>
      <c r="U45" t="s">
        <v>66</v>
      </c>
      <c r="V45" s="2">
        <v>-0.8</v>
      </c>
    </row>
    <row r="46" spans="1:22" x14ac:dyDescent="0.25">
      <c r="A46" t="s">
        <v>284</v>
      </c>
      <c r="B46" s="1">
        <v>42832</v>
      </c>
      <c r="C46" s="1">
        <v>42837</v>
      </c>
      <c r="D46" t="s">
        <v>23</v>
      </c>
      <c r="E46" t="s">
        <v>285</v>
      </c>
      <c r="F46" t="s">
        <v>286</v>
      </c>
      <c r="G46" t="s">
        <v>70</v>
      </c>
      <c r="H46" t="s">
        <v>27</v>
      </c>
      <c r="I46" t="s">
        <v>287</v>
      </c>
      <c r="J46" t="s">
        <v>288</v>
      </c>
      <c r="K46" t="s">
        <v>155</v>
      </c>
      <c r="L46" t="s">
        <v>289</v>
      </c>
      <c r="M46" t="s">
        <v>32</v>
      </c>
      <c r="N46" t="s">
        <v>51</v>
      </c>
      <c r="O46" t="s">
        <v>290</v>
      </c>
      <c r="P46">
        <v>617.976</v>
      </c>
      <c r="Q46">
        <v>3</v>
      </c>
      <c r="R46">
        <v>-7.7247000000000003</v>
      </c>
      <c r="S46" s="3" t="s">
        <v>35</v>
      </c>
      <c r="T46">
        <v>2017</v>
      </c>
      <c r="U46" t="s">
        <v>291</v>
      </c>
      <c r="V46" s="2">
        <v>-1.2500000000000001E-2</v>
      </c>
    </row>
    <row r="47" spans="1:22" x14ac:dyDescent="0.25">
      <c r="A47" t="s">
        <v>292</v>
      </c>
      <c r="B47" s="1">
        <v>42525</v>
      </c>
      <c r="C47" s="1">
        <v>42530</v>
      </c>
      <c r="D47" t="s">
        <v>40</v>
      </c>
      <c r="E47" t="s">
        <v>293</v>
      </c>
      <c r="F47" t="s">
        <v>294</v>
      </c>
      <c r="G47" t="s">
        <v>26</v>
      </c>
      <c r="H47" t="s">
        <v>27</v>
      </c>
      <c r="I47" t="s">
        <v>140</v>
      </c>
      <c r="J47" t="s">
        <v>78</v>
      </c>
      <c r="K47" t="s">
        <v>62</v>
      </c>
      <c r="L47" t="s">
        <v>295</v>
      </c>
      <c r="M47" t="s">
        <v>32</v>
      </c>
      <c r="N47" t="s">
        <v>33</v>
      </c>
      <c r="O47" t="s">
        <v>296</v>
      </c>
      <c r="P47">
        <v>31.984000000000002</v>
      </c>
      <c r="Q47">
        <v>2</v>
      </c>
      <c r="R47">
        <v>11.1944</v>
      </c>
      <c r="S47" s="3" t="s">
        <v>35</v>
      </c>
      <c r="T47">
        <v>2016</v>
      </c>
      <c r="U47" t="s">
        <v>36</v>
      </c>
      <c r="V47" s="2">
        <v>0.35</v>
      </c>
    </row>
    <row r="48" spans="1:22" x14ac:dyDescent="0.25">
      <c r="A48" t="s">
        <v>297</v>
      </c>
      <c r="B48" s="1">
        <v>42624</v>
      </c>
      <c r="C48" s="1">
        <v>42630</v>
      </c>
      <c r="D48" t="s">
        <v>23</v>
      </c>
      <c r="E48" t="s">
        <v>298</v>
      </c>
      <c r="F48" t="s">
        <v>299</v>
      </c>
      <c r="G48" t="s">
        <v>26</v>
      </c>
      <c r="H48" t="s">
        <v>27</v>
      </c>
      <c r="I48" t="s">
        <v>300</v>
      </c>
      <c r="J48" t="s">
        <v>29</v>
      </c>
      <c r="K48" t="s">
        <v>30</v>
      </c>
      <c r="L48" t="s">
        <v>289</v>
      </c>
      <c r="M48" t="s">
        <v>32</v>
      </c>
      <c r="N48" t="s">
        <v>51</v>
      </c>
      <c r="O48" t="s">
        <v>290</v>
      </c>
      <c r="P48">
        <v>3347.37</v>
      </c>
      <c r="Q48">
        <v>13</v>
      </c>
      <c r="R48">
        <v>636.00030000000004</v>
      </c>
      <c r="S48" s="3" t="s">
        <v>107</v>
      </c>
      <c r="T48">
        <v>2016</v>
      </c>
      <c r="U48" t="s">
        <v>81</v>
      </c>
      <c r="V48" s="2">
        <v>0.19</v>
      </c>
    </row>
    <row r="49" spans="1:22" x14ac:dyDescent="0.25">
      <c r="A49" t="s">
        <v>301</v>
      </c>
      <c r="B49" s="1">
        <v>42336</v>
      </c>
      <c r="C49" s="1">
        <v>42342</v>
      </c>
      <c r="D49" t="s">
        <v>23</v>
      </c>
      <c r="E49" t="s">
        <v>302</v>
      </c>
      <c r="F49" t="s">
        <v>303</v>
      </c>
      <c r="G49" t="s">
        <v>59</v>
      </c>
      <c r="H49" t="s">
        <v>27</v>
      </c>
      <c r="I49" t="s">
        <v>140</v>
      </c>
      <c r="J49" t="s">
        <v>78</v>
      </c>
      <c r="K49" t="s">
        <v>62</v>
      </c>
      <c r="L49" t="s">
        <v>304</v>
      </c>
      <c r="M49" t="s">
        <v>32</v>
      </c>
      <c r="N49" t="s">
        <v>33</v>
      </c>
      <c r="O49" t="s">
        <v>305</v>
      </c>
      <c r="P49">
        <v>647.904</v>
      </c>
      <c r="Q49">
        <v>6</v>
      </c>
      <c r="R49">
        <v>56.691600000000001</v>
      </c>
      <c r="S49" s="3" t="s">
        <v>107</v>
      </c>
      <c r="T49">
        <v>2015</v>
      </c>
      <c r="U49" t="s">
        <v>118</v>
      </c>
      <c r="V49" s="2">
        <v>8.7499999999999994E-2</v>
      </c>
    </row>
    <row r="50" spans="1:22" x14ac:dyDescent="0.25">
      <c r="A50" t="s">
        <v>306</v>
      </c>
      <c r="B50" s="1">
        <v>43070</v>
      </c>
      <c r="C50" s="1">
        <v>43072</v>
      </c>
      <c r="D50" t="s">
        <v>40</v>
      </c>
      <c r="E50" t="s">
        <v>307</v>
      </c>
      <c r="F50" t="s">
        <v>308</v>
      </c>
      <c r="G50" t="s">
        <v>26</v>
      </c>
      <c r="H50" t="s">
        <v>27</v>
      </c>
      <c r="I50" t="s">
        <v>103</v>
      </c>
      <c r="J50" t="s">
        <v>104</v>
      </c>
      <c r="K50" t="s">
        <v>95</v>
      </c>
      <c r="L50" t="s">
        <v>309</v>
      </c>
      <c r="M50" t="s">
        <v>32</v>
      </c>
      <c r="N50" t="s">
        <v>51</v>
      </c>
      <c r="O50" t="s">
        <v>310</v>
      </c>
      <c r="P50">
        <v>20.37</v>
      </c>
      <c r="Q50">
        <v>3</v>
      </c>
      <c r="R50">
        <v>6.9257999999999997</v>
      </c>
      <c r="S50" s="3" t="s">
        <v>65</v>
      </c>
      <c r="T50">
        <v>2017</v>
      </c>
      <c r="U50" t="s">
        <v>66</v>
      </c>
      <c r="V50" s="2">
        <v>0.34</v>
      </c>
    </row>
    <row r="51" spans="1:22" x14ac:dyDescent="0.25">
      <c r="A51" t="s">
        <v>311</v>
      </c>
      <c r="B51" s="1">
        <v>41901</v>
      </c>
      <c r="C51" s="1">
        <v>41903</v>
      </c>
      <c r="D51" t="s">
        <v>40</v>
      </c>
      <c r="E51" t="s">
        <v>312</v>
      </c>
      <c r="F51" t="s">
        <v>313</v>
      </c>
      <c r="G51" t="s">
        <v>59</v>
      </c>
      <c r="H51" t="s">
        <v>27</v>
      </c>
      <c r="I51" t="s">
        <v>71</v>
      </c>
      <c r="J51" t="s">
        <v>61</v>
      </c>
      <c r="K51" t="s">
        <v>62</v>
      </c>
      <c r="L51" t="s">
        <v>214</v>
      </c>
      <c r="M51" t="s">
        <v>32</v>
      </c>
      <c r="N51" t="s">
        <v>215</v>
      </c>
      <c r="O51" t="s">
        <v>216</v>
      </c>
      <c r="P51">
        <v>3059.982</v>
      </c>
      <c r="Q51">
        <v>3</v>
      </c>
      <c r="R51">
        <v>-509.99700000000001</v>
      </c>
      <c r="S51" s="3" t="s">
        <v>65</v>
      </c>
      <c r="T51">
        <v>2014</v>
      </c>
      <c r="U51" t="s">
        <v>81</v>
      </c>
      <c r="V51" s="2">
        <v>-0.16666666666666699</v>
      </c>
    </row>
    <row r="52" spans="1:22" x14ac:dyDescent="0.25">
      <c r="A52" t="s">
        <v>311</v>
      </c>
      <c r="B52" s="1">
        <v>41901</v>
      </c>
      <c r="C52" s="1">
        <v>41903</v>
      </c>
      <c r="D52" t="s">
        <v>40</v>
      </c>
      <c r="E52" t="s">
        <v>312</v>
      </c>
      <c r="F52" t="s">
        <v>313</v>
      </c>
      <c r="G52" t="s">
        <v>59</v>
      </c>
      <c r="H52" t="s">
        <v>27</v>
      </c>
      <c r="I52" t="s">
        <v>71</v>
      </c>
      <c r="J52" t="s">
        <v>61</v>
      </c>
      <c r="K52" t="s">
        <v>62</v>
      </c>
      <c r="L52" t="s">
        <v>314</v>
      </c>
      <c r="M52" t="s">
        <v>32</v>
      </c>
      <c r="N52" t="s">
        <v>215</v>
      </c>
      <c r="O52" t="s">
        <v>315</v>
      </c>
      <c r="P52">
        <v>2519.9580000000001</v>
      </c>
      <c r="Q52">
        <v>7</v>
      </c>
      <c r="R52">
        <v>-251.9958</v>
      </c>
      <c r="S52" s="3" t="s">
        <v>65</v>
      </c>
      <c r="T52">
        <v>2014</v>
      </c>
      <c r="U52" t="s">
        <v>81</v>
      </c>
      <c r="V52" s="2">
        <v>-0.1</v>
      </c>
    </row>
    <row r="53" spans="1:22" x14ac:dyDescent="0.25">
      <c r="A53" t="s">
        <v>316</v>
      </c>
      <c r="B53" s="1">
        <v>42527</v>
      </c>
      <c r="C53" s="1">
        <v>42534</v>
      </c>
      <c r="D53" t="s">
        <v>23</v>
      </c>
      <c r="E53" t="s">
        <v>317</v>
      </c>
      <c r="F53" t="s">
        <v>318</v>
      </c>
      <c r="G53" t="s">
        <v>26</v>
      </c>
      <c r="H53" t="s">
        <v>27</v>
      </c>
      <c r="I53" t="s">
        <v>140</v>
      </c>
      <c r="J53" t="s">
        <v>78</v>
      </c>
      <c r="K53" t="s">
        <v>62</v>
      </c>
      <c r="L53" t="s">
        <v>319</v>
      </c>
      <c r="M53" t="s">
        <v>32</v>
      </c>
      <c r="N53" t="s">
        <v>33</v>
      </c>
      <c r="O53" t="s">
        <v>320</v>
      </c>
      <c r="P53">
        <v>328.22399999999999</v>
      </c>
      <c r="Q53">
        <v>4</v>
      </c>
      <c r="R53">
        <v>28.7196</v>
      </c>
      <c r="S53" s="3" t="s">
        <v>132</v>
      </c>
      <c r="T53">
        <v>2016</v>
      </c>
      <c r="U53" t="s">
        <v>36</v>
      </c>
      <c r="V53" s="2">
        <v>8.7499999999999994E-2</v>
      </c>
    </row>
    <row r="54" spans="1:22" x14ac:dyDescent="0.25">
      <c r="A54" t="s">
        <v>321</v>
      </c>
      <c r="B54" s="1">
        <v>42318</v>
      </c>
      <c r="C54" s="1">
        <v>42323</v>
      </c>
      <c r="D54" t="s">
        <v>23</v>
      </c>
      <c r="E54" t="s">
        <v>322</v>
      </c>
      <c r="F54" t="s">
        <v>323</v>
      </c>
      <c r="G54" t="s">
        <v>26</v>
      </c>
      <c r="H54" t="s">
        <v>27</v>
      </c>
      <c r="I54" t="s">
        <v>324</v>
      </c>
      <c r="J54" t="s">
        <v>29</v>
      </c>
      <c r="K54" t="s">
        <v>30</v>
      </c>
      <c r="L54" t="s">
        <v>325</v>
      </c>
      <c r="M54" t="s">
        <v>32</v>
      </c>
      <c r="N54" t="s">
        <v>51</v>
      </c>
      <c r="O54" t="s">
        <v>326</v>
      </c>
      <c r="P54">
        <v>79.900000000000006</v>
      </c>
      <c r="Q54">
        <v>2</v>
      </c>
      <c r="R54">
        <v>35.155999999999999</v>
      </c>
      <c r="S54" s="3" t="s">
        <v>35</v>
      </c>
      <c r="T54">
        <v>2015</v>
      </c>
      <c r="U54" t="s">
        <v>118</v>
      </c>
      <c r="V54" s="2">
        <v>0.44</v>
      </c>
    </row>
    <row r="55" spans="1:22" x14ac:dyDescent="0.25">
      <c r="A55" t="s">
        <v>327</v>
      </c>
      <c r="B55" s="1">
        <v>42215</v>
      </c>
      <c r="C55" s="1">
        <v>42216</v>
      </c>
      <c r="D55" t="s">
        <v>56</v>
      </c>
      <c r="E55" t="s">
        <v>328</v>
      </c>
      <c r="F55" t="s">
        <v>329</v>
      </c>
      <c r="G55" t="s">
        <v>26</v>
      </c>
      <c r="H55" t="s">
        <v>27</v>
      </c>
      <c r="I55" t="s">
        <v>43</v>
      </c>
      <c r="J55" t="s">
        <v>29</v>
      </c>
      <c r="K55" t="s">
        <v>30</v>
      </c>
      <c r="L55" t="s">
        <v>330</v>
      </c>
      <c r="M55" t="s">
        <v>32</v>
      </c>
      <c r="N55" t="s">
        <v>51</v>
      </c>
      <c r="O55" t="s">
        <v>331</v>
      </c>
      <c r="P55">
        <v>209.93</v>
      </c>
      <c r="Q55">
        <v>7</v>
      </c>
      <c r="R55">
        <v>92.369200000000006</v>
      </c>
      <c r="S55" s="3" t="s">
        <v>112</v>
      </c>
      <c r="T55">
        <v>2015</v>
      </c>
      <c r="U55" t="s">
        <v>332</v>
      </c>
      <c r="V55" s="2">
        <v>0.44</v>
      </c>
    </row>
    <row r="56" spans="1:22" x14ac:dyDescent="0.25">
      <c r="A56" t="s">
        <v>333</v>
      </c>
      <c r="B56" s="1">
        <v>42273</v>
      </c>
      <c r="C56" s="1">
        <v>42275</v>
      </c>
      <c r="D56" t="s">
        <v>40</v>
      </c>
      <c r="E56" t="s">
        <v>167</v>
      </c>
      <c r="F56" t="s">
        <v>168</v>
      </c>
      <c r="G56" t="s">
        <v>26</v>
      </c>
      <c r="H56" t="s">
        <v>27</v>
      </c>
      <c r="I56" t="s">
        <v>71</v>
      </c>
      <c r="J56" t="s">
        <v>61</v>
      </c>
      <c r="K56" t="s">
        <v>62</v>
      </c>
      <c r="L56" t="s">
        <v>334</v>
      </c>
      <c r="M56" t="s">
        <v>32</v>
      </c>
      <c r="N56" t="s">
        <v>33</v>
      </c>
      <c r="O56" t="s">
        <v>335</v>
      </c>
      <c r="P56">
        <v>1114.4000000000001</v>
      </c>
      <c r="Q56">
        <v>7</v>
      </c>
      <c r="R56">
        <v>376.11</v>
      </c>
      <c r="S56" s="3" t="s">
        <v>65</v>
      </c>
      <c r="T56">
        <v>2015</v>
      </c>
      <c r="U56" t="s">
        <v>81</v>
      </c>
      <c r="V56" s="2">
        <v>0.33750000000000002</v>
      </c>
    </row>
    <row r="57" spans="1:22" x14ac:dyDescent="0.25">
      <c r="A57" t="s">
        <v>336</v>
      </c>
      <c r="B57" s="1">
        <v>42273</v>
      </c>
      <c r="C57" s="1">
        <v>42279</v>
      </c>
      <c r="D57" t="s">
        <v>23</v>
      </c>
      <c r="E57" t="s">
        <v>337</v>
      </c>
      <c r="F57" t="s">
        <v>338</v>
      </c>
      <c r="G57" t="s">
        <v>26</v>
      </c>
      <c r="H57" t="s">
        <v>27</v>
      </c>
      <c r="I57" t="s">
        <v>339</v>
      </c>
      <c r="J57" t="s">
        <v>340</v>
      </c>
      <c r="K57" t="s">
        <v>30</v>
      </c>
      <c r="L57" t="s">
        <v>341</v>
      </c>
      <c r="M57" t="s">
        <v>32</v>
      </c>
      <c r="N57" t="s">
        <v>51</v>
      </c>
      <c r="O57" t="s">
        <v>342</v>
      </c>
      <c r="P57">
        <v>239.8</v>
      </c>
      <c r="Q57">
        <v>5</v>
      </c>
      <c r="R57">
        <v>47.96</v>
      </c>
      <c r="S57" s="3" t="s">
        <v>107</v>
      </c>
      <c r="T57">
        <v>2015</v>
      </c>
      <c r="U57" t="s">
        <v>81</v>
      </c>
      <c r="V57" s="2">
        <v>0.2</v>
      </c>
    </row>
    <row r="58" spans="1:22" x14ac:dyDescent="0.25">
      <c r="A58" t="s">
        <v>343</v>
      </c>
      <c r="B58" s="1">
        <v>42694</v>
      </c>
      <c r="C58" s="1">
        <v>42698</v>
      </c>
      <c r="D58" t="s">
        <v>40</v>
      </c>
      <c r="E58" t="s">
        <v>344</v>
      </c>
      <c r="F58" t="s">
        <v>345</v>
      </c>
      <c r="G58" t="s">
        <v>70</v>
      </c>
      <c r="H58" t="s">
        <v>27</v>
      </c>
      <c r="I58" t="s">
        <v>176</v>
      </c>
      <c r="J58" t="s">
        <v>177</v>
      </c>
      <c r="K58" t="s">
        <v>95</v>
      </c>
      <c r="L58" t="s">
        <v>346</v>
      </c>
      <c r="M58" t="s">
        <v>32</v>
      </c>
      <c r="N58" t="s">
        <v>51</v>
      </c>
      <c r="O58" t="s">
        <v>347</v>
      </c>
      <c r="P58">
        <v>255.98400000000001</v>
      </c>
      <c r="Q58">
        <v>2</v>
      </c>
      <c r="R58">
        <v>54.396599999999999</v>
      </c>
      <c r="S58" s="3" t="s">
        <v>53</v>
      </c>
      <c r="T58">
        <v>2016</v>
      </c>
      <c r="U58" t="s">
        <v>118</v>
      </c>
      <c r="V58" s="2">
        <v>0.21249999999999999</v>
      </c>
    </row>
    <row r="59" spans="1:22" x14ac:dyDescent="0.25">
      <c r="A59" t="s">
        <v>348</v>
      </c>
      <c r="B59" s="1">
        <v>41860</v>
      </c>
      <c r="C59" s="1">
        <v>41867</v>
      </c>
      <c r="D59" t="s">
        <v>23</v>
      </c>
      <c r="E59" t="s">
        <v>349</v>
      </c>
      <c r="F59" t="s">
        <v>350</v>
      </c>
      <c r="G59" t="s">
        <v>59</v>
      </c>
      <c r="H59" t="s">
        <v>27</v>
      </c>
      <c r="I59" t="s">
        <v>351</v>
      </c>
      <c r="J59" t="s">
        <v>288</v>
      </c>
      <c r="K59" t="s">
        <v>155</v>
      </c>
      <c r="L59" t="s">
        <v>352</v>
      </c>
      <c r="M59" t="s">
        <v>32</v>
      </c>
      <c r="N59" t="s">
        <v>33</v>
      </c>
      <c r="O59" t="s">
        <v>353</v>
      </c>
      <c r="P59">
        <v>178.38399999999999</v>
      </c>
      <c r="Q59">
        <v>2</v>
      </c>
      <c r="R59">
        <v>22.297999999999998</v>
      </c>
      <c r="S59" s="3" t="s">
        <v>132</v>
      </c>
      <c r="T59">
        <v>2014</v>
      </c>
      <c r="U59" t="s">
        <v>46</v>
      </c>
      <c r="V59" s="2">
        <v>0.125</v>
      </c>
    </row>
    <row r="60" spans="1:22" x14ac:dyDescent="0.25">
      <c r="A60" t="s">
        <v>354</v>
      </c>
      <c r="B60" s="1">
        <v>41947</v>
      </c>
      <c r="C60" s="1">
        <v>41952</v>
      </c>
      <c r="D60" t="s">
        <v>23</v>
      </c>
      <c r="E60" t="s">
        <v>355</v>
      </c>
      <c r="F60" t="s">
        <v>356</v>
      </c>
      <c r="G60" t="s">
        <v>70</v>
      </c>
      <c r="H60" t="s">
        <v>27</v>
      </c>
      <c r="I60" t="s">
        <v>103</v>
      </c>
      <c r="J60" t="s">
        <v>104</v>
      </c>
      <c r="K60" t="s">
        <v>95</v>
      </c>
      <c r="L60" t="s">
        <v>357</v>
      </c>
      <c r="M60" t="s">
        <v>32</v>
      </c>
      <c r="N60" t="s">
        <v>215</v>
      </c>
      <c r="O60" t="s">
        <v>358</v>
      </c>
      <c r="P60">
        <v>3991.98</v>
      </c>
      <c r="Q60">
        <v>2</v>
      </c>
      <c r="R60">
        <v>1995.99</v>
      </c>
      <c r="S60" s="3" t="s">
        <v>35</v>
      </c>
      <c r="T60">
        <v>2014</v>
      </c>
      <c r="U60" t="s">
        <v>118</v>
      </c>
      <c r="V60" s="2">
        <v>0.5</v>
      </c>
    </row>
    <row r="61" spans="1:22" x14ac:dyDescent="0.25">
      <c r="A61" t="s">
        <v>354</v>
      </c>
      <c r="B61" s="1">
        <v>41947</v>
      </c>
      <c r="C61" s="1">
        <v>41952</v>
      </c>
      <c r="D61" t="s">
        <v>23</v>
      </c>
      <c r="E61" t="s">
        <v>355</v>
      </c>
      <c r="F61" t="s">
        <v>356</v>
      </c>
      <c r="G61" t="s">
        <v>70</v>
      </c>
      <c r="H61" t="s">
        <v>27</v>
      </c>
      <c r="I61" t="s">
        <v>103</v>
      </c>
      <c r="J61" t="s">
        <v>104</v>
      </c>
      <c r="K61" t="s">
        <v>95</v>
      </c>
      <c r="L61" t="s">
        <v>79</v>
      </c>
      <c r="M61" t="s">
        <v>32</v>
      </c>
      <c r="N61" t="s">
        <v>33</v>
      </c>
      <c r="O61" t="s">
        <v>80</v>
      </c>
      <c r="P61">
        <v>275.94</v>
      </c>
      <c r="Q61">
        <v>6</v>
      </c>
      <c r="R61">
        <v>80.022599999999997</v>
      </c>
      <c r="S61" s="3" t="s">
        <v>35</v>
      </c>
      <c r="T61">
        <v>2014</v>
      </c>
      <c r="U61" t="s">
        <v>118</v>
      </c>
      <c r="V61" s="2">
        <v>0.28999999999999998</v>
      </c>
    </row>
    <row r="62" spans="1:22" x14ac:dyDescent="0.25">
      <c r="A62" t="s">
        <v>354</v>
      </c>
      <c r="B62" s="1">
        <v>41947</v>
      </c>
      <c r="C62" s="1">
        <v>41952</v>
      </c>
      <c r="D62" t="s">
        <v>23</v>
      </c>
      <c r="E62" t="s">
        <v>355</v>
      </c>
      <c r="F62" t="s">
        <v>356</v>
      </c>
      <c r="G62" t="s">
        <v>70</v>
      </c>
      <c r="H62" t="s">
        <v>27</v>
      </c>
      <c r="I62" t="s">
        <v>103</v>
      </c>
      <c r="J62" t="s">
        <v>104</v>
      </c>
      <c r="K62" t="s">
        <v>95</v>
      </c>
      <c r="L62" t="s">
        <v>359</v>
      </c>
      <c r="M62" t="s">
        <v>32</v>
      </c>
      <c r="N62" t="s">
        <v>51</v>
      </c>
      <c r="O62" t="s">
        <v>360</v>
      </c>
      <c r="P62">
        <v>360</v>
      </c>
      <c r="Q62">
        <v>4</v>
      </c>
      <c r="R62">
        <v>129.6</v>
      </c>
      <c r="S62" s="3" t="s">
        <v>35</v>
      </c>
      <c r="T62">
        <v>2014</v>
      </c>
      <c r="U62" t="s">
        <v>118</v>
      </c>
      <c r="V62" s="2">
        <v>0.36</v>
      </c>
    </row>
    <row r="63" spans="1:22" x14ac:dyDescent="0.25">
      <c r="A63" t="s">
        <v>361</v>
      </c>
      <c r="B63" s="1">
        <v>42483</v>
      </c>
      <c r="C63" s="1">
        <v>42487</v>
      </c>
      <c r="D63" t="s">
        <v>23</v>
      </c>
      <c r="E63" t="s">
        <v>362</v>
      </c>
      <c r="F63" t="s">
        <v>363</v>
      </c>
      <c r="G63" t="s">
        <v>59</v>
      </c>
      <c r="H63" t="s">
        <v>27</v>
      </c>
      <c r="I63" t="s">
        <v>364</v>
      </c>
      <c r="J63" t="s">
        <v>29</v>
      </c>
      <c r="K63" t="s">
        <v>30</v>
      </c>
      <c r="L63" t="s">
        <v>365</v>
      </c>
      <c r="M63" t="s">
        <v>32</v>
      </c>
      <c r="N63" t="s">
        <v>51</v>
      </c>
      <c r="O63" t="s">
        <v>366</v>
      </c>
      <c r="P63">
        <v>99.99</v>
      </c>
      <c r="Q63">
        <v>1</v>
      </c>
      <c r="R63">
        <v>34.996499999999997</v>
      </c>
      <c r="S63" s="3" t="s">
        <v>53</v>
      </c>
      <c r="T63">
        <v>2016</v>
      </c>
      <c r="U63" t="s">
        <v>291</v>
      </c>
      <c r="V63" s="2">
        <v>0.35</v>
      </c>
    </row>
    <row r="64" spans="1:22" x14ac:dyDescent="0.25">
      <c r="A64" t="s">
        <v>367</v>
      </c>
      <c r="B64" s="1">
        <v>42612</v>
      </c>
      <c r="C64" s="1">
        <v>42614</v>
      </c>
      <c r="D64" t="s">
        <v>56</v>
      </c>
      <c r="E64" t="s">
        <v>368</v>
      </c>
      <c r="F64" t="s">
        <v>369</v>
      </c>
      <c r="G64" t="s">
        <v>26</v>
      </c>
      <c r="H64" t="s">
        <v>27</v>
      </c>
      <c r="I64" t="s">
        <v>206</v>
      </c>
      <c r="J64" t="s">
        <v>207</v>
      </c>
      <c r="K64" t="s">
        <v>95</v>
      </c>
      <c r="L64" t="s">
        <v>370</v>
      </c>
      <c r="M64" t="s">
        <v>32</v>
      </c>
      <c r="N64" t="s">
        <v>33</v>
      </c>
      <c r="O64" t="s">
        <v>371</v>
      </c>
      <c r="P64">
        <v>290.89800000000002</v>
      </c>
      <c r="Q64">
        <v>3</v>
      </c>
      <c r="R64">
        <v>-67.876199999999997</v>
      </c>
      <c r="S64" s="3" t="s">
        <v>65</v>
      </c>
      <c r="T64">
        <v>2016</v>
      </c>
      <c r="U64" t="s">
        <v>46</v>
      </c>
      <c r="V64" s="2">
        <v>-0.233333333333333</v>
      </c>
    </row>
    <row r="65" spans="1:22" x14ac:dyDescent="0.25">
      <c r="A65" t="s">
        <v>372</v>
      </c>
      <c r="B65" s="1">
        <v>42485</v>
      </c>
      <c r="C65" s="1">
        <v>42489</v>
      </c>
      <c r="D65" t="s">
        <v>40</v>
      </c>
      <c r="E65" t="s">
        <v>373</v>
      </c>
      <c r="F65" t="s">
        <v>374</v>
      </c>
      <c r="G65" t="s">
        <v>26</v>
      </c>
      <c r="H65" t="s">
        <v>27</v>
      </c>
      <c r="I65" t="s">
        <v>206</v>
      </c>
      <c r="J65" t="s">
        <v>207</v>
      </c>
      <c r="K65" t="s">
        <v>95</v>
      </c>
      <c r="L65" t="s">
        <v>375</v>
      </c>
      <c r="M65" t="s">
        <v>32</v>
      </c>
      <c r="N65" t="s">
        <v>33</v>
      </c>
      <c r="O65" t="s">
        <v>376</v>
      </c>
      <c r="P65">
        <v>82.8</v>
      </c>
      <c r="Q65">
        <v>2</v>
      </c>
      <c r="R65">
        <v>-20.7</v>
      </c>
      <c r="S65" s="3" t="s">
        <v>53</v>
      </c>
      <c r="T65">
        <v>2016</v>
      </c>
      <c r="U65" t="s">
        <v>291</v>
      </c>
      <c r="V65" s="2">
        <v>-0.25</v>
      </c>
    </row>
    <row r="66" spans="1:22" x14ac:dyDescent="0.25">
      <c r="A66" t="s">
        <v>377</v>
      </c>
      <c r="B66" s="1">
        <v>42248</v>
      </c>
      <c r="C66" s="1">
        <v>42251</v>
      </c>
      <c r="D66" t="s">
        <v>40</v>
      </c>
      <c r="E66" t="s">
        <v>378</v>
      </c>
      <c r="F66" t="s">
        <v>379</v>
      </c>
      <c r="G66" t="s">
        <v>26</v>
      </c>
      <c r="H66" t="s">
        <v>27</v>
      </c>
      <c r="I66" t="s">
        <v>28</v>
      </c>
      <c r="J66" t="s">
        <v>29</v>
      </c>
      <c r="K66" t="s">
        <v>30</v>
      </c>
      <c r="L66" t="s">
        <v>380</v>
      </c>
      <c r="M66" t="s">
        <v>32</v>
      </c>
      <c r="N66" t="s">
        <v>381</v>
      </c>
      <c r="O66" t="s">
        <v>382</v>
      </c>
      <c r="P66">
        <v>959.98400000000004</v>
      </c>
      <c r="Q66">
        <v>2</v>
      </c>
      <c r="R66">
        <v>335.99439999999998</v>
      </c>
      <c r="S66" s="3" t="s">
        <v>172</v>
      </c>
      <c r="T66">
        <v>2015</v>
      </c>
      <c r="U66" t="s">
        <v>81</v>
      </c>
      <c r="V66" s="2">
        <v>0.35</v>
      </c>
    </row>
    <row r="67" spans="1:22" x14ac:dyDescent="0.25">
      <c r="A67" t="s">
        <v>383</v>
      </c>
      <c r="B67" s="1">
        <v>41742</v>
      </c>
      <c r="C67" s="1">
        <v>41746</v>
      </c>
      <c r="D67" t="s">
        <v>40</v>
      </c>
      <c r="E67" t="s">
        <v>384</v>
      </c>
      <c r="F67" t="s">
        <v>385</v>
      </c>
      <c r="G67" t="s">
        <v>59</v>
      </c>
      <c r="H67" t="s">
        <v>27</v>
      </c>
      <c r="I67" t="s">
        <v>206</v>
      </c>
      <c r="J67" t="s">
        <v>207</v>
      </c>
      <c r="K67" t="s">
        <v>95</v>
      </c>
      <c r="L67" t="s">
        <v>386</v>
      </c>
      <c r="M67" t="s">
        <v>32</v>
      </c>
      <c r="N67" t="s">
        <v>33</v>
      </c>
      <c r="O67" t="s">
        <v>387</v>
      </c>
      <c r="P67">
        <v>71.927999999999997</v>
      </c>
      <c r="Q67">
        <v>12</v>
      </c>
      <c r="R67">
        <v>8.3916000000000004</v>
      </c>
      <c r="S67" s="3" t="s">
        <v>53</v>
      </c>
      <c r="T67">
        <v>2014</v>
      </c>
      <c r="U67" t="s">
        <v>291</v>
      </c>
      <c r="V67" s="2">
        <v>0.116666666666667</v>
      </c>
    </row>
    <row r="68" spans="1:22" x14ac:dyDescent="0.25">
      <c r="A68" t="s">
        <v>388</v>
      </c>
      <c r="B68" s="1">
        <v>42901</v>
      </c>
      <c r="C68" s="1">
        <v>42905</v>
      </c>
      <c r="D68" t="s">
        <v>23</v>
      </c>
      <c r="E68" t="s">
        <v>389</v>
      </c>
      <c r="F68" t="s">
        <v>390</v>
      </c>
      <c r="G68" t="s">
        <v>26</v>
      </c>
      <c r="H68" t="s">
        <v>27</v>
      </c>
      <c r="I68" t="s">
        <v>43</v>
      </c>
      <c r="J68" t="s">
        <v>29</v>
      </c>
      <c r="K68" t="s">
        <v>30</v>
      </c>
      <c r="L68" t="s">
        <v>178</v>
      </c>
      <c r="M68" t="s">
        <v>32</v>
      </c>
      <c r="N68" t="s">
        <v>33</v>
      </c>
      <c r="O68" t="s">
        <v>179</v>
      </c>
      <c r="P68">
        <v>47.975999999999999</v>
      </c>
      <c r="Q68">
        <v>3</v>
      </c>
      <c r="R68">
        <v>4.7976000000000001</v>
      </c>
      <c r="S68" s="3" t="s">
        <v>53</v>
      </c>
      <c r="T68">
        <v>2017</v>
      </c>
      <c r="U68" t="s">
        <v>36</v>
      </c>
      <c r="V68" s="2">
        <v>0.1</v>
      </c>
    </row>
    <row r="69" spans="1:22" x14ac:dyDescent="0.25">
      <c r="A69" t="s">
        <v>391</v>
      </c>
      <c r="B69" s="1">
        <v>42614</v>
      </c>
      <c r="C69" s="1">
        <v>42616</v>
      </c>
      <c r="D69" t="s">
        <v>56</v>
      </c>
      <c r="E69" t="s">
        <v>392</v>
      </c>
      <c r="F69" t="s">
        <v>393</v>
      </c>
      <c r="G69" t="s">
        <v>70</v>
      </c>
      <c r="H69" t="s">
        <v>27</v>
      </c>
      <c r="I69" t="s">
        <v>103</v>
      </c>
      <c r="J69" t="s">
        <v>104</v>
      </c>
      <c r="K69" t="s">
        <v>95</v>
      </c>
      <c r="L69" t="s">
        <v>309</v>
      </c>
      <c r="M69" t="s">
        <v>32</v>
      </c>
      <c r="N69" t="s">
        <v>51</v>
      </c>
      <c r="O69" t="s">
        <v>310</v>
      </c>
      <c r="P69">
        <v>6.79</v>
      </c>
      <c r="Q69">
        <v>1</v>
      </c>
      <c r="R69">
        <v>2.3086000000000002</v>
      </c>
      <c r="S69" s="3" t="s">
        <v>65</v>
      </c>
      <c r="T69">
        <v>2016</v>
      </c>
      <c r="U69" t="s">
        <v>81</v>
      </c>
      <c r="V69" s="2">
        <v>0.34</v>
      </c>
    </row>
    <row r="70" spans="1:22" x14ac:dyDescent="0.25">
      <c r="A70" t="s">
        <v>394</v>
      </c>
      <c r="B70" s="1">
        <v>41843</v>
      </c>
      <c r="C70" s="1">
        <v>41847</v>
      </c>
      <c r="D70" t="s">
        <v>23</v>
      </c>
      <c r="E70" t="s">
        <v>395</v>
      </c>
      <c r="F70" t="s">
        <v>396</v>
      </c>
      <c r="G70" t="s">
        <v>26</v>
      </c>
      <c r="H70" t="s">
        <v>27</v>
      </c>
      <c r="I70" t="s">
        <v>397</v>
      </c>
      <c r="J70" t="s">
        <v>123</v>
      </c>
      <c r="K70" t="s">
        <v>30</v>
      </c>
      <c r="L70" t="s">
        <v>398</v>
      </c>
      <c r="M70" t="s">
        <v>32</v>
      </c>
      <c r="N70" t="s">
        <v>51</v>
      </c>
      <c r="O70" t="s">
        <v>399</v>
      </c>
      <c r="P70">
        <v>1023.936</v>
      </c>
      <c r="Q70">
        <v>8</v>
      </c>
      <c r="R70">
        <v>179.18879999999999</v>
      </c>
      <c r="S70" s="3" t="s">
        <v>53</v>
      </c>
      <c r="T70">
        <v>2014</v>
      </c>
      <c r="U70" t="s">
        <v>332</v>
      </c>
      <c r="V70" s="2">
        <v>0.17499999999999999</v>
      </c>
    </row>
    <row r="71" spans="1:22" x14ac:dyDescent="0.25">
      <c r="A71" t="s">
        <v>394</v>
      </c>
      <c r="B71" s="1">
        <v>41843</v>
      </c>
      <c r="C71" s="1">
        <v>41847</v>
      </c>
      <c r="D71" t="s">
        <v>23</v>
      </c>
      <c r="E71" t="s">
        <v>395</v>
      </c>
      <c r="F71" t="s">
        <v>396</v>
      </c>
      <c r="G71" t="s">
        <v>26</v>
      </c>
      <c r="H71" t="s">
        <v>27</v>
      </c>
      <c r="I71" t="s">
        <v>397</v>
      </c>
      <c r="J71" t="s">
        <v>123</v>
      </c>
      <c r="K71" t="s">
        <v>30</v>
      </c>
      <c r="L71" t="s">
        <v>400</v>
      </c>
      <c r="M71" t="s">
        <v>32</v>
      </c>
      <c r="N71" t="s">
        <v>51</v>
      </c>
      <c r="O71" t="s">
        <v>401</v>
      </c>
      <c r="P71">
        <v>479.04</v>
      </c>
      <c r="Q71">
        <v>10</v>
      </c>
      <c r="R71">
        <v>-29.94</v>
      </c>
      <c r="S71" s="3" t="s">
        <v>53</v>
      </c>
      <c r="T71">
        <v>2014</v>
      </c>
      <c r="U71" t="s">
        <v>332</v>
      </c>
      <c r="V71" s="2">
        <v>-6.25E-2</v>
      </c>
    </row>
    <row r="72" spans="1:22" x14ac:dyDescent="0.25">
      <c r="A72" t="s">
        <v>402</v>
      </c>
      <c r="B72" s="1">
        <v>42181</v>
      </c>
      <c r="C72" s="1">
        <v>42184</v>
      </c>
      <c r="D72" t="s">
        <v>40</v>
      </c>
      <c r="E72" t="s">
        <v>403</v>
      </c>
      <c r="F72" t="s">
        <v>404</v>
      </c>
      <c r="G72" t="s">
        <v>59</v>
      </c>
      <c r="H72" t="s">
        <v>27</v>
      </c>
      <c r="I72" t="s">
        <v>405</v>
      </c>
      <c r="J72" t="s">
        <v>256</v>
      </c>
      <c r="K72" t="s">
        <v>62</v>
      </c>
      <c r="L72" t="s">
        <v>406</v>
      </c>
      <c r="M72" t="s">
        <v>32</v>
      </c>
      <c r="N72" t="s">
        <v>51</v>
      </c>
      <c r="O72" t="s">
        <v>407</v>
      </c>
      <c r="P72">
        <v>41.9</v>
      </c>
      <c r="Q72">
        <v>2</v>
      </c>
      <c r="R72">
        <v>8.7989999999999995</v>
      </c>
      <c r="S72" s="3" t="s">
        <v>172</v>
      </c>
      <c r="T72">
        <v>2015</v>
      </c>
      <c r="U72" t="s">
        <v>36</v>
      </c>
      <c r="V72" s="2">
        <v>0.21</v>
      </c>
    </row>
    <row r="73" spans="1:22" x14ac:dyDescent="0.25">
      <c r="A73" t="s">
        <v>408</v>
      </c>
      <c r="B73" s="1">
        <v>42335</v>
      </c>
      <c r="C73" s="1">
        <v>42340</v>
      </c>
      <c r="D73" t="s">
        <v>23</v>
      </c>
      <c r="E73" t="s">
        <v>409</v>
      </c>
      <c r="F73" t="s">
        <v>410</v>
      </c>
      <c r="G73" t="s">
        <v>26</v>
      </c>
      <c r="H73" t="s">
        <v>27</v>
      </c>
      <c r="I73" t="s">
        <v>411</v>
      </c>
      <c r="J73" t="s">
        <v>288</v>
      </c>
      <c r="K73" t="s">
        <v>155</v>
      </c>
      <c r="L73" t="s">
        <v>412</v>
      </c>
      <c r="M73" t="s">
        <v>32</v>
      </c>
      <c r="N73" t="s">
        <v>51</v>
      </c>
      <c r="O73" t="s">
        <v>413</v>
      </c>
      <c r="P73">
        <v>83.975999999999999</v>
      </c>
      <c r="Q73">
        <v>3</v>
      </c>
      <c r="R73">
        <v>-1.0497000000000001</v>
      </c>
      <c r="S73" s="3" t="s">
        <v>35</v>
      </c>
      <c r="T73">
        <v>2015</v>
      </c>
      <c r="U73" t="s">
        <v>118</v>
      </c>
      <c r="V73" s="2">
        <v>-1.2500000000000001E-2</v>
      </c>
    </row>
    <row r="74" spans="1:22" x14ac:dyDescent="0.25">
      <c r="A74" t="s">
        <v>414</v>
      </c>
      <c r="B74" s="1">
        <v>42341</v>
      </c>
      <c r="C74" s="1">
        <v>42345</v>
      </c>
      <c r="D74" t="s">
        <v>23</v>
      </c>
      <c r="E74" t="s">
        <v>415</v>
      </c>
      <c r="F74" t="s">
        <v>416</v>
      </c>
      <c r="G74" t="s">
        <v>59</v>
      </c>
      <c r="H74" t="s">
        <v>27</v>
      </c>
      <c r="I74" t="s">
        <v>206</v>
      </c>
      <c r="J74" t="s">
        <v>207</v>
      </c>
      <c r="K74" t="s">
        <v>95</v>
      </c>
      <c r="L74" t="s">
        <v>417</v>
      </c>
      <c r="M74" t="s">
        <v>32</v>
      </c>
      <c r="N74" t="s">
        <v>215</v>
      </c>
      <c r="O74" t="s">
        <v>418</v>
      </c>
      <c r="P74">
        <v>482.34</v>
      </c>
      <c r="Q74">
        <v>4</v>
      </c>
      <c r="R74">
        <v>-337.63799999999998</v>
      </c>
      <c r="S74" s="3" t="s">
        <v>53</v>
      </c>
      <c r="T74">
        <v>2015</v>
      </c>
      <c r="U74" t="s">
        <v>66</v>
      </c>
      <c r="V74" s="2">
        <v>-0.7</v>
      </c>
    </row>
    <row r="75" spans="1:22" x14ac:dyDescent="0.25">
      <c r="A75" t="s">
        <v>419</v>
      </c>
      <c r="B75" s="1">
        <v>43080</v>
      </c>
      <c r="C75" s="1">
        <v>43084</v>
      </c>
      <c r="D75" t="s">
        <v>23</v>
      </c>
      <c r="E75" t="s">
        <v>420</v>
      </c>
      <c r="F75" t="s">
        <v>421</v>
      </c>
      <c r="G75" t="s">
        <v>26</v>
      </c>
      <c r="H75" t="s">
        <v>27</v>
      </c>
      <c r="I75" t="s">
        <v>103</v>
      </c>
      <c r="J75" t="s">
        <v>104</v>
      </c>
      <c r="K75" t="s">
        <v>95</v>
      </c>
      <c r="L75" t="s">
        <v>130</v>
      </c>
      <c r="M75" t="s">
        <v>32</v>
      </c>
      <c r="N75" t="s">
        <v>51</v>
      </c>
      <c r="O75" t="s">
        <v>131</v>
      </c>
      <c r="P75">
        <v>39.979999999999997</v>
      </c>
      <c r="Q75">
        <v>2</v>
      </c>
      <c r="R75">
        <v>13.5932</v>
      </c>
      <c r="S75" s="3" t="s">
        <v>53</v>
      </c>
      <c r="T75">
        <v>2017</v>
      </c>
      <c r="U75" t="s">
        <v>66</v>
      </c>
      <c r="V75" s="2">
        <v>0.34</v>
      </c>
    </row>
    <row r="76" spans="1:22" x14ac:dyDescent="0.25">
      <c r="A76" t="s">
        <v>422</v>
      </c>
      <c r="B76" s="1">
        <v>41903</v>
      </c>
      <c r="C76" s="1">
        <v>41905</v>
      </c>
      <c r="D76" t="s">
        <v>40</v>
      </c>
      <c r="E76" t="s">
        <v>423</v>
      </c>
      <c r="F76" t="s">
        <v>424</v>
      </c>
      <c r="G76" t="s">
        <v>26</v>
      </c>
      <c r="H76" t="s">
        <v>27</v>
      </c>
      <c r="I76" t="s">
        <v>425</v>
      </c>
      <c r="J76" t="s">
        <v>426</v>
      </c>
      <c r="K76" t="s">
        <v>30</v>
      </c>
      <c r="L76" t="s">
        <v>427</v>
      </c>
      <c r="M76" t="s">
        <v>32</v>
      </c>
      <c r="N76" t="s">
        <v>33</v>
      </c>
      <c r="O76" t="s">
        <v>428</v>
      </c>
      <c r="P76">
        <v>246.38399999999999</v>
      </c>
      <c r="Q76">
        <v>2</v>
      </c>
      <c r="R76">
        <v>27.7182</v>
      </c>
      <c r="S76" s="3" t="s">
        <v>65</v>
      </c>
      <c r="T76">
        <v>2014</v>
      </c>
      <c r="U76" t="s">
        <v>81</v>
      </c>
      <c r="V76" s="2">
        <v>0.1125</v>
      </c>
    </row>
    <row r="77" spans="1:22" x14ac:dyDescent="0.25">
      <c r="A77" t="s">
        <v>422</v>
      </c>
      <c r="B77" s="1">
        <v>41903</v>
      </c>
      <c r="C77" s="1">
        <v>41905</v>
      </c>
      <c r="D77" t="s">
        <v>40</v>
      </c>
      <c r="E77" t="s">
        <v>423</v>
      </c>
      <c r="F77" t="s">
        <v>424</v>
      </c>
      <c r="G77" t="s">
        <v>26</v>
      </c>
      <c r="H77" t="s">
        <v>27</v>
      </c>
      <c r="I77" t="s">
        <v>425</v>
      </c>
      <c r="J77" t="s">
        <v>426</v>
      </c>
      <c r="K77" t="s">
        <v>30</v>
      </c>
      <c r="L77" t="s">
        <v>429</v>
      </c>
      <c r="M77" t="s">
        <v>32</v>
      </c>
      <c r="N77" t="s">
        <v>381</v>
      </c>
      <c r="O77" t="s">
        <v>430</v>
      </c>
      <c r="P77">
        <v>1799.97</v>
      </c>
      <c r="Q77">
        <v>3</v>
      </c>
      <c r="R77">
        <v>701.98829999999998</v>
      </c>
      <c r="S77" s="3" t="s">
        <v>65</v>
      </c>
      <c r="T77">
        <v>2014</v>
      </c>
      <c r="U77" t="s">
        <v>81</v>
      </c>
      <c r="V77" s="2">
        <v>0.39</v>
      </c>
    </row>
    <row r="78" spans="1:22" x14ac:dyDescent="0.25">
      <c r="A78" t="s">
        <v>431</v>
      </c>
      <c r="B78" s="1">
        <v>42621</v>
      </c>
      <c r="C78" s="1">
        <v>42623</v>
      </c>
      <c r="D78" t="s">
        <v>40</v>
      </c>
      <c r="E78" t="s">
        <v>432</v>
      </c>
      <c r="F78" t="s">
        <v>433</v>
      </c>
      <c r="G78" t="s">
        <v>26</v>
      </c>
      <c r="H78" t="s">
        <v>27</v>
      </c>
      <c r="I78" t="s">
        <v>71</v>
      </c>
      <c r="J78" t="s">
        <v>61</v>
      </c>
      <c r="K78" t="s">
        <v>62</v>
      </c>
      <c r="L78" t="s">
        <v>434</v>
      </c>
      <c r="M78" t="s">
        <v>32</v>
      </c>
      <c r="N78" t="s">
        <v>51</v>
      </c>
      <c r="O78" t="s">
        <v>435</v>
      </c>
      <c r="P78">
        <v>57.584000000000003</v>
      </c>
      <c r="Q78">
        <v>2</v>
      </c>
      <c r="R78">
        <v>0.7198</v>
      </c>
      <c r="S78" s="3" t="s">
        <v>65</v>
      </c>
      <c r="T78">
        <v>2016</v>
      </c>
      <c r="U78" t="s">
        <v>81</v>
      </c>
      <c r="V78" s="2">
        <v>1.2500000000000001E-2</v>
      </c>
    </row>
    <row r="79" spans="1:22" x14ac:dyDescent="0.25">
      <c r="A79" t="s">
        <v>436</v>
      </c>
      <c r="B79" s="1">
        <v>43077</v>
      </c>
      <c r="C79" s="1">
        <v>43081</v>
      </c>
      <c r="D79" t="s">
        <v>23</v>
      </c>
      <c r="E79" t="s">
        <v>437</v>
      </c>
      <c r="F79" t="s">
        <v>438</v>
      </c>
      <c r="G79" t="s">
        <v>26</v>
      </c>
      <c r="H79" t="s">
        <v>27</v>
      </c>
      <c r="I79" t="s">
        <v>43</v>
      </c>
      <c r="J79" t="s">
        <v>29</v>
      </c>
      <c r="K79" t="s">
        <v>30</v>
      </c>
      <c r="L79" t="s">
        <v>434</v>
      </c>
      <c r="M79" t="s">
        <v>32</v>
      </c>
      <c r="N79" t="s">
        <v>51</v>
      </c>
      <c r="O79" t="s">
        <v>435</v>
      </c>
      <c r="P79">
        <v>179.95</v>
      </c>
      <c r="Q79">
        <v>5</v>
      </c>
      <c r="R79">
        <v>37.789499999999997</v>
      </c>
      <c r="S79" s="3" t="s">
        <v>53</v>
      </c>
      <c r="T79">
        <v>2017</v>
      </c>
      <c r="U79" t="s">
        <v>66</v>
      </c>
      <c r="V79" s="2">
        <v>0.21</v>
      </c>
    </row>
    <row r="80" spans="1:22" x14ac:dyDescent="0.25">
      <c r="A80" t="s">
        <v>436</v>
      </c>
      <c r="B80" s="1">
        <v>43077</v>
      </c>
      <c r="C80" s="1">
        <v>43081</v>
      </c>
      <c r="D80" t="s">
        <v>23</v>
      </c>
      <c r="E80" t="s">
        <v>437</v>
      </c>
      <c r="F80" t="s">
        <v>438</v>
      </c>
      <c r="G80" t="s">
        <v>26</v>
      </c>
      <c r="H80" t="s">
        <v>27</v>
      </c>
      <c r="I80" t="s">
        <v>43</v>
      </c>
      <c r="J80" t="s">
        <v>29</v>
      </c>
      <c r="K80" t="s">
        <v>30</v>
      </c>
      <c r="L80" t="s">
        <v>439</v>
      </c>
      <c r="M80" t="s">
        <v>32</v>
      </c>
      <c r="N80" t="s">
        <v>381</v>
      </c>
      <c r="O80" t="s">
        <v>440</v>
      </c>
      <c r="P80">
        <v>1199.9760000000001</v>
      </c>
      <c r="Q80">
        <v>3</v>
      </c>
      <c r="R80">
        <v>434.99130000000002</v>
      </c>
      <c r="S80" s="3" t="s">
        <v>53</v>
      </c>
      <c r="T80">
        <v>2017</v>
      </c>
      <c r="U80" t="s">
        <v>66</v>
      </c>
      <c r="V80" s="2">
        <v>0.36249999999999999</v>
      </c>
    </row>
    <row r="81" spans="1:22" x14ac:dyDescent="0.25">
      <c r="A81" t="s">
        <v>441</v>
      </c>
      <c r="B81" s="1">
        <v>41812</v>
      </c>
      <c r="C81" s="1">
        <v>41815</v>
      </c>
      <c r="D81" t="s">
        <v>56</v>
      </c>
      <c r="E81" t="s">
        <v>442</v>
      </c>
      <c r="F81" t="s">
        <v>443</v>
      </c>
      <c r="G81" t="s">
        <v>26</v>
      </c>
      <c r="H81" t="s">
        <v>27</v>
      </c>
      <c r="I81" t="s">
        <v>444</v>
      </c>
      <c r="J81" t="s">
        <v>147</v>
      </c>
      <c r="K81" t="s">
        <v>30</v>
      </c>
      <c r="L81" t="s">
        <v>445</v>
      </c>
      <c r="M81" t="s">
        <v>32</v>
      </c>
      <c r="N81" t="s">
        <v>51</v>
      </c>
      <c r="O81" t="s">
        <v>446</v>
      </c>
      <c r="P81">
        <v>196.75200000000001</v>
      </c>
      <c r="Q81">
        <v>6</v>
      </c>
      <c r="R81">
        <v>56.566200000000002</v>
      </c>
      <c r="S81" s="3" t="s">
        <v>172</v>
      </c>
      <c r="T81">
        <v>2014</v>
      </c>
      <c r="U81" t="s">
        <v>36</v>
      </c>
      <c r="V81" s="2">
        <v>0.28749999999999998</v>
      </c>
    </row>
    <row r="82" spans="1:22" x14ac:dyDescent="0.25">
      <c r="A82" t="s">
        <v>447</v>
      </c>
      <c r="B82" s="1">
        <v>41894</v>
      </c>
      <c r="C82" s="1">
        <v>41895</v>
      </c>
      <c r="D82" t="s">
        <v>56</v>
      </c>
      <c r="E82" t="s">
        <v>448</v>
      </c>
      <c r="F82" t="s">
        <v>449</v>
      </c>
      <c r="G82" t="s">
        <v>70</v>
      </c>
      <c r="H82" t="s">
        <v>27</v>
      </c>
      <c r="I82" t="s">
        <v>450</v>
      </c>
      <c r="J82" t="s">
        <v>104</v>
      </c>
      <c r="K82" t="s">
        <v>95</v>
      </c>
      <c r="L82" t="s">
        <v>451</v>
      </c>
      <c r="M82" t="s">
        <v>32</v>
      </c>
      <c r="N82" t="s">
        <v>215</v>
      </c>
      <c r="O82" t="s">
        <v>452</v>
      </c>
      <c r="P82">
        <v>69.989999999999995</v>
      </c>
      <c r="Q82">
        <v>1</v>
      </c>
      <c r="R82">
        <v>30.095700000000001</v>
      </c>
      <c r="S82" s="3" t="s">
        <v>112</v>
      </c>
      <c r="T82">
        <v>2014</v>
      </c>
      <c r="U82" t="s">
        <v>81</v>
      </c>
      <c r="V82" s="2">
        <v>0.43</v>
      </c>
    </row>
    <row r="83" spans="1:22" x14ac:dyDescent="0.25">
      <c r="A83" t="s">
        <v>453</v>
      </c>
      <c r="B83" s="1">
        <v>42475</v>
      </c>
      <c r="C83" s="1">
        <v>42481</v>
      </c>
      <c r="D83" t="s">
        <v>23</v>
      </c>
      <c r="E83" t="s">
        <v>454</v>
      </c>
      <c r="F83" t="s">
        <v>455</v>
      </c>
      <c r="G83" t="s">
        <v>70</v>
      </c>
      <c r="H83" t="s">
        <v>27</v>
      </c>
      <c r="I83" t="s">
        <v>456</v>
      </c>
      <c r="J83" t="s">
        <v>154</v>
      </c>
      <c r="K83" t="s">
        <v>155</v>
      </c>
      <c r="L83" t="s">
        <v>223</v>
      </c>
      <c r="M83" t="s">
        <v>32</v>
      </c>
      <c r="N83" t="s">
        <v>51</v>
      </c>
      <c r="O83" t="s">
        <v>224</v>
      </c>
      <c r="P83">
        <v>408.74400000000003</v>
      </c>
      <c r="Q83">
        <v>7</v>
      </c>
      <c r="R83">
        <v>76.639499999999998</v>
      </c>
      <c r="S83" s="3" t="s">
        <v>107</v>
      </c>
      <c r="T83">
        <v>2016</v>
      </c>
      <c r="U83" t="s">
        <v>291</v>
      </c>
      <c r="V83" s="2">
        <v>0.1875</v>
      </c>
    </row>
    <row r="84" spans="1:22" x14ac:dyDescent="0.25">
      <c r="A84" t="s">
        <v>453</v>
      </c>
      <c r="B84" s="1">
        <v>42475</v>
      </c>
      <c r="C84" s="1">
        <v>42481</v>
      </c>
      <c r="D84" t="s">
        <v>23</v>
      </c>
      <c r="E84" t="s">
        <v>454</v>
      </c>
      <c r="F84" t="s">
        <v>455</v>
      </c>
      <c r="G84" t="s">
        <v>70</v>
      </c>
      <c r="H84" t="s">
        <v>27</v>
      </c>
      <c r="I84" t="s">
        <v>456</v>
      </c>
      <c r="J84" t="s">
        <v>154</v>
      </c>
      <c r="K84" t="s">
        <v>155</v>
      </c>
      <c r="L84" t="s">
        <v>223</v>
      </c>
      <c r="M84" t="s">
        <v>32</v>
      </c>
      <c r="N84" t="s">
        <v>51</v>
      </c>
      <c r="O84" t="s">
        <v>224</v>
      </c>
      <c r="P84">
        <v>291.95999999999998</v>
      </c>
      <c r="Q84">
        <v>5</v>
      </c>
      <c r="R84">
        <v>54.7425</v>
      </c>
      <c r="S84" s="3" t="s">
        <v>107</v>
      </c>
      <c r="T84">
        <v>2016</v>
      </c>
      <c r="U84" t="s">
        <v>291</v>
      </c>
      <c r="V84" s="2">
        <v>0.1875</v>
      </c>
    </row>
    <row r="85" spans="1:22" x14ac:dyDescent="0.25">
      <c r="A85" t="s">
        <v>457</v>
      </c>
      <c r="B85" s="1">
        <v>41992</v>
      </c>
      <c r="C85" s="1">
        <v>41998</v>
      </c>
      <c r="D85" t="s">
        <v>23</v>
      </c>
      <c r="E85" t="s">
        <v>458</v>
      </c>
      <c r="F85" t="s">
        <v>459</v>
      </c>
      <c r="G85" t="s">
        <v>26</v>
      </c>
      <c r="H85" t="s">
        <v>27</v>
      </c>
      <c r="I85" t="s">
        <v>460</v>
      </c>
      <c r="J85" t="s">
        <v>288</v>
      </c>
      <c r="K85" t="s">
        <v>155</v>
      </c>
      <c r="L85" t="s">
        <v>461</v>
      </c>
      <c r="M85" t="s">
        <v>32</v>
      </c>
      <c r="N85" t="s">
        <v>51</v>
      </c>
      <c r="O85" t="s">
        <v>462</v>
      </c>
      <c r="P85">
        <v>247.8</v>
      </c>
      <c r="Q85">
        <v>5</v>
      </c>
      <c r="R85">
        <v>-18.585000000000001</v>
      </c>
      <c r="S85" s="3" t="s">
        <v>107</v>
      </c>
      <c r="T85">
        <v>2014</v>
      </c>
      <c r="U85" t="s">
        <v>66</v>
      </c>
      <c r="V85" s="2">
        <v>-7.4999999999999997E-2</v>
      </c>
    </row>
    <row r="86" spans="1:22" x14ac:dyDescent="0.25">
      <c r="A86" t="s">
        <v>463</v>
      </c>
      <c r="B86" s="1">
        <v>42533</v>
      </c>
      <c r="C86" s="1">
        <v>42535</v>
      </c>
      <c r="D86" t="s">
        <v>40</v>
      </c>
      <c r="E86" t="s">
        <v>464</v>
      </c>
      <c r="F86" t="s">
        <v>465</v>
      </c>
      <c r="G86" t="s">
        <v>70</v>
      </c>
      <c r="H86" t="s">
        <v>27</v>
      </c>
      <c r="I86" t="s">
        <v>140</v>
      </c>
      <c r="J86" t="s">
        <v>78</v>
      </c>
      <c r="K86" t="s">
        <v>62</v>
      </c>
      <c r="L86" t="s">
        <v>466</v>
      </c>
      <c r="M86" t="s">
        <v>32</v>
      </c>
      <c r="N86" t="s">
        <v>215</v>
      </c>
      <c r="O86" t="s">
        <v>467</v>
      </c>
      <c r="P86">
        <v>1007.979</v>
      </c>
      <c r="Q86">
        <v>3</v>
      </c>
      <c r="R86">
        <v>43.199100000000001</v>
      </c>
      <c r="S86" s="3" t="s">
        <v>65</v>
      </c>
      <c r="T86">
        <v>2016</v>
      </c>
      <c r="U86" t="s">
        <v>36</v>
      </c>
      <c r="V86" s="2">
        <v>4.2857142857142899E-2</v>
      </c>
    </row>
    <row r="87" spans="1:22" x14ac:dyDescent="0.25">
      <c r="A87" t="s">
        <v>468</v>
      </c>
      <c r="B87" s="1">
        <v>42461</v>
      </c>
      <c r="C87" s="1">
        <v>42463</v>
      </c>
      <c r="D87" t="s">
        <v>40</v>
      </c>
      <c r="E87" t="s">
        <v>469</v>
      </c>
      <c r="F87" t="s">
        <v>470</v>
      </c>
      <c r="G87" t="s">
        <v>26</v>
      </c>
      <c r="H87" t="s">
        <v>27</v>
      </c>
      <c r="I87" t="s">
        <v>471</v>
      </c>
      <c r="J87" t="s">
        <v>104</v>
      </c>
      <c r="K87" t="s">
        <v>95</v>
      </c>
      <c r="L87" t="s">
        <v>472</v>
      </c>
      <c r="M87" t="s">
        <v>32</v>
      </c>
      <c r="N87" t="s">
        <v>33</v>
      </c>
      <c r="O87" t="s">
        <v>473</v>
      </c>
      <c r="P87">
        <v>35.119999999999997</v>
      </c>
      <c r="Q87">
        <v>4</v>
      </c>
      <c r="R87">
        <v>9.1311999999999998</v>
      </c>
      <c r="S87" s="3" t="s">
        <v>65</v>
      </c>
      <c r="T87">
        <v>2016</v>
      </c>
      <c r="U87" t="s">
        <v>291</v>
      </c>
      <c r="V87" s="2">
        <v>0.26</v>
      </c>
    </row>
    <row r="88" spans="1:22" x14ac:dyDescent="0.25">
      <c r="A88" t="s">
        <v>474</v>
      </c>
      <c r="B88" s="1">
        <v>42717</v>
      </c>
      <c r="C88" s="1">
        <v>42721</v>
      </c>
      <c r="D88" t="s">
        <v>23</v>
      </c>
      <c r="E88" t="s">
        <v>475</v>
      </c>
      <c r="F88" t="s">
        <v>476</v>
      </c>
      <c r="G88" t="s">
        <v>59</v>
      </c>
      <c r="H88" t="s">
        <v>27</v>
      </c>
      <c r="I88" t="s">
        <v>477</v>
      </c>
      <c r="J88" t="s">
        <v>200</v>
      </c>
      <c r="K88" t="s">
        <v>62</v>
      </c>
      <c r="L88" t="s">
        <v>478</v>
      </c>
      <c r="M88" t="s">
        <v>32</v>
      </c>
      <c r="N88" t="s">
        <v>51</v>
      </c>
      <c r="O88" t="s">
        <v>479</v>
      </c>
      <c r="P88">
        <v>63.88</v>
      </c>
      <c r="Q88">
        <v>4</v>
      </c>
      <c r="R88">
        <v>24.9132</v>
      </c>
      <c r="S88" s="3" t="s">
        <v>53</v>
      </c>
      <c r="T88">
        <v>2016</v>
      </c>
      <c r="U88" t="s">
        <v>66</v>
      </c>
      <c r="V88" s="2">
        <v>0.39</v>
      </c>
    </row>
    <row r="89" spans="1:22" x14ac:dyDescent="0.25">
      <c r="A89" t="s">
        <v>480</v>
      </c>
      <c r="B89" s="1">
        <v>42353</v>
      </c>
      <c r="C89" s="1">
        <v>42360</v>
      </c>
      <c r="D89" t="s">
        <v>23</v>
      </c>
      <c r="E89" t="s">
        <v>253</v>
      </c>
      <c r="F89" t="s">
        <v>254</v>
      </c>
      <c r="G89" t="s">
        <v>26</v>
      </c>
      <c r="H89" t="s">
        <v>27</v>
      </c>
      <c r="I89" t="s">
        <v>481</v>
      </c>
      <c r="J89" t="s">
        <v>426</v>
      </c>
      <c r="K89" t="s">
        <v>30</v>
      </c>
      <c r="L89" t="s">
        <v>482</v>
      </c>
      <c r="M89" t="s">
        <v>32</v>
      </c>
      <c r="N89" t="s">
        <v>51</v>
      </c>
      <c r="O89" t="s">
        <v>483</v>
      </c>
      <c r="P89">
        <v>899.91</v>
      </c>
      <c r="Q89">
        <v>9</v>
      </c>
      <c r="R89">
        <v>377.9622</v>
      </c>
      <c r="S89" s="3" t="s">
        <v>132</v>
      </c>
      <c r="T89">
        <v>2015</v>
      </c>
      <c r="U89" t="s">
        <v>66</v>
      </c>
      <c r="V89" s="2">
        <v>0.42</v>
      </c>
    </row>
    <row r="90" spans="1:22" x14ac:dyDescent="0.25">
      <c r="A90" t="s">
        <v>484</v>
      </c>
      <c r="B90" s="1">
        <v>41952</v>
      </c>
      <c r="C90" s="1">
        <v>41954</v>
      </c>
      <c r="D90" t="s">
        <v>40</v>
      </c>
      <c r="E90" t="s">
        <v>485</v>
      </c>
      <c r="F90" t="s">
        <v>486</v>
      </c>
      <c r="G90" t="s">
        <v>26</v>
      </c>
      <c r="H90" t="s">
        <v>27</v>
      </c>
      <c r="I90" t="s">
        <v>43</v>
      </c>
      <c r="J90" t="s">
        <v>29</v>
      </c>
      <c r="K90" t="s">
        <v>30</v>
      </c>
      <c r="L90" t="s">
        <v>487</v>
      </c>
      <c r="M90" t="s">
        <v>32</v>
      </c>
      <c r="N90" t="s">
        <v>33</v>
      </c>
      <c r="O90" t="s">
        <v>488</v>
      </c>
      <c r="P90">
        <v>703.96799999999996</v>
      </c>
      <c r="Q90">
        <v>4</v>
      </c>
      <c r="R90">
        <v>87.995999999999995</v>
      </c>
      <c r="S90" s="3" t="s">
        <v>65</v>
      </c>
      <c r="T90">
        <v>2014</v>
      </c>
      <c r="U90" t="s">
        <v>118</v>
      </c>
      <c r="V90" s="2">
        <v>0.125</v>
      </c>
    </row>
    <row r="91" spans="1:22" x14ac:dyDescent="0.25">
      <c r="A91" t="s">
        <v>489</v>
      </c>
      <c r="B91" s="1">
        <v>42563</v>
      </c>
      <c r="C91" s="1">
        <v>42570</v>
      </c>
      <c r="D91" t="s">
        <v>23</v>
      </c>
      <c r="E91" t="s">
        <v>490</v>
      </c>
      <c r="F91" t="s">
        <v>491</v>
      </c>
      <c r="G91" t="s">
        <v>59</v>
      </c>
      <c r="H91" t="s">
        <v>27</v>
      </c>
      <c r="I91" t="s">
        <v>28</v>
      </c>
      <c r="J91" t="s">
        <v>29</v>
      </c>
      <c r="K91" t="s">
        <v>30</v>
      </c>
      <c r="L91" t="s">
        <v>492</v>
      </c>
      <c r="M91" t="s">
        <v>32</v>
      </c>
      <c r="N91" t="s">
        <v>33</v>
      </c>
      <c r="O91" t="s">
        <v>493</v>
      </c>
      <c r="P91">
        <v>95.76</v>
      </c>
      <c r="Q91">
        <v>6</v>
      </c>
      <c r="R91">
        <v>7.1820000000000004</v>
      </c>
      <c r="S91" s="3" t="s">
        <v>132</v>
      </c>
      <c r="T91">
        <v>2016</v>
      </c>
      <c r="U91" t="s">
        <v>332</v>
      </c>
      <c r="V91" s="2">
        <v>7.4999999999999997E-2</v>
      </c>
    </row>
    <row r="92" spans="1:22" x14ac:dyDescent="0.25">
      <c r="A92" t="s">
        <v>494</v>
      </c>
      <c r="B92" s="1">
        <v>41918</v>
      </c>
      <c r="C92" s="1">
        <v>41922</v>
      </c>
      <c r="D92" t="s">
        <v>23</v>
      </c>
      <c r="E92" t="s">
        <v>495</v>
      </c>
      <c r="F92" t="s">
        <v>496</v>
      </c>
      <c r="G92" t="s">
        <v>26</v>
      </c>
      <c r="H92" t="s">
        <v>27</v>
      </c>
      <c r="I92" t="s">
        <v>300</v>
      </c>
      <c r="J92" t="s">
        <v>29</v>
      </c>
      <c r="K92" t="s">
        <v>30</v>
      </c>
      <c r="L92" t="s">
        <v>497</v>
      </c>
      <c r="M92" t="s">
        <v>32</v>
      </c>
      <c r="N92" t="s">
        <v>51</v>
      </c>
      <c r="O92" t="s">
        <v>498</v>
      </c>
      <c r="P92">
        <v>9.09</v>
      </c>
      <c r="Q92">
        <v>3</v>
      </c>
      <c r="R92">
        <v>1.9089</v>
      </c>
      <c r="S92" s="3" t="s">
        <v>53</v>
      </c>
      <c r="T92">
        <v>2014</v>
      </c>
      <c r="U92" t="s">
        <v>133</v>
      </c>
      <c r="V92" s="2">
        <v>0.21</v>
      </c>
    </row>
    <row r="93" spans="1:22" x14ac:dyDescent="0.25">
      <c r="A93" t="s">
        <v>499</v>
      </c>
      <c r="B93" s="1">
        <v>41842</v>
      </c>
      <c r="C93" s="1">
        <v>41847</v>
      </c>
      <c r="D93" t="s">
        <v>23</v>
      </c>
      <c r="E93" t="s">
        <v>500</v>
      </c>
      <c r="F93" t="s">
        <v>501</v>
      </c>
      <c r="G93" t="s">
        <v>26</v>
      </c>
      <c r="H93" t="s">
        <v>27</v>
      </c>
      <c r="I93" t="s">
        <v>103</v>
      </c>
      <c r="J93" t="s">
        <v>104</v>
      </c>
      <c r="K93" t="s">
        <v>95</v>
      </c>
      <c r="L93" t="s">
        <v>502</v>
      </c>
      <c r="M93" t="s">
        <v>32</v>
      </c>
      <c r="N93" t="s">
        <v>51</v>
      </c>
      <c r="O93" t="s">
        <v>503</v>
      </c>
      <c r="P93">
        <v>159.97999999999999</v>
      </c>
      <c r="Q93">
        <v>2</v>
      </c>
      <c r="R93">
        <v>57.592799999999997</v>
      </c>
      <c r="S93" s="3" t="s">
        <v>35</v>
      </c>
      <c r="T93">
        <v>2014</v>
      </c>
      <c r="U93" t="s">
        <v>332</v>
      </c>
      <c r="V93" s="2">
        <v>0.36</v>
      </c>
    </row>
    <row r="94" spans="1:22" x14ac:dyDescent="0.25">
      <c r="A94" t="s">
        <v>504</v>
      </c>
      <c r="B94" s="1">
        <v>42896</v>
      </c>
      <c r="C94" s="1">
        <v>42899</v>
      </c>
      <c r="D94" t="s">
        <v>56</v>
      </c>
      <c r="E94" t="s">
        <v>505</v>
      </c>
      <c r="F94" t="s">
        <v>506</v>
      </c>
      <c r="G94" t="s">
        <v>70</v>
      </c>
      <c r="H94" t="s">
        <v>27</v>
      </c>
      <c r="I94" t="s">
        <v>28</v>
      </c>
      <c r="J94" t="s">
        <v>29</v>
      </c>
      <c r="K94" t="s">
        <v>30</v>
      </c>
      <c r="L94" t="s">
        <v>507</v>
      </c>
      <c r="M94" t="s">
        <v>32</v>
      </c>
      <c r="N94" t="s">
        <v>33</v>
      </c>
      <c r="O94" t="s">
        <v>508</v>
      </c>
      <c r="P94">
        <v>279.95999999999998</v>
      </c>
      <c r="Q94">
        <v>5</v>
      </c>
      <c r="R94">
        <v>17.497499999999999</v>
      </c>
      <c r="S94" s="3" t="s">
        <v>172</v>
      </c>
      <c r="T94">
        <v>2017</v>
      </c>
      <c r="U94" t="s">
        <v>36</v>
      </c>
      <c r="V94" s="2">
        <v>6.25E-2</v>
      </c>
    </row>
    <row r="95" spans="1:22" x14ac:dyDescent="0.25">
      <c r="A95" t="s">
        <v>509</v>
      </c>
      <c r="B95" s="1">
        <v>41941</v>
      </c>
      <c r="C95" s="1">
        <v>41943</v>
      </c>
      <c r="D95" t="s">
        <v>56</v>
      </c>
      <c r="E95" t="s">
        <v>510</v>
      </c>
      <c r="F95" t="s">
        <v>511</v>
      </c>
      <c r="G95" t="s">
        <v>26</v>
      </c>
      <c r="H95" t="s">
        <v>27</v>
      </c>
      <c r="I95" t="s">
        <v>140</v>
      </c>
      <c r="J95" t="s">
        <v>78</v>
      </c>
      <c r="K95" t="s">
        <v>62</v>
      </c>
      <c r="L95" t="s">
        <v>512</v>
      </c>
      <c r="M95" t="s">
        <v>32</v>
      </c>
      <c r="N95" t="s">
        <v>33</v>
      </c>
      <c r="O95" t="s">
        <v>513</v>
      </c>
      <c r="P95">
        <v>2735.9520000000002</v>
      </c>
      <c r="Q95">
        <v>6</v>
      </c>
      <c r="R95">
        <v>341.99400000000003</v>
      </c>
      <c r="S95" s="3" t="s">
        <v>65</v>
      </c>
      <c r="T95">
        <v>2014</v>
      </c>
      <c r="U95" t="s">
        <v>133</v>
      </c>
      <c r="V95" s="2">
        <v>0.125</v>
      </c>
    </row>
    <row r="96" spans="1:22" x14ac:dyDescent="0.25">
      <c r="A96" t="s">
        <v>514</v>
      </c>
      <c r="B96" s="1">
        <v>41799</v>
      </c>
      <c r="C96" s="1">
        <v>41803</v>
      </c>
      <c r="D96" t="s">
        <v>40</v>
      </c>
      <c r="E96" t="s">
        <v>515</v>
      </c>
      <c r="F96" t="s">
        <v>516</v>
      </c>
      <c r="G96" t="s">
        <v>70</v>
      </c>
      <c r="H96" t="s">
        <v>27</v>
      </c>
      <c r="I96" t="s">
        <v>517</v>
      </c>
      <c r="J96" t="s">
        <v>61</v>
      </c>
      <c r="K96" t="s">
        <v>62</v>
      </c>
      <c r="L96" t="s">
        <v>518</v>
      </c>
      <c r="M96" t="s">
        <v>32</v>
      </c>
      <c r="N96" t="s">
        <v>33</v>
      </c>
      <c r="O96" t="s">
        <v>519</v>
      </c>
      <c r="P96">
        <v>7.992</v>
      </c>
      <c r="Q96">
        <v>1</v>
      </c>
      <c r="R96">
        <v>0.59940000000000004</v>
      </c>
      <c r="S96" s="3" t="s">
        <v>53</v>
      </c>
      <c r="T96">
        <v>2014</v>
      </c>
      <c r="U96" t="s">
        <v>36</v>
      </c>
      <c r="V96" s="2">
        <v>7.4999999999999997E-2</v>
      </c>
    </row>
    <row r="97" spans="1:22" x14ac:dyDescent="0.25">
      <c r="A97" t="s">
        <v>514</v>
      </c>
      <c r="B97" s="1">
        <v>41799</v>
      </c>
      <c r="C97" s="1">
        <v>41803</v>
      </c>
      <c r="D97" t="s">
        <v>40</v>
      </c>
      <c r="E97" t="s">
        <v>515</v>
      </c>
      <c r="F97" t="s">
        <v>516</v>
      </c>
      <c r="G97" t="s">
        <v>70</v>
      </c>
      <c r="H97" t="s">
        <v>27</v>
      </c>
      <c r="I97" t="s">
        <v>517</v>
      </c>
      <c r="J97" t="s">
        <v>61</v>
      </c>
      <c r="K97" t="s">
        <v>62</v>
      </c>
      <c r="L97" t="s">
        <v>520</v>
      </c>
      <c r="M97" t="s">
        <v>32</v>
      </c>
      <c r="N97" t="s">
        <v>51</v>
      </c>
      <c r="O97" t="s">
        <v>521</v>
      </c>
      <c r="P97">
        <v>63.984000000000002</v>
      </c>
      <c r="Q97">
        <v>2</v>
      </c>
      <c r="R97">
        <v>10.397399999999999</v>
      </c>
      <c r="S97" s="3" t="s">
        <v>53</v>
      </c>
      <c r="T97">
        <v>2014</v>
      </c>
      <c r="U97" t="s">
        <v>36</v>
      </c>
      <c r="V97" s="2">
        <v>0.16250000000000001</v>
      </c>
    </row>
    <row r="98" spans="1:22" x14ac:dyDescent="0.25">
      <c r="A98" t="s">
        <v>522</v>
      </c>
      <c r="B98" s="1">
        <v>42499</v>
      </c>
      <c r="C98" s="1">
        <v>42504</v>
      </c>
      <c r="D98" t="s">
        <v>23</v>
      </c>
      <c r="E98" t="s">
        <v>523</v>
      </c>
      <c r="F98" t="s">
        <v>524</v>
      </c>
      <c r="G98" t="s">
        <v>26</v>
      </c>
      <c r="H98" t="s">
        <v>27</v>
      </c>
      <c r="I98" t="s">
        <v>481</v>
      </c>
      <c r="J98" t="s">
        <v>426</v>
      </c>
      <c r="K98" t="s">
        <v>30</v>
      </c>
      <c r="L98" t="s">
        <v>525</v>
      </c>
      <c r="M98" t="s">
        <v>32</v>
      </c>
      <c r="N98" t="s">
        <v>51</v>
      </c>
      <c r="O98" t="s">
        <v>526</v>
      </c>
      <c r="P98">
        <v>93.98</v>
      </c>
      <c r="Q98">
        <v>2</v>
      </c>
      <c r="R98">
        <v>13.1572</v>
      </c>
      <c r="S98" s="3" t="s">
        <v>35</v>
      </c>
      <c r="T98">
        <v>2016</v>
      </c>
      <c r="U98" t="s">
        <v>527</v>
      </c>
      <c r="V98" s="2">
        <v>0.14000000000000001</v>
      </c>
    </row>
    <row r="99" spans="1:22" x14ac:dyDescent="0.25">
      <c r="A99" t="s">
        <v>528</v>
      </c>
      <c r="B99" s="1">
        <v>43065</v>
      </c>
      <c r="C99" s="1">
        <v>43066</v>
      </c>
      <c r="D99" t="s">
        <v>56</v>
      </c>
      <c r="E99" t="s">
        <v>529</v>
      </c>
      <c r="F99" t="s">
        <v>530</v>
      </c>
      <c r="G99" t="s">
        <v>26</v>
      </c>
      <c r="H99" t="s">
        <v>27</v>
      </c>
      <c r="I99" t="s">
        <v>531</v>
      </c>
      <c r="J99" t="s">
        <v>532</v>
      </c>
      <c r="K99" t="s">
        <v>62</v>
      </c>
      <c r="L99" t="s">
        <v>533</v>
      </c>
      <c r="M99" t="s">
        <v>32</v>
      </c>
      <c r="N99" t="s">
        <v>51</v>
      </c>
      <c r="O99" t="s">
        <v>534</v>
      </c>
      <c r="P99">
        <v>38.04</v>
      </c>
      <c r="Q99">
        <v>2</v>
      </c>
      <c r="R99">
        <v>12.172800000000001</v>
      </c>
      <c r="S99" s="3" t="s">
        <v>112</v>
      </c>
      <c r="T99">
        <v>2017</v>
      </c>
      <c r="U99" t="s">
        <v>118</v>
      </c>
      <c r="V99" s="2">
        <v>0.32</v>
      </c>
    </row>
    <row r="100" spans="1:22" x14ac:dyDescent="0.25">
      <c r="A100" t="s">
        <v>535</v>
      </c>
      <c r="B100" s="1">
        <v>42757</v>
      </c>
      <c r="C100" s="1">
        <v>42762</v>
      </c>
      <c r="D100" t="s">
        <v>23</v>
      </c>
      <c r="E100" t="s">
        <v>536</v>
      </c>
      <c r="F100" t="s">
        <v>537</v>
      </c>
      <c r="G100" t="s">
        <v>70</v>
      </c>
      <c r="H100" t="s">
        <v>27</v>
      </c>
      <c r="I100" t="s">
        <v>538</v>
      </c>
      <c r="J100" t="s">
        <v>539</v>
      </c>
      <c r="K100" t="s">
        <v>30</v>
      </c>
      <c r="L100" t="s">
        <v>540</v>
      </c>
      <c r="M100" t="s">
        <v>32</v>
      </c>
      <c r="N100" t="s">
        <v>381</v>
      </c>
      <c r="O100" t="s">
        <v>541</v>
      </c>
      <c r="P100">
        <v>2999.95</v>
      </c>
      <c r="Q100">
        <v>5</v>
      </c>
      <c r="R100">
        <v>1379.9770000000001</v>
      </c>
      <c r="S100" s="3" t="s">
        <v>35</v>
      </c>
      <c r="T100">
        <v>2017</v>
      </c>
      <c r="U100" t="s">
        <v>54</v>
      </c>
      <c r="V100" s="2">
        <v>0.46</v>
      </c>
    </row>
    <row r="101" spans="1:22" x14ac:dyDescent="0.25">
      <c r="A101" t="s">
        <v>542</v>
      </c>
      <c r="B101" s="1">
        <v>42085</v>
      </c>
      <c r="C101" s="1">
        <v>42089</v>
      </c>
      <c r="D101" t="s">
        <v>23</v>
      </c>
      <c r="E101" t="s">
        <v>543</v>
      </c>
      <c r="F101" t="s">
        <v>544</v>
      </c>
      <c r="G101" t="s">
        <v>26</v>
      </c>
      <c r="H101" t="s">
        <v>27</v>
      </c>
      <c r="I101" t="s">
        <v>71</v>
      </c>
      <c r="J101" t="s">
        <v>61</v>
      </c>
      <c r="K101" t="s">
        <v>62</v>
      </c>
      <c r="L101" t="s">
        <v>87</v>
      </c>
      <c r="M101" t="s">
        <v>32</v>
      </c>
      <c r="N101" t="s">
        <v>51</v>
      </c>
      <c r="O101" t="s">
        <v>88</v>
      </c>
      <c r="P101">
        <v>18.391999999999999</v>
      </c>
      <c r="Q101">
        <v>1</v>
      </c>
      <c r="R101">
        <v>5.2877000000000001</v>
      </c>
      <c r="S101" s="3" t="s">
        <v>53</v>
      </c>
      <c r="T101">
        <v>2015</v>
      </c>
      <c r="U101" t="s">
        <v>89</v>
      </c>
      <c r="V101" s="2">
        <v>0.28749999999999998</v>
      </c>
    </row>
    <row r="102" spans="1:22" x14ac:dyDescent="0.25">
      <c r="A102" t="s">
        <v>545</v>
      </c>
      <c r="B102" s="1">
        <v>42511</v>
      </c>
      <c r="C102" s="1">
        <v>42513</v>
      </c>
      <c r="D102" t="s">
        <v>56</v>
      </c>
      <c r="E102" t="s">
        <v>546</v>
      </c>
      <c r="F102" t="s">
        <v>547</v>
      </c>
      <c r="G102" t="s">
        <v>26</v>
      </c>
      <c r="H102" t="s">
        <v>27</v>
      </c>
      <c r="I102" t="s">
        <v>28</v>
      </c>
      <c r="J102" t="s">
        <v>29</v>
      </c>
      <c r="K102" t="s">
        <v>30</v>
      </c>
      <c r="L102" t="s">
        <v>548</v>
      </c>
      <c r="M102" t="s">
        <v>32</v>
      </c>
      <c r="N102" t="s">
        <v>33</v>
      </c>
      <c r="O102" t="s">
        <v>549</v>
      </c>
      <c r="P102">
        <v>55.176000000000002</v>
      </c>
      <c r="Q102">
        <v>3</v>
      </c>
      <c r="R102">
        <v>-12.4146</v>
      </c>
      <c r="S102" s="3" t="s">
        <v>65</v>
      </c>
      <c r="T102">
        <v>2016</v>
      </c>
      <c r="U102" t="s">
        <v>527</v>
      </c>
      <c r="V102" s="2">
        <v>-0.22500000000000001</v>
      </c>
    </row>
    <row r="103" spans="1:22" x14ac:dyDescent="0.25">
      <c r="A103" t="s">
        <v>545</v>
      </c>
      <c r="B103" s="1">
        <v>42511</v>
      </c>
      <c r="C103" s="1">
        <v>42513</v>
      </c>
      <c r="D103" t="s">
        <v>56</v>
      </c>
      <c r="E103" t="s">
        <v>546</v>
      </c>
      <c r="F103" t="s">
        <v>547</v>
      </c>
      <c r="G103" t="s">
        <v>26</v>
      </c>
      <c r="H103" t="s">
        <v>27</v>
      </c>
      <c r="I103" t="s">
        <v>28</v>
      </c>
      <c r="J103" t="s">
        <v>29</v>
      </c>
      <c r="K103" t="s">
        <v>30</v>
      </c>
      <c r="L103" t="s">
        <v>289</v>
      </c>
      <c r="M103" t="s">
        <v>32</v>
      </c>
      <c r="N103" t="s">
        <v>51</v>
      </c>
      <c r="O103" t="s">
        <v>550</v>
      </c>
      <c r="P103">
        <v>66.260000000000005</v>
      </c>
      <c r="Q103">
        <v>2</v>
      </c>
      <c r="R103">
        <v>27.166599999999999</v>
      </c>
      <c r="S103" s="3" t="s">
        <v>65</v>
      </c>
      <c r="T103">
        <v>2016</v>
      </c>
      <c r="U103" t="s">
        <v>527</v>
      </c>
      <c r="V103" s="2">
        <v>0.41</v>
      </c>
    </row>
    <row r="104" spans="1:22" x14ac:dyDescent="0.25">
      <c r="A104" t="s">
        <v>551</v>
      </c>
      <c r="B104" s="1">
        <v>42519</v>
      </c>
      <c r="C104" s="1">
        <v>42522</v>
      </c>
      <c r="D104" t="s">
        <v>40</v>
      </c>
      <c r="E104" t="s">
        <v>552</v>
      </c>
      <c r="F104" t="s">
        <v>553</v>
      </c>
      <c r="G104" t="s">
        <v>26</v>
      </c>
      <c r="H104" t="s">
        <v>27</v>
      </c>
      <c r="I104" t="s">
        <v>554</v>
      </c>
      <c r="J104" t="s">
        <v>555</v>
      </c>
      <c r="K104" t="s">
        <v>155</v>
      </c>
      <c r="L104" t="s">
        <v>556</v>
      </c>
      <c r="M104" t="s">
        <v>32</v>
      </c>
      <c r="N104" t="s">
        <v>33</v>
      </c>
      <c r="O104" t="s">
        <v>557</v>
      </c>
      <c r="P104">
        <v>979.95</v>
      </c>
      <c r="Q104">
        <v>5</v>
      </c>
      <c r="R104">
        <v>274.38600000000002</v>
      </c>
      <c r="S104" s="3" t="s">
        <v>172</v>
      </c>
      <c r="T104">
        <v>2016</v>
      </c>
      <c r="U104" t="s">
        <v>527</v>
      </c>
      <c r="V104" s="2">
        <v>0.28000000000000003</v>
      </c>
    </row>
    <row r="105" spans="1:22" x14ac:dyDescent="0.25">
      <c r="A105" t="s">
        <v>558</v>
      </c>
      <c r="B105" s="1">
        <v>41671</v>
      </c>
      <c r="C105" s="1">
        <v>41673</v>
      </c>
      <c r="D105" t="s">
        <v>56</v>
      </c>
      <c r="E105" t="s">
        <v>559</v>
      </c>
      <c r="F105" t="s">
        <v>560</v>
      </c>
      <c r="G105" t="s">
        <v>26</v>
      </c>
      <c r="H105" t="s">
        <v>27</v>
      </c>
      <c r="I105" t="s">
        <v>561</v>
      </c>
      <c r="J105" t="s">
        <v>185</v>
      </c>
      <c r="K105" t="s">
        <v>62</v>
      </c>
      <c r="L105" t="s">
        <v>562</v>
      </c>
      <c r="M105" t="s">
        <v>32</v>
      </c>
      <c r="N105" t="s">
        <v>51</v>
      </c>
      <c r="O105" t="s">
        <v>563</v>
      </c>
      <c r="P105">
        <v>468.9</v>
      </c>
      <c r="Q105">
        <v>6</v>
      </c>
      <c r="R105">
        <v>206.316</v>
      </c>
      <c r="S105" s="3" t="s">
        <v>65</v>
      </c>
      <c r="T105">
        <v>2014</v>
      </c>
      <c r="U105" t="s">
        <v>180</v>
      </c>
      <c r="V105" s="2">
        <v>0.44</v>
      </c>
    </row>
    <row r="106" spans="1:22" x14ac:dyDescent="0.25">
      <c r="A106" t="s">
        <v>564</v>
      </c>
      <c r="B106" s="1">
        <v>42565</v>
      </c>
      <c r="C106" s="1">
        <v>42568</v>
      </c>
      <c r="D106" t="s">
        <v>56</v>
      </c>
      <c r="E106" t="s">
        <v>565</v>
      </c>
      <c r="F106" t="s">
        <v>566</v>
      </c>
      <c r="G106" t="s">
        <v>59</v>
      </c>
      <c r="H106" t="s">
        <v>27</v>
      </c>
      <c r="I106" t="s">
        <v>397</v>
      </c>
      <c r="J106" t="s">
        <v>123</v>
      </c>
      <c r="K106" t="s">
        <v>30</v>
      </c>
      <c r="L106" t="s">
        <v>567</v>
      </c>
      <c r="M106" t="s">
        <v>32</v>
      </c>
      <c r="N106" t="s">
        <v>33</v>
      </c>
      <c r="O106" t="s">
        <v>568</v>
      </c>
      <c r="P106">
        <v>380.86399999999998</v>
      </c>
      <c r="Q106">
        <v>8</v>
      </c>
      <c r="R106">
        <v>38.086399999999998</v>
      </c>
      <c r="S106" s="3" t="s">
        <v>172</v>
      </c>
      <c r="T106">
        <v>2016</v>
      </c>
      <c r="U106" t="s">
        <v>332</v>
      </c>
      <c r="V106" s="2">
        <v>0.1</v>
      </c>
    </row>
    <row r="107" spans="1:22" x14ac:dyDescent="0.25">
      <c r="A107" t="s">
        <v>569</v>
      </c>
      <c r="B107" s="1">
        <v>41770</v>
      </c>
      <c r="C107" s="1">
        <v>41775</v>
      </c>
      <c r="D107" t="s">
        <v>23</v>
      </c>
      <c r="E107" t="s">
        <v>127</v>
      </c>
      <c r="F107" t="s">
        <v>128</v>
      </c>
      <c r="G107" t="s">
        <v>26</v>
      </c>
      <c r="H107" t="s">
        <v>27</v>
      </c>
      <c r="I107" t="s">
        <v>570</v>
      </c>
      <c r="J107" t="s">
        <v>61</v>
      </c>
      <c r="K107" t="s">
        <v>62</v>
      </c>
      <c r="L107" t="s">
        <v>571</v>
      </c>
      <c r="M107" t="s">
        <v>32</v>
      </c>
      <c r="N107" t="s">
        <v>51</v>
      </c>
      <c r="O107" t="s">
        <v>572</v>
      </c>
      <c r="P107">
        <v>58.112000000000002</v>
      </c>
      <c r="Q107">
        <v>2</v>
      </c>
      <c r="R107">
        <v>7.2640000000000002</v>
      </c>
      <c r="S107" s="3" t="s">
        <v>35</v>
      </c>
      <c r="T107">
        <v>2014</v>
      </c>
      <c r="U107" t="s">
        <v>527</v>
      </c>
      <c r="V107" s="2">
        <v>0.125</v>
      </c>
    </row>
    <row r="108" spans="1:22" x14ac:dyDescent="0.25">
      <c r="A108" t="s">
        <v>569</v>
      </c>
      <c r="B108" s="1">
        <v>41770</v>
      </c>
      <c r="C108" s="1">
        <v>41775</v>
      </c>
      <c r="D108" t="s">
        <v>23</v>
      </c>
      <c r="E108" t="s">
        <v>127</v>
      </c>
      <c r="F108" t="s">
        <v>128</v>
      </c>
      <c r="G108" t="s">
        <v>26</v>
      </c>
      <c r="H108" t="s">
        <v>27</v>
      </c>
      <c r="I108" t="s">
        <v>570</v>
      </c>
      <c r="J108" t="s">
        <v>61</v>
      </c>
      <c r="K108" t="s">
        <v>62</v>
      </c>
      <c r="L108" t="s">
        <v>573</v>
      </c>
      <c r="M108" t="s">
        <v>32</v>
      </c>
      <c r="N108" t="s">
        <v>33</v>
      </c>
      <c r="O108" t="s">
        <v>574</v>
      </c>
      <c r="P108">
        <v>100.792</v>
      </c>
      <c r="Q108">
        <v>1</v>
      </c>
      <c r="R108">
        <v>6.2995000000000001</v>
      </c>
      <c r="S108" s="3" t="s">
        <v>35</v>
      </c>
      <c r="T108">
        <v>2014</v>
      </c>
      <c r="U108" t="s">
        <v>527</v>
      </c>
      <c r="V108" s="2">
        <v>6.25E-2</v>
      </c>
    </row>
    <row r="109" spans="1:22" x14ac:dyDescent="0.25">
      <c r="A109" t="s">
        <v>575</v>
      </c>
      <c r="B109" s="1">
        <v>43076</v>
      </c>
      <c r="C109" s="1">
        <v>43079</v>
      </c>
      <c r="D109" t="s">
        <v>56</v>
      </c>
      <c r="E109" t="s">
        <v>576</v>
      </c>
      <c r="F109" t="s">
        <v>577</v>
      </c>
      <c r="G109" t="s">
        <v>26</v>
      </c>
      <c r="H109" t="s">
        <v>27</v>
      </c>
      <c r="I109" t="s">
        <v>28</v>
      </c>
      <c r="J109" t="s">
        <v>29</v>
      </c>
      <c r="K109" t="s">
        <v>30</v>
      </c>
      <c r="L109" t="s">
        <v>578</v>
      </c>
      <c r="M109" t="s">
        <v>32</v>
      </c>
      <c r="N109" t="s">
        <v>33</v>
      </c>
      <c r="O109" t="s">
        <v>579</v>
      </c>
      <c r="P109">
        <v>374.37599999999998</v>
      </c>
      <c r="Q109">
        <v>3</v>
      </c>
      <c r="R109">
        <v>46.796999999999997</v>
      </c>
      <c r="S109" s="3" t="s">
        <v>172</v>
      </c>
      <c r="T109">
        <v>2017</v>
      </c>
      <c r="U109" t="s">
        <v>66</v>
      </c>
      <c r="V109" s="2">
        <v>0.125</v>
      </c>
    </row>
    <row r="110" spans="1:22" x14ac:dyDescent="0.25">
      <c r="A110" t="s">
        <v>580</v>
      </c>
      <c r="B110" s="1">
        <v>43097</v>
      </c>
      <c r="C110" s="1">
        <v>43104</v>
      </c>
      <c r="D110" t="s">
        <v>23</v>
      </c>
      <c r="E110" t="s">
        <v>581</v>
      </c>
      <c r="F110" t="s">
        <v>582</v>
      </c>
      <c r="G110" t="s">
        <v>26</v>
      </c>
      <c r="H110" t="s">
        <v>27</v>
      </c>
      <c r="I110" t="s">
        <v>103</v>
      </c>
      <c r="J110" t="s">
        <v>104</v>
      </c>
      <c r="K110" t="s">
        <v>95</v>
      </c>
      <c r="L110" t="s">
        <v>583</v>
      </c>
      <c r="M110" t="s">
        <v>32</v>
      </c>
      <c r="N110" t="s">
        <v>33</v>
      </c>
      <c r="O110" t="s">
        <v>584</v>
      </c>
      <c r="P110">
        <v>14.85</v>
      </c>
      <c r="Q110">
        <v>3</v>
      </c>
      <c r="R110">
        <v>4.0095000000000001</v>
      </c>
      <c r="S110" s="3" t="s">
        <v>132</v>
      </c>
      <c r="T110">
        <v>2017</v>
      </c>
      <c r="U110" t="s">
        <v>66</v>
      </c>
      <c r="V110" s="2">
        <v>0.27</v>
      </c>
    </row>
    <row r="111" spans="1:22" x14ac:dyDescent="0.25">
      <c r="A111" t="s">
        <v>585</v>
      </c>
      <c r="B111" s="1">
        <v>43070</v>
      </c>
      <c r="C111" s="1">
        <v>43074</v>
      </c>
      <c r="D111" t="s">
        <v>23</v>
      </c>
      <c r="E111" t="s">
        <v>586</v>
      </c>
      <c r="F111" t="s">
        <v>587</v>
      </c>
      <c r="G111" t="s">
        <v>26</v>
      </c>
      <c r="H111" t="s">
        <v>27</v>
      </c>
      <c r="I111" t="s">
        <v>588</v>
      </c>
      <c r="J111" t="s">
        <v>147</v>
      </c>
      <c r="K111" t="s">
        <v>30</v>
      </c>
      <c r="L111" t="s">
        <v>63</v>
      </c>
      <c r="M111" t="s">
        <v>32</v>
      </c>
      <c r="N111" t="s">
        <v>33</v>
      </c>
      <c r="O111" t="s">
        <v>64</v>
      </c>
      <c r="P111">
        <v>470.37599999999998</v>
      </c>
      <c r="Q111">
        <v>3</v>
      </c>
      <c r="R111">
        <v>52.917299999999997</v>
      </c>
      <c r="S111" s="3" t="s">
        <v>53</v>
      </c>
      <c r="T111">
        <v>2017</v>
      </c>
      <c r="U111" t="s">
        <v>66</v>
      </c>
      <c r="V111" s="2">
        <v>0.1125</v>
      </c>
    </row>
    <row r="112" spans="1:22" x14ac:dyDescent="0.25">
      <c r="A112" t="s">
        <v>585</v>
      </c>
      <c r="B112" s="1">
        <v>43070</v>
      </c>
      <c r="C112" s="1">
        <v>43074</v>
      </c>
      <c r="D112" t="s">
        <v>23</v>
      </c>
      <c r="E112" t="s">
        <v>586</v>
      </c>
      <c r="F112" t="s">
        <v>587</v>
      </c>
      <c r="G112" t="s">
        <v>26</v>
      </c>
      <c r="H112" t="s">
        <v>27</v>
      </c>
      <c r="I112" t="s">
        <v>588</v>
      </c>
      <c r="J112" t="s">
        <v>147</v>
      </c>
      <c r="K112" t="s">
        <v>30</v>
      </c>
      <c r="L112" t="s">
        <v>589</v>
      </c>
      <c r="M112" t="s">
        <v>32</v>
      </c>
      <c r="N112" t="s">
        <v>33</v>
      </c>
      <c r="O112" t="s">
        <v>590</v>
      </c>
      <c r="P112">
        <v>105.584</v>
      </c>
      <c r="Q112">
        <v>2</v>
      </c>
      <c r="R112">
        <v>9.2385999999999999</v>
      </c>
      <c r="S112" s="3" t="s">
        <v>53</v>
      </c>
      <c r="T112">
        <v>2017</v>
      </c>
      <c r="U112" t="s">
        <v>66</v>
      </c>
      <c r="V112" s="2">
        <v>8.7499999999999994E-2</v>
      </c>
    </row>
    <row r="113" spans="1:22" x14ac:dyDescent="0.25">
      <c r="A113" t="s">
        <v>585</v>
      </c>
      <c r="B113" s="1">
        <v>43070</v>
      </c>
      <c r="C113" s="1">
        <v>43074</v>
      </c>
      <c r="D113" t="s">
        <v>23</v>
      </c>
      <c r="E113" t="s">
        <v>586</v>
      </c>
      <c r="F113" t="s">
        <v>587</v>
      </c>
      <c r="G113" t="s">
        <v>26</v>
      </c>
      <c r="H113" t="s">
        <v>27</v>
      </c>
      <c r="I113" t="s">
        <v>588</v>
      </c>
      <c r="J113" t="s">
        <v>147</v>
      </c>
      <c r="K113" t="s">
        <v>30</v>
      </c>
      <c r="L113" t="s">
        <v>194</v>
      </c>
      <c r="M113" t="s">
        <v>32</v>
      </c>
      <c r="N113" t="s">
        <v>33</v>
      </c>
      <c r="O113" t="s">
        <v>195</v>
      </c>
      <c r="P113">
        <v>406.36799999999999</v>
      </c>
      <c r="Q113">
        <v>4</v>
      </c>
      <c r="R113">
        <v>30.477599999999999</v>
      </c>
      <c r="S113" s="3" t="s">
        <v>53</v>
      </c>
      <c r="T113">
        <v>2017</v>
      </c>
      <c r="U113" t="s">
        <v>66</v>
      </c>
      <c r="V113" s="2">
        <v>7.4999999999999997E-2</v>
      </c>
    </row>
    <row r="114" spans="1:22" x14ac:dyDescent="0.25">
      <c r="A114" t="s">
        <v>591</v>
      </c>
      <c r="B114" s="1">
        <v>42449</v>
      </c>
      <c r="C114" s="1">
        <v>42453</v>
      </c>
      <c r="D114" t="s">
        <v>23</v>
      </c>
      <c r="E114" t="s">
        <v>592</v>
      </c>
      <c r="F114" t="s">
        <v>593</v>
      </c>
      <c r="G114" t="s">
        <v>26</v>
      </c>
      <c r="H114" t="s">
        <v>27</v>
      </c>
      <c r="I114" t="s">
        <v>594</v>
      </c>
      <c r="J114" t="s">
        <v>340</v>
      </c>
      <c r="K114" t="s">
        <v>30</v>
      </c>
      <c r="L114" t="s">
        <v>595</v>
      </c>
      <c r="M114" t="s">
        <v>32</v>
      </c>
      <c r="N114" t="s">
        <v>33</v>
      </c>
      <c r="O114" t="s">
        <v>596</v>
      </c>
      <c r="P114">
        <v>84.784000000000006</v>
      </c>
      <c r="Q114">
        <v>2</v>
      </c>
      <c r="R114">
        <v>-20.136199999999999</v>
      </c>
      <c r="S114" s="3" t="s">
        <v>53</v>
      </c>
      <c r="T114">
        <v>2016</v>
      </c>
      <c r="U114" t="s">
        <v>89</v>
      </c>
      <c r="V114" s="2">
        <v>-0.23749999999999999</v>
      </c>
    </row>
    <row r="115" spans="1:22" x14ac:dyDescent="0.25">
      <c r="A115" t="s">
        <v>597</v>
      </c>
      <c r="B115" s="1">
        <v>41648</v>
      </c>
      <c r="C115" s="1">
        <v>41652</v>
      </c>
      <c r="D115" t="s">
        <v>23</v>
      </c>
      <c r="E115" t="s">
        <v>598</v>
      </c>
      <c r="F115" t="s">
        <v>599</v>
      </c>
      <c r="G115" t="s">
        <v>26</v>
      </c>
      <c r="H115" t="s">
        <v>27</v>
      </c>
      <c r="I115" t="s">
        <v>600</v>
      </c>
      <c r="J115" t="s">
        <v>61</v>
      </c>
      <c r="K115" t="s">
        <v>62</v>
      </c>
      <c r="L115" t="s">
        <v>263</v>
      </c>
      <c r="M115" t="s">
        <v>32</v>
      </c>
      <c r="N115" t="s">
        <v>51</v>
      </c>
      <c r="O115" t="s">
        <v>264</v>
      </c>
      <c r="P115">
        <v>31.2</v>
      </c>
      <c r="Q115">
        <v>3</v>
      </c>
      <c r="R115">
        <v>9.75</v>
      </c>
      <c r="S115" s="3" t="s">
        <v>53</v>
      </c>
      <c r="T115">
        <v>2014</v>
      </c>
      <c r="U115" t="s">
        <v>54</v>
      </c>
      <c r="V115" s="2">
        <v>0.3125</v>
      </c>
    </row>
    <row r="116" spans="1:22" x14ac:dyDescent="0.25">
      <c r="A116" t="s">
        <v>601</v>
      </c>
      <c r="B116" s="1">
        <v>41859</v>
      </c>
      <c r="C116" s="1">
        <v>41866</v>
      </c>
      <c r="D116" t="s">
        <v>23</v>
      </c>
      <c r="E116" t="s">
        <v>602</v>
      </c>
      <c r="F116" t="s">
        <v>603</v>
      </c>
      <c r="G116" t="s">
        <v>26</v>
      </c>
      <c r="H116" t="s">
        <v>27</v>
      </c>
      <c r="I116" t="s">
        <v>300</v>
      </c>
      <c r="J116" t="s">
        <v>29</v>
      </c>
      <c r="K116" t="s">
        <v>30</v>
      </c>
      <c r="L116" t="s">
        <v>439</v>
      </c>
      <c r="M116" t="s">
        <v>32</v>
      </c>
      <c r="N116" t="s">
        <v>381</v>
      </c>
      <c r="O116" t="s">
        <v>440</v>
      </c>
      <c r="P116">
        <v>1199.9760000000001</v>
      </c>
      <c r="Q116">
        <v>3</v>
      </c>
      <c r="R116">
        <v>434.99130000000002</v>
      </c>
      <c r="S116" s="3" t="s">
        <v>132</v>
      </c>
      <c r="T116">
        <v>2014</v>
      </c>
      <c r="U116" t="s">
        <v>46</v>
      </c>
      <c r="V116" s="2">
        <v>0.36249999999999999</v>
      </c>
    </row>
    <row r="117" spans="1:22" x14ac:dyDescent="0.25">
      <c r="A117" t="s">
        <v>601</v>
      </c>
      <c r="B117" s="1">
        <v>41859</v>
      </c>
      <c r="C117" s="1">
        <v>41866</v>
      </c>
      <c r="D117" t="s">
        <v>23</v>
      </c>
      <c r="E117" t="s">
        <v>602</v>
      </c>
      <c r="F117" t="s">
        <v>603</v>
      </c>
      <c r="G117" t="s">
        <v>26</v>
      </c>
      <c r="H117" t="s">
        <v>27</v>
      </c>
      <c r="I117" t="s">
        <v>300</v>
      </c>
      <c r="J117" t="s">
        <v>29</v>
      </c>
      <c r="K117" t="s">
        <v>30</v>
      </c>
      <c r="L117" t="s">
        <v>352</v>
      </c>
      <c r="M117" t="s">
        <v>32</v>
      </c>
      <c r="N117" t="s">
        <v>33</v>
      </c>
      <c r="O117" t="s">
        <v>353</v>
      </c>
      <c r="P117">
        <v>445.96</v>
      </c>
      <c r="Q117">
        <v>5</v>
      </c>
      <c r="R117">
        <v>55.744999999999997</v>
      </c>
      <c r="S117" s="3" t="s">
        <v>132</v>
      </c>
      <c r="T117">
        <v>2014</v>
      </c>
      <c r="U117" t="s">
        <v>46</v>
      </c>
      <c r="V117" s="2">
        <v>0.125</v>
      </c>
    </row>
    <row r="118" spans="1:22" x14ac:dyDescent="0.25">
      <c r="A118" t="s">
        <v>604</v>
      </c>
      <c r="B118" s="1">
        <v>42567</v>
      </c>
      <c r="C118" s="1">
        <v>42572</v>
      </c>
      <c r="D118" t="s">
        <v>23</v>
      </c>
      <c r="E118" t="s">
        <v>605</v>
      </c>
      <c r="F118" t="s">
        <v>606</v>
      </c>
      <c r="G118" t="s">
        <v>26</v>
      </c>
      <c r="H118" t="s">
        <v>27</v>
      </c>
      <c r="I118" t="s">
        <v>206</v>
      </c>
      <c r="J118" t="s">
        <v>207</v>
      </c>
      <c r="K118" t="s">
        <v>95</v>
      </c>
      <c r="L118" t="s">
        <v>607</v>
      </c>
      <c r="M118" t="s">
        <v>32</v>
      </c>
      <c r="N118" t="s">
        <v>33</v>
      </c>
      <c r="O118" t="s">
        <v>608</v>
      </c>
      <c r="P118">
        <v>143.982</v>
      </c>
      <c r="Q118">
        <v>3</v>
      </c>
      <c r="R118">
        <v>-28.796399999999998</v>
      </c>
      <c r="S118" s="3" t="s">
        <v>35</v>
      </c>
      <c r="T118">
        <v>2016</v>
      </c>
      <c r="U118" t="s">
        <v>332</v>
      </c>
      <c r="V118" s="2">
        <v>-0.2</v>
      </c>
    </row>
    <row r="119" spans="1:22" x14ac:dyDescent="0.25">
      <c r="A119" t="s">
        <v>604</v>
      </c>
      <c r="B119" s="1">
        <v>42567</v>
      </c>
      <c r="C119" s="1">
        <v>42572</v>
      </c>
      <c r="D119" t="s">
        <v>23</v>
      </c>
      <c r="E119" t="s">
        <v>605</v>
      </c>
      <c r="F119" t="s">
        <v>606</v>
      </c>
      <c r="G119" t="s">
        <v>26</v>
      </c>
      <c r="H119" t="s">
        <v>27</v>
      </c>
      <c r="I119" t="s">
        <v>206</v>
      </c>
      <c r="J119" t="s">
        <v>207</v>
      </c>
      <c r="K119" t="s">
        <v>95</v>
      </c>
      <c r="L119" t="s">
        <v>609</v>
      </c>
      <c r="M119" t="s">
        <v>32</v>
      </c>
      <c r="N119" t="s">
        <v>33</v>
      </c>
      <c r="O119" t="s">
        <v>610</v>
      </c>
      <c r="P119">
        <v>494.37599999999998</v>
      </c>
      <c r="Q119">
        <v>4</v>
      </c>
      <c r="R119">
        <v>-115.3544</v>
      </c>
      <c r="S119" s="3" t="s">
        <v>35</v>
      </c>
      <c r="T119">
        <v>2016</v>
      </c>
      <c r="U119" t="s">
        <v>332</v>
      </c>
      <c r="V119" s="2">
        <v>-0.233333333333333</v>
      </c>
    </row>
    <row r="120" spans="1:22" x14ac:dyDescent="0.25">
      <c r="A120" t="s">
        <v>611</v>
      </c>
      <c r="B120" s="1">
        <v>41782</v>
      </c>
      <c r="C120" s="1">
        <v>41786</v>
      </c>
      <c r="D120" t="s">
        <v>23</v>
      </c>
      <c r="E120" t="s">
        <v>612</v>
      </c>
      <c r="F120" t="s">
        <v>613</v>
      </c>
      <c r="G120" t="s">
        <v>26</v>
      </c>
      <c r="H120" t="s">
        <v>27</v>
      </c>
      <c r="I120" t="s">
        <v>206</v>
      </c>
      <c r="J120" t="s">
        <v>207</v>
      </c>
      <c r="K120" t="s">
        <v>95</v>
      </c>
      <c r="L120" t="s">
        <v>614</v>
      </c>
      <c r="M120" t="s">
        <v>32</v>
      </c>
      <c r="N120" t="s">
        <v>33</v>
      </c>
      <c r="O120" t="s">
        <v>615</v>
      </c>
      <c r="P120">
        <v>55.188000000000002</v>
      </c>
      <c r="Q120">
        <v>2</v>
      </c>
      <c r="R120">
        <v>-10.117800000000001</v>
      </c>
      <c r="S120" s="3" t="s">
        <v>53</v>
      </c>
      <c r="T120">
        <v>2014</v>
      </c>
      <c r="U120" t="s">
        <v>527</v>
      </c>
      <c r="V120" s="2">
        <v>-0.18333333333333299</v>
      </c>
    </row>
    <row r="121" spans="1:22" x14ac:dyDescent="0.25">
      <c r="A121" t="s">
        <v>616</v>
      </c>
      <c r="B121" s="1">
        <v>42488</v>
      </c>
      <c r="C121" s="1">
        <v>42491</v>
      </c>
      <c r="D121" t="s">
        <v>56</v>
      </c>
      <c r="E121" t="s">
        <v>617</v>
      </c>
      <c r="F121" t="s">
        <v>618</v>
      </c>
      <c r="G121" t="s">
        <v>59</v>
      </c>
      <c r="H121" t="s">
        <v>27</v>
      </c>
      <c r="I121" t="s">
        <v>262</v>
      </c>
      <c r="J121" t="s">
        <v>61</v>
      </c>
      <c r="K121" t="s">
        <v>62</v>
      </c>
      <c r="L121" t="s">
        <v>427</v>
      </c>
      <c r="M121" t="s">
        <v>32</v>
      </c>
      <c r="N121" t="s">
        <v>33</v>
      </c>
      <c r="O121" t="s">
        <v>428</v>
      </c>
      <c r="P121">
        <v>369.57600000000002</v>
      </c>
      <c r="Q121">
        <v>3</v>
      </c>
      <c r="R121">
        <v>41.577300000000001</v>
      </c>
      <c r="S121" s="3" t="s">
        <v>172</v>
      </c>
      <c r="T121">
        <v>2016</v>
      </c>
      <c r="U121" t="s">
        <v>291</v>
      </c>
      <c r="V121" s="2">
        <v>0.1125</v>
      </c>
    </row>
    <row r="122" spans="1:22" x14ac:dyDescent="0.25">
      <c r="A122" t="s">
        <v>619</v>
      </c>
      <c r="B122" s="1">
        <v>42624</v>
      </c>
      <c r="C122" s="1">
        <v>42626</v>
      </c>
      <c r="D122" t="s">
        <v>40</v>
      </c>
      <c r="E122" t="s">
        <v>620</v>
      </c>
      <c r="F122" t="s">
        <v>621</v>
      </c>
      <c r="G122" t="s">
        <v>59</v>
      </c>
      <c r="H122" t="s">
        <v>27</v>
      </c>
      <c r="I122" t="s">
        <v>206</v>
      </c>
      <c r="J122" t="s">
        <v>207</v>
      </c>
      <c r="K122" t="s">
        <v>95</v>
      </c>
      <c r="L122" t="s">
        <v>622</v>
      </c>
      <c r="M122" t="s">
        <v>32</v>
      </c>
      <c r="N122" t="s">
        <v>33</v>
      </c>
      <c r="O122" t="s">
        <v>623</v>
      </c>
      <c r="P122">
        <v>728.94600000000003</v>
      </c>
      <c r="Q122">
        <v>9</v>
      </c>
      <c r="R122">
        <v>-157.9383</v>
      </c>
      <c r="S122" s="3" t="s">
        <v>65</v>
      </c>
      <c r="T122">
        <v>2016</v>
      </c>
      <c r="U122" t="s">
        <v>81</v>
      </c>
      <c r="V122" s="2">
        <v>-0.21666666666666701</v>
      </c>
    </row>
    <row r="123" spans="1:22" x14ac:dyDescent="0.25">
      <c r="A123" t="s">
        <v>624</v>
      </c>
      <c r="B123" s="1">
        <v>43053</v>
      </c>
      <c r="C123" s="1">
        <v>43056</v>
      </c>
      <c r="D123" t="s">
        <v>40</v>
      </c>
      <c r="E123" t="s">
        <v>625</v>
      </c>
      <c r="F123" t="s">
        <v>626</v>
      </c>
      <c r="G123" t="s">
        <v>26</v>
      </c>
      <c r="H123" t="s">
        <v>27</v>
      </c>
      <c r="I123" t="s">
        <v>627</v>
      </c>
      <c r="J123" t="s">
        <v>177</v>
      </c>
      <c r="K123" t="s">
        <v>95</v>
      </c>
      <c r="L123" t="s">
        <v>295</v>
      </c>
      <c r="M123" t="s">
        <v>32</v>
      </c>
      <c r="N123" t="s">
        <v>33</v>
      </c>
      <c r="O123" t="s">
        <v>296</v>
      </c>
      <c r="P123">
        <v>119.94</v>
      </c>
      <c r="Q123">
        <v>10</v>
      </c>
      <c r="R123">
        <v>15.992000000000001</v>
      </c>
      <c r="S123" s="3" t="s">
        <v>172</v>
      </c>
      <c r="T123">
        <v>2017</v>
      </c>
      <c r="U123" t="s">
        <v>118</v>
      </c>
      <c r="V123" s="2">
        <v>0.133333333333333</v>
      </c>
    </row>
    <row r="124" spans="1:22" x14ac:dyDescent="0.25">
      <c r="A124" t="s">
        <v>628</v>
      </c>
      <c r="B124" s="1">
        <v>42965</v>
      </c>
      <c r="C124" s="1">
        <v>42970</v>
      </c>
      <c r="D124" t="s">
        <v>40</v>
      </c>
      <c r="E124" t="s">
        <v>629</v>
      </c>
      <c r="F124" t="s">
        <v>630</v>
      </c>
      <c r="G124" t="s">
        <v>59</v>
      </c>
      <c r="H124" t="s">
        <v>27</v>
      </c>
      <c r="I124" t="s">
        <v>103</v>
      </c>
      <c r="J124" t="s">
        <v>104</v>
      </c>
      <c r="K124" t="s">
        <v>95</v>
      </c>
      <c r="L124" t="s">
        <v>631</v>
      </c>
      <c r="M124" t="s">
        <v>32</v>
      </c>
      <c r="N124" t="s">
        <v>33</v>
      </c>
      <c r="O124" t="s">
        <v>632</v>
      </c>
      <c r="P124">
        <v>37.909999999999997</v>
      </c>
      <c r="Q124">
        <v>1</v>
      </c>
      <c r="R124">
        <v>10.9939</v>
      </c>
      <c r="S124" s="3" t="s">
        <v>35</v>
      </c>
      <c r="T124">
        <v>2017</v>
      </c>
      <c r="U124" t="s">
        <v>46</v>
      </c>
      <c r="V124" s="2">
        <v>0.28999999999999998</v>
      </c>
    </row>
    <row r="125" spans="1:22" x14ac:dyDescent="0.25">
      <c r="A125" t="s">
        <v>633</v>
      </c>
      <c r="B125" s="1">
        <v>42715</v>
      </c>
      <c r="C125" s="1">
        <v>42717</v>
      </c>
      <c r="D125" t="s">
        <v>40</v>
      </c>
      <c r="E125" t="s">
        <v>634</v>
      </c>
      <c r="F125" t="s">
        <v>635</v>
      </c>
      <c r="G125" t="s">
        <v>26</v>
      </c>
      <c r="H125" t="s">
        <v>27</v>
      </c>
      <c r="I125" t="s">
        <v>146</v>
      </c>
      <c r="J125" t="s">
        <v>147</v>
      </c>
      <c r="K125" t="s">
        <v>30</v>
      </c>
      <c r="L125" t="s">
        <v>636</v>
      </c>
      <c r="M125" t="s">
        <v>32</v>
      </c>
      <c r="N125" t="s">
        <v>51</v>
      </c>
      <c r="O125" t="s">
        <v>637</v>
      </c>
      <c r="P125">
        <v>119.8</v>
      </c>
      <c r="Q125">
        <v>5</v>
      </c>
      <c r="R125">
        <v>29.95</v>
      </c>
      <c r="S125" s="3" t="s">
        <v>65</v>
      </c>
      <c r="T125">
        <v>2016</v>
      </c>
      <c r="U125" t="s">
        <v>66</v>
      </c>
      <c r="V125" s="2">
        <v>0.25</v>
      </c>
    </row>
    <row r="126" spans="1:22" x14ac:dyDescent="0.25">
      <c r="A126" t="s">
        <v>633</v>
      </c>
      <c r="B126" s="1">
        <v>42715</v>
      </c>
      <c r="C126" s="1">
        <v>42717</v>
      </c>
      <c r="D126" t="s">
        <v>40</v>
      </c>
      <c r="E126" t="s">
        <v>634</v>
      </c>
      <c r="F126" t="s">
        <v>635</v>
      </c>
      <c r="G126" t="s">
        <v>26</v>
      </c>
      <c r="H126" t="s">
        <v>27</v>
      </c>
      <c r="I126" t="s">
        <v>146</v>
      </c>
      <c r="J126" t="s">
        <v>147</v>
      </c>
      <c r="K126" t="s">
        <v>30</v>
      </c>
      <c r="L126" t="s">
        <v>638</v>
      </c>
      <c r="M126" t="s">
        <v>32</v>
      </c>
      <c r="N126" t="s">
        <v>33</v>
      </c>
      <c r="O126" t="s">
        <v>639</v>
      </c>
      <c r="P126">
        <v>300.76799999999997</v>
      </c>
      <c r="Q126">
        <v>4</v>
      </c>
      <c r="R126">
        <v>30.076799999999999</v>
      </c>
      <c r="S126" s="3" t="s">
        <v>65</v>
      </c>
      <c r="T126">
        <v>2016</v>
      </c>
      <c r="U126" t="s">
        <v>66</v>
      </c>
      <c r="V126" s="2">
        <v>0.1</v>
      </c>
    </row>
    <row r="127" spans="1:22" x14ac:dyDescent="0.25">
      <c r="A127" t="s">
        <v>640</v>
      </c>
      <c r="B127" s="1">
        <v>43002</v>
      </c>
      <c r="C127" s="1">
        <v>43004</v>
      </c>
      <c r="D127" t="s">
        <v>40</v>
      </c>
      <c r="E127" t="s">
        <v>641</v>
      </c>
      <c r="F127" t="s">
        <v>642</v>
      </c>
      <c r="G127" t="s">
        <v>26</v>
      </c>
      <c r="H127" t="s">
        <v>27</v>
      </c>
      <c r="I127" t="s">
        <v>643</v>
      </c>
      <c r="J127" t="s">
        <v>288</v>
      </c>
      <c r="K127" t="s">
        <v>155</v>
      </c>
      <c r="L127" t="s">
        <v>644</v>
      </c>
      <c r="M127" t="s">
        <v>32</v>
      </c>
      <c r="N127" t="s">
        <v>51</v>
      </c>
      <c r="O127" t="s">
        <v>645</v>
      </c>
      <c r="P127">
        <v>17.88</v>
      </c>
      <c r="Q127">
        <v>3</v>
      </c>
      <c r="R127">
        <v>2.4584999999999999</v>
      </c>
      <c r="S127" s="3" t="s">
        <v>65</v>
      </c>
      <c r="T127">
        <v>2017</v>
      </c>
      <c r="U127" t="s">
        <v>81</v>
      </c>
      <c r="V127" s="2">
        <v>0.13750000000000001</v>
      </c>
    </row>
    <row r="128" spans="1:22" x14ac:dyDescent="0.25">
      <c r="A128" t="s">
        <v>646</v>
      </c>
      <c r="B128" s="1">
        <v>42896</v>
      </c>
      <c r="C128" s="1">
        <v>42901</v>
      </c>
      <c r="D128" t="s">
        <v>23</v>
      </c>
      <c r="E128" t="s">
        <v>647</v>
      </c>
      <c r="F128" t="s">
        <v>648</v>
      </c>
      <c r="G128" t="s">
        <v>26</v>
      </c>
      <c r="H128" t="s">
        <v>27</v>
      </c>
      <c r="I128" t="s">
        <v>649</v>
      </c>
      <c r="J128" t="s">
        <v>256</v>
      </c>
      <c r="K128" t="s">
        <v>62</v>
      </c>
      <c r="L128" t="s">
        <v>289</v>
      </c>
      <c r="M128" t="s">
        <v>32</v>
      </c>
      <c r="N128" t="s">
        <v>51</v>
      </c>
      <c r="O128" t="s">
        <v>550</v>
      </c>
      <c r="P128">
        <v>132.52000000000001</v>
      </c>
      <c r="Q128">
        <v>4</v>
      </c>
      <c r="R128">
        <v>54.333199999999998</v>
      </c>
      <c r="S128" s="3" t="s">
        <v>35</v>
      </c>
      <c r="T128">
        <v>2017</v>
      </c>
      <c r="U128" t="s">
        <v>36</v>
      </c>
      <c r="V128" s="2">
        <v>0.41</v>
      </c>
    </row>
    <row r="129" spans="1:22" x14ac:dyDescent="0.25">
      <c r="A129" t="s">
        <v>650</v>
      </c>
      <c r="B129" s="1">
        <v>42715</v>
      </c>
      <c r="C129" s="1">
        <v>42720</v>
      </c>
      <c r="D129" t="s">
        <v>40</v>
      </c>
      <c r="E129" t="s">
        <v>651</v>
      </c>
      <c r="F129" t="s">
        <v>652</v>
      </c>
      <c r="G129" t="s">
        <v>59</v>
      </c>
      <c r="H129" t="s">
        <v>27</v>
      </c>
      <c r="I129" t="s">
        <v>653</v>
      </c>
      <c r="J129" t="s">
        <v>426</v>
      </c>
      <c r="K129" t="s">
        <v>30</v>
      </c>
      <c r="L129" t="s">
        <v>230</v>
      </c>
      <c r="M129" t="s">
        <v>32</v>
      </c>
      <c r="N129" t="s">
        <v>33</v>
      </c>
      <c r="O129" t="s">
        <v>231</v>
      </c>
      <c r="P129">
        <v>302.37599999999998</v>
      </c>
      <c r="Q129">
        <v>3</v>
      </c>
      <c r="R129">
        <v>22.6782</v>
      </c>
      <c r="S129" s="3" t="s">
        <v>35</v>
      </c>
      <c r="T129">
        <v>2016</v>
      </c>
      <c r="U129" t="s">
        <v>66</v>
      </c>
      <c r="V129" s="2">
        <v>7.4999999999999997E-2</v>
      </c>
    </row>
    <row r="130" spans="1:22" x14ac:dyDescent="0.25">
      <c r="A130" t="s">
        <v>650</v>
      </c>
      <c r="B130" s="1">
        <v>42715</v>
      </c>
      <c r="C130" s="1">
        <v>42720</v>
      </c>
      <c r="D130" t="s">
        <v>40</v>
      </c>
      <c r="E130" t="s">
        <v>651</v>
      </c>
      <c r="F130" t="s">
        <v>652</v>
      </c>
      <c r="G130" t="s">
        <v>59</v>
      </c>
      <c r="H130" t="s">
        <v>27</v>
      </c>
      <c r="I130" t="s">
        <v>653</v>
      </c>
      <c r="J130" t="s">
        <v>426</v>
      </c>
      <c r="K130" t="s">
        <v>30</v>
      </c>
      <c r="L130" t="s">
        <v>654</v>
      </c>
      <c r="M130" t="s">
        <v>32</v>
      </c>
      <c r="N130" t="s">
        <v>51</v>
      </c>
      <c r="O130" t="s">
        <v>655</v>
      </c>
      <c r="P130">
        <v>316</v>
      </c>
      <c r="Q130">
        <v>4</v>
      </c>
      <c r="R130">
        <v>31.6</v>
      </c>
      <c r="S130" s="3" t="s">
        <v>35</v>
      </c>
      <c r="T130">
        <v>2016</v>
      </c>
      <c r="U130" t="s">
        <v>66</v>
      </c>
      <c r="V130" s="2">
        <v>0.1</v>
      </c>
    </row>
    <row r="131" spans="1:22" x14ac:dyDescent="0.25">
      <c r="A131" t="s">
        <v>656</v>
      </c>
      <c r="B131" s="1">
        <v>42905</v>
      </c>
      <c r="C131" s="1">
        <v>42909</v>
      </c>
      <c r="D131" t="s">
        <v>23</v>
      </c>
      <c r="E131" t="s">
        <v>657</v>
      </c>
      <c r="F131" t="s">
        <v>658</v>
      </c>
      <c r="G131" t="s">
        <v>59</v>
      </c>
      <c r="H131" t="s">
        <v>27</v>
      </c>
      <c r="I131" t="s">
        <v>103</v>
      </c>
      <c r="J131" t="s">
        <v>104</v>
      </c>
      <c r="K131" t="s">
        <v>95</v>
      </c>
      <c r="L131" t="s">
        <v>659</v>
      </c>
      <c r="M131" t="s">
        <v>32</v>
      </c>
      <c r="N131" t="s">
        <v>51</v>
      </c>
      <c r="O131" t="s">
        <v>660</v>
      </c>
      <c r="P131">
        <v>103.12</v>
      </c>
      <c r="Q131">
        <v>8</v>
      </c>
      <c r="R131">
        <v>10.311999999999999</v>
      </c>
      <c r="S131" s="3" t="s">
        <v>53</v>
      </c>
      <c r="T131">
        <v>2017</v>
      </c>
      <c r="U131" t="s">
        <v>36</v>
      </c>
      <c r="V131" s="2">
        <v>0.1</v>
      </c>
    </row>
    <row r="132" spans="1:22" x14ac:dyDescent="0.25">
      <c r="A132" t="s">
        <v>661</v>
      </c>
      <c r="B132" s="1">
        <v>42894</v>
      </c>
      <c r="C132" s="1">
        <v>42896</v>
      </c>
      <c r="D132" t="s">
        <v>40</v>
      </c>
      <c r="E132" t="s">
        <v>662</v>
      </c>
      <c r="F132" t="s">
        <v>663</v>
      </c>
      <c r="G132" t="s">
        <v>59</v>
      </c>
      <c r="H132" t="s">
        <v>27</v>
      </c>
      <c r="I132" t="s">
        <v>262</v>
      </c>
      <c r="J132" t="s">
        <v>61</v>
      </c>
      <c r="K132" t="s">
        <v>62</v>
      </c>
      <c r="L132" t="s">
        <v>664</v>
      </c>
      <c r="M132" t="s">
        <v>32</v>
      </c>
      <c r="N132" t="s">
        <v>33</v>
      </c>
      <c r="O132" t="s">
        <v>665</v>
      </c>
      <c r="P132">
        <v>381.57600000000002</v>
      </c>
      <c r="Q132">
        <v>3</v>
      </c>
      <c r="R132">
        <v>28.618200000000002</v>
      </c>
      <c r="S132" s="3" t="s">
        <v>65</v>
      </c>
      <c r="T132">
        <v>2017</v>
      </c>
      <c r="U132" t="s">
        <v>36</v>
      </c>
      <c r="V132" s="2">
        <v>7.4999999999999997E-2</v>
      </c>
    </row>
    <row r="133" spans="1:22" x14ac:dyDescent="0.25">
      <c r="A133" t="s">
        <v>666</v>
      </c>
      <c r="B133" s="1">
        <v>43074</v>
      </c>
      <c r="C133" s="1">
        <v>43077</v>
      </c>
      <c r="D133" t="s">
        <v>56</v>
      </c>
      <c r="E133" t="s">
        <v>667</v>
      </c>
      <c r="F133" t="s">
        <v>668</v>
      </c>
      <c r="G133" t="s">
        <v>26</v>
      </c>
      <c r="H133" t="s">
        <v>27</v>
      </c>
      <c r="I133" t="s">
        <v>176</v>
      </c>
      <c r="J133" t="s">
        <v>669</v>
      </c>
      <c r="K133" t="s">
        <v>62</v>
      </c>
      <c r="L133" t="s">
        <v>289</v>
      </c>
      <c r="M133" t="s">
        <v>32</v>
      </c>
      <c r="N133" t="s">
        <v>51</v>
      </c>
      <c r="O133" t="s">
        <v>550</v>
      </c>
      <c r="P133">
        <v>99.39</v>
      </c>
      <c r="Q133">
        <v>3</v>
      </c>
      <c r="R133">
        <v>40.749899999999997</v>
      </c>
      <c r="S133" s="3" t="s">
        <v>172</v>
      </c>
      <c r="T133">
        <v>2017</v>
      </c>
      <c r="U133" t="s">
        <v>66</v>
      </c>
      <c r="V133" s="2">
        <v>0.41</v>
      </c>
    </row>
    <row r="134" spans="1:22" x14ac:dyDescent="0.25">
      <c r="A134" t="s">
        <v>670</v>
      </c>
      <c r="B134" s="1">
        <v>42812</v>
      </c>
      <c r="C134" s="1">
        <v>42817</v>
      </c>
      <c r="D134" t="s">
        <v>23</v>
      </c>
      <c r="E134" t="s">
        <v>671</v>
      </c>
      <c r="F134" t="s">
        <v>672</v>
      </c>
      <c r="G134" t="s">
        <v>26</v>
      </c>
      <c r="H134" t="s">
        <v>27</v>
      </c>
      <c r="I134" t="s">
        <v>673</v>
      </c>
      <c r="J134" t="s">
        <v>61</v>
      </c>
      <c r="K134" t="s">
        <v>62</v>
      </c>
      <c r="L134" t="s">
        <v>674</v>
      </c>
      <c r="M134" t="s">
        <v>32</v>
      </c>
      <c r="N134" t="s">
        <v>51</v>
      </c>
      <c r="O134" t="s">
        <v>675</v>
      </c>
      <c r="P134">
        <v>27.815999999999999</v>
      </c>
      <c r="Q134">
        <v>3</v>
      </c>
      <c r="R134">
        <v>4.5201000000000002</v>
      </c>
      <c r="S134" s="3" t="s">
        <v>35</v>
      </c>
      <c r="T134">
        <v>2017</v>
      </c>
      <c r="U134" t="s">
        <v>89</v>
      </c>
      <c r="V134" s="2">
        <v>0.16250000000000001</v>
      </c>
    </row>
    <row r="135" spans="1:22" x14ac:dyDescent="0.25">
      <c r="A135" t="s">
        <v>676</v>
      </c>
      <c r="B135" s="1">
        <v>43043</v>
      </c>
      <c r="C135" s="1">
        <v>43043</v>
      </c>
      <c r="D135" t="s">
        <v>677</v>
      </c>
      <c r="E135" t="s">
        <v>678</v>
      </c>
      <c r="F135" t="s">
        <v>679</v>
      </c>
      <c r="G135" t="s">
        <v>59</v>
      </c>
      <c r="H135" t="s">
        <v>27</v>
      </c>
      <c r="I135" t="s">
        <v>680</v>
      </c>
      <c r="J135" t="s">
        <v>154</v>
      </c>
      <c r="K135" t="s">
        <v>155</v>
      </c>
      <c r="L135" t="s">
        <v>681</v>
      </c>
      <c r="M135" t="s">
        <v>32</v>
      </c>
      <c r="N135" t="s">
        <v>215</v>
      </c>
      <c r="O135" t="s">
        <v>682</v>
      </c>
      <c r="P135">
        <v>7999.98</v>
      </c>
      <c r="Q135">
        <v>4</v>
      </c>
      <c r="R135">
        <v>-3839.9904000000001</v>
      </c>
      <c r="S135" s="3" t="s">
        <v>683</v>
      </c>
      <c r="T135">
        <v>2017</v>
      </c>
      <c r="U135" t="s">
        <v>118</v>
      </c>
      <c r="V135" s="2">
        <v>-0.48</v>
      </c>
    </row>
    <row r="136" spans="1:22" x14ac:dyDescent="0.25">
      <c r="A136" t="s">
        <v>684</v>
      </c>
      <c r="B136" s="1">
        <v>41825</v>
      </c>
      <c r="C136" s="1">
        <v>41828</v>
      </c>
      <c r="D136" t="s">
        <v>56</v>
      </c>
      <c r="E136" t="s">
        <v>685</v>
      </c>
      <c r="F136" t="s">
        <v>686</v>
      </c>
      <c r="G136" t="s">
        <v>26</v>
      </c>
      <c r="H136" t="s">
        <v>27</v>
      </c>
      <c r="I136" t="s">
        <v>687</v>
      </c>
      <c r="J136" t="s">
        <v>688</v>
      </c>
      <c r="K136" t="s">
        <v>155</v>
      </c>
      <c r="L136" t="s">
        <v>398</v>
      </c>
      <c r="M136" t="s">
        <v>32</v>
      </c>
      <c r="N136" t="s">
        <v>51</v>
      </c>
      <c r="O136" t="s">
        <v>399</v>
      </c>
      <c r="P136">
        <v>479.97</v>
      </c>
      <c r="Q136">
        <v>3</v>
      </c>
      <c r="R136">
        <v>163.18979999999999</v>
      </c>
      <c r="S136" s="3" t="s">
        <v>172</v>
      </c>
      <c r="T136">
        <v>2014</v>
      </c>
      <c r="U136" t="s">
        <v>332</v>
      </c>
      <c r="V136" s="2">
        <v>0.34</v>
      </c>
    </row>
    <row r="137" spans="1:22" x14ac:dyDescent="0.25">
      <c r="A137" t="s">
        <v>689</v>
      </c>
      <c r="B137" s="1">
        <v>41811</v>
      </c>
      <c r="C137" s="1">
        <v>41813</v>
      </c>
      <c r="D137" t="s">
        <v>40</v>
      </c>
      <c r="E137" t="s">
        <v>690</v>
      </c>
      <c r="F137" t="s">
        <v>691</v>
      </c>
      <c r="G137" t="s">
        <v>26</v>
      </c>
      <c r="H137" t="s">
        <v>27</v>
      </c>
      <c r="I137" t="s">
        <v>692</v>
      </c>
      <c r="J137" t="s">
        <v>693</v>
      </c>
      <c r="K137" t="s">
        <v>155</v>
      </c>
      <c r="L137" t="s">
        <v>37</v>
      </c>
      <c r="M137" t="s">
        <v>32</v>
      </c>
      <c r="N137" t="s">
        <v>33</v>
      </c>
      <c r="O137" t="s">
        <v>38</v>
      </c>
      <c r="P137">
        <v>284.82</v>
      </c>
      <c r="Q137">
        <v>1</v>
      </c>
      <c r="R137">
        <v>74.053200000000004</v>
      </c>
      <c r="S137" s="3" t="s">
        <v>65</v>
      </c>
      <c r="T137">
        <v>2014</v>
      </c>
      <c r="U137" t="s">
        <v>36</v>
      </c>
      <c r="V137" s="2">
        <v>0.26</v>
      </c>
    </row>
    <row r="138" spans="1:22" x14ac:dyDescent="0.25">
      <c r="A138" t="s">
        <v>694</v>
      </c>
      <c r="B138" s="1">
        <v>42091</v>
      </c>
      <c r="C138" s="1">
        <v>42096</v>
      </c>
      <c r="D138" t="s">
        <v>23</v>
      </c>
      <c r="E138" t="s">
        <v>695</v>
      </c>
      <c r="F138" t="s">
        <v>696</v>
      </c>
      <c r="G138" t="s">
        <v>26</v>
      </c>
      <c r="H138" t="s">
        <v>27</v>
      </c>
      <c r="I138" t="s">
        <v>28</v>
      </c>
      <c r="J138" t="s">
        <v>29</v>
      </c>
      <c r="K138" t="s">
        <v>30</v>
      </c>
      <c r="L138" t="s">
        <v>697</v>
      </c>
      <c r="M138" t="s">
        <v>32</v>
      </c>
      <c r="N138" t="s">
        <v>51</v>
      </c>
      <c r="O138" t="s">
        <v>698</v>
      </c>
      <c r="P138">
        <v>166.24</v>
      </c>
      <c r="Q138">
        <v>1</v>
      </c>
      <c r="R138">
        <v>24.936</v>
      </c>
      <c r="S138" s="3" t="s">
        <v>35</v>
      </c>
      <c r="T138">
        <v>2015</v>
      </c>
      <c r="U138" t="s">
        <v>89</v>
      </c>
      <c r="V138" s="2">
        <v>0.15</v>
      </c>
    </row>
    <row r="139" spans="1:22" x14ac:dyDescent="0.25">
      <c r="A139" t="s">
        <v>699</v>
      </c>
      <c r="B139" s="1">
        <v>41894</v>
      </c>
      <c r="C139" s="1">
        <v>41899</v>
      </c>
      <c r="D139" t="s">
        <v>23</v>
      </c>
      <c r="E139" t="s">
        <v>700</v>
      </c>
      <c r="F139" t="s">
        <v>701</v>
      </c>
      <c r="G139" t="s">
        <v>59</v>
      </c>
      <c r="H139" t="s">
        <v>27</v>
      </c>
      <c r="I139" t="s">
        <v>702</v>
      </c>
      <c r="J139" t="s">
        <v>154</v>
      </c>
      <c r="K139" t="s">
        <v>155</v>
      </c>
      <c r="L139" t="s">
        <v>533</v>
      </c>
      <c r="M139" t="s">
        <v>32</v>
      </c>
      <c r="N139" t="s">
        <v>51</v>
      </c>
      <c r="O139" t="s">
        <v>534</v>
      </c>
      <c r="P139">
        <v>15.215999999999999</v>
      </c>
      <c r="Q139">
        <v>1</v>
      </c>
      <c r="R139">
        <v>2.2824</v>
      </c>
      <c r="S139" s="3" t="s">
        <v>35</v>
      </c>
      <c r="T139">
        <v>2014</v>
      </c>
      <c r="U139" t="s">
        <v>81</v>
      </c>
      <c r="V139" s="2">
        <v>0.15</v>
      </c>
    </row>
    <row r="140" spans="1:22" x14ac:dyDescent="0.25">
      <c r="A140" t="s">
        <v>703</v>
      </c>
      <c r="B140" s="1">
        <v>41975</v>
      </c>
      <c r="C140" s="1">
        <v>41977</v>
      </c>
      <c r="D140" t="s">
        <v>56</v>
      </c>
      <c r="E140" t="s">
        <v>704</v>
      </c>
      <c r="F140" t="s">
        <v>705</v>
      </c>
      <c r="G140" t="s">
        <v>26</v>
      </c>
      <c r="H140" t="s">
        <v>27</v>
      </c>
      <c r="I140" t="s">
        <v>103</v>
      </c>
      <c r="J140" t="s">
        <v>104</v>
      </c>
      <c r="K140" t="s">
        <v>95</v>
      </c>
      <c r="L140" t="s">
        <v>330</v>
      </c>
      <c r="M140" t="s">
        <v>32</v>
      </c>
      <c r="N140" t="s">
        <v>51</v>
      </c>
      <c r="O140" t="s">
        <v>331</v>
      </c>
      <c r="P140">
        <v>119.96</v>
      </c>
      <c r="Q140">
        <v>4</v>
      </c>
      <c r="R140">
        <v>52.782400000000003</v>
      </c>
      <c r="S140" s="3" t="s">
        <v>65</v>
      </c>
      <c r="T140">
        <v>2014</v>
      </c>
      <c r="U140" t="s">
        <v>66</v>
      </c>
      <c r="V140" s="2">
        <v>0.44</v>
      </c>
    </row>
    <row r="141" spans="1:22" x14ac:dyDescent="0.25">
      <c r="A141" t="s">
        <v>706</v>
      </c>
      <c r="B141" s="1">
        <v>42874</v>
      </c>
      <c r="C141" s="1">
        <v>42879</v>
      </c>
      <c r="D141" t="s">
        <v>23</v>
      </c>
      <c r="E141" t="s">
        <v>707</v>
      </c>
      <c r="F141" t="s">
        <v>708</v>
      </c>
      <c r="G141" t="s">
        <v>59</v>
      </c>
      <c r="H141" t="s">
        <v>27</v>
      </c>
      <c r="I141" t="s">
        <v>709</v>
      </c>
      <c r="J141" t="s">
        <v>104</v>
      </c>
      <c r="K141" t="s">
        <v>95</v>
      </c>
      <c r="L141" t="s">
        <v>427</v>
      </c>
      <c r="M141" t="s">
        <v>32</v>
      </c>
      <c r="N141" t="s">
        <v>33</v>
      </c>
      <c r="O141" t="s">
        <v>428</v>
      </c>
      <c r="P141">
        <v>307.98</v>
      </c>
      <c r="Q141">
        <v>2</v>
      </c>
      <c r="R141">
        <v>89.3142</v>
      </c>
      <c r="S141" s="3" t="s">
        <v>35</v>
      </c>
      <c r="T141">
        <v>2017</v>
      </c>
      <c r="U141" t="s">
        <v>527</v>
      </c>
      <c r="V141" s="2">
        <v>0.28999999999999998</v>
      </c>
    </row>
    <row r="142" spans="1:22" x14ac:dyDescent="0.25">
      <c r="A142" t="s">
        <v>706</v>
      </c>
      <c r="B142" s="1">
        <v>42874</v>
      </c>
      <c r="C142" s="1">
        <v>42879</v>
      </c>
      <c r="D142" t="s">
        <v>23</v>
      </c>
      <c r="E142" t="s">
        <v>707</v>
      </c>
      <c r="F142" t="s">
        <v>708</v>
      </c>
      <c r="G142" t="s">
        <v>59</v>
      </c>
      <c r="H142" t="s">
        <v>27</v>
      </c>
      <c r="I142" t="s">
        <v>709</v>
      </c>
      <c r="J142" t="s">
        <v>104</v>
      </c>
      <c r="K142" t="s">
        <v>95</v>
      </c>
      <c r="L142" t="s">
        <v>710</v>
      </c>
      <c r="M142" t="s">
        <v>32</v>
      </c>
      <c r="N142" t="s">
        <v>51</v>
      </c>
      <c r="O142" t="s">
        <v>711</v>
      </c>
      <c r="P142">
        <v>299.97000000000003</v>
      </c>
      <c r="Q142">
        <v>3</v>
      </c>
      <c r="R142">
        <v>113.98860000000001</v>
      </c>
      <c r="S142" s="3" t="s">
        <v>35</v>
      </c>
      <c r="T142">
        <v>2017</v>
      </c>
      <c r="U142" t="s">
        <v>527</v>
      </c>
      <c r="V142" s="2">
        <v>0.38</v>
      </c>
    </row>
    <row r="143" spans="1:22" x14ac:dyDescent="0.25">
      <c r="A143" t="s">
        <v>712</v>
      </c>
      <c r="B143" s="1">
        <v>42994</v>
      </c>
      <c r="C143" s="1">
        <v>42998</v>
      </c>
      <c r="D143" t="s">
        <v>23</v>
      </c>
      <c r="E143" t="s">
        <v>713</v>
      </c>
      <c r="F143" t="s">
        <v>714</v>
      </c>
      <c r="G143" t="s">
        <v>26</v>
      </c>
      <c r="H143" t="s">
        <v>27</v>
      </c>
      <c r="I143" t="s">
        <v>715</v>
      </c>
      <c r="J143" t="s">
        <v>61</v>
      </c>
      <c r="K143" t="s">
        <v>62</v>
      </c>
      <c r="L143" t="s">
        <v>716</v>
      </c>
      <c r="M143" t="s">
        <v>32</v>
      </c>
      <c r="N143" t="s">
        <v>33</v>
      </c>
      <c r="O143" t="s">
        <v>717</v>
      </c>
      <c r="P143">
        <v>55.991999999999997</v>
      </c>
      <c r="Q143">
        <v>1</v>
      </c>
      <c r="R143">
        <v>5.5991999999999997</v>
      </c>
      <c r="S143" s="3" t="s">
        <v>53</v>
      </c>
      <c r="T143">
        <v>2017</v>
      </c>
      <c r="U143" t="s">
        <v>81</v>
      </c>
      <c r="V143" s="2">
        <v>0.1</v>
      </c>
    </row>
    <row r="144" spans="1:22" x14ac:dyDescent="0.25">
      <c r="A144" t="s">
        <v>718</v>
      </c>
      <c r="B144" s="1">
        <v>42756</v>
      </c>
      <c r="C144" s="1">
        <v>42760</v>
      </c>
      <c r="D144" t="s">
        <v>23</v>
      </c>
      <c r="E144" t="s">
        <v>719</v>
      </c>
      <c r="F144" t="s">
        <v>720</v>
      </c>
      <c r="G144" t="s">
        <v>70</v>
      </c>
      <c r="H144" t="s">
        <v>27</v>
      </c>
      <c r="I144" t="s">
        <v>481</v>
      </c>
      <c r="J144" t="s">
        <v>426</v>
      </c>
      <c r="K144" t="s">
        <v>30</v>
      </c>
      <c r="L144" t="s">
        <v>721</v>
      </c>
      <c r="M144" t="s">
        <v>32</v>
      </c>
      <c r="N144" t="s">
        <v>51</v>
      </c>
      <c r="O144" t="s">
        <v>722</v>
      </c>
      <c r="P144">
        <v>179.97</v>
      </c>
      <c r="Q144">
        <v>3</v>
      </c>
      <c r="R144">
        <v>86.385599999999997</v>
      </c>
      <c r="S144" s="3" t="s">
        <v>53</v>
      </c>
      <c r="T144">
        <v>2017</v>
      </c>
      <c r="U144" t="s">
        <v>54</v>
      </c>
      <c r="V144" s="2">
        <v>0.48</v>
      </c>
    </row>
    <row r="145" spans="1:22" x14ac:dyDescent="0.25">
      <c r="A145" t="s">
        <v>723</v>
      </c>
      <c r="B145" s="1">
        <v>41890</v>
      </c>
      <c r="C145" s="1">
        <v>41894</v>
      </c>
      <c r="D145" t="s">
        <v>23</v>
      </c>
      <c r="E145" t="s">
        <v>724</v>
      </c>
      <c r="F145" t="s">
        <v>725</v>
      </c>
      <c r="G145" t="s">
        <v>26</v>
      </c>
      <c r="H145" t="s">
        <v>27</v>
      </c>
      <c r="I145" t="s">
        <v>43</v>
      </c>
      <c r="J145" t="s">
        <v>29</v>
      </c>
      <c r="K145" t="s">
        <v>30</v>
      </c>
      <c r="L145" t="s">
        <v>726</v>
      </c>
      <c r="M145" t="s">
        <v>32</v>
      </c>
      <c r="N145" t="s">
        <v>51</v>
      </c>
      <c r="O145" t="s">
        <v>727</v>
      </c>
      <c r="P145">
        <v>49.98</v>
      </c>
      <c r="Q145">
        <v>2</v>
      </c>
      <c r="R145">
        <v>8.4966000000000008</v>
      </c>
      <c r="S145" s="3" t="s">
        <v>53</v>
      </c>
      <c r="T145">
        <v>2014</v>
      </c>
      <c r="U145" t="s">
        <v>81</v>
      </c>
      <c r="V145" s="2">
        <v>0.17</v>
      </c>
    </row>
    <row r="146" spans="1:22" x14ac:dyDescent="0.25">
      <c r="A146" t="s">
        <v>728</v>
      </c>
      <c r="B146" s="1">
        <v>42449</v>
      </c>
      <c r="C146" s="1">
        <v>42451</v>
      </c>
      <c r="D146" t="s">
        <v>40</v>
      </c>
      <c r="E146" t="s">
        <v>729</v>
      </c>
      <c r="F146" t="s">
        <v>730</v>
      </c>
      <c r="G146" t="s">
        <v>26</v>
      </c>
      <c r="H146" t="s">
        <v>27</v>
      </c>
      <c r="I146" t="s">
        <v>731</v>
      </c>
      <c r="J146" t="s">
        <v>78</v>
      </c>
      <c r="K146" t="s">
        <v>62</v>
      </c>
      <c r="L146" t="s">
        <v>732</v>
      </c>
      <c r="M146" t="s">
        <v>32</v>
      </c>
      <c r="N146" t="s">
        <v>33</v>
      </c>
      <c r="O146" t="s">
        <v>733</v>
      </c>
      <c r="P146">
        <v>11.992000000000001</v>
      </c>
      <c r="Q146">
        <v>1</v>
      </c>
      <c r="R146">
        <v>0.89939999999999998</v>
      </c>
      <c r="S146" s="3" t="s">
        <v>65</v>
      </c>
      <c r="T146">
        <v>2016</v>
      </c>
      <c r="U146" t="s">
        <v>89</v>
      </c>
      <c r="V146" s="2">
        <v>7.4999999999999997E-2</v>
      </c>
    </row>
    <row r="147" spans="1:22" x14ac:dyDescent="0.25">
      <c r="A147" t="s">
        <v>734</v>
      </c>
      <c r="B147" s="1">
        <v>42467</v>
      </c>
      <c r="C147" s="1">
        <v>42469</v>
      </c>
      <c r="D147" t="s">
        <v>56</v>
      </c>
      <c r="E147" t="s">
        <v>735</v>
      </c>
      <c r="F147" t="s">
        <v>736</v>
      </c>
      <c r="G147" t="s">
        <v>59</v>
      </c>
      <c r="H147" t="s">
        <v>27</v>
      </c>
      <c r="I147" t="s">
        <v>43</v>
      </c>
      <c r="J147" t="s">
        <v>29</v>
      </c>
      <c r="K147" t="s">
        <v>30</v>
      </c>
      <c r="L147" t="s">
        <v>737</v>
      </c>
      <c r="M147" t="s">
        <v>32</v>
      </c>
      <c r="N147" t="s">
        <v>381</v>
      </c>
      <c r="O147" t="s">
        <v>738</v>
      </c>
      <c r="P147">
        <v>1199.9760000000001</v>
      </c>
      <c r="Q147">
        <v>3</v>
      </c>
      <c r="R147">
        <v>374.99250000000001</v>
      </c>
      <c r="S147" s="3" t="s">
        <v>65</v>
      </c>
      <c r="T147">
        <v>2016</v>
      </c>
      <c r="U147" t="s">
        <v>291</v>
      </c>
      <c r="V147" s="2">
        <v>0.3125</v>
      </c>
    </row>
    <row r="148" spans="1:22" x14ac:dyDescent="0.25">
      <c r="A148" t="s">
        <v>739</v>
      </c>
      <c r="B148" s="1">
        <v>42002</v>
      </c>
      <c r="C148" s="1">
        <v>42006</v>
      </c>
      <c r="D148" t="s">
        <v>23</v>
      </c>
      <c r="E148" t="s">
        <v>740</v>
      </c>
      <c r="F148" t="s">
        <v>741</v>
      </c>
      <c r="G148" t="s">
        <v>26</v>
      </c>
      <c r="H148" t="s">
        <v>27</v>
      </c>
      <c r="I148" t="s">
        <v>742</v>
      </c>
      <c r="J148" t="s">
        <v>86</v>
      </c>
      <c r="K148" t="s">
        <v>62</v>
      </c>
      <c r="L148" t="s">
        <v>636</v>
      </c>
      <c r="M148" t="s">
        <v>32</v>
      </c>
      <c r="N148" t="s">
        <v>51</v>
      </c>
      <c r="O148" t="s">
        <v>637</v>
      </c>
      <c r="P148">
        <v>119.8</v>
      </c>
      <c r="Q148">
        <v>4</v>
      </c>
      <c r="R148">
        <v>47.92</v>
      </c>
      <c r="S148" s="3" t="s">
        <v>53</v>
      </c>
      <c r="T148">
        <v>2014</v>
      </c>
      <c r="U148" t="s">
        <v>66</v>
      </c>
      <c r="V148" s="2">
        <v>0.4</v>
      </c>
    </row>
    <row r="149" spans="1:22" x14ac:dyDescent="0.25">
      <c r="A149" t="s">
        <v>743</v>
      </c>
      <c r="B149" s="1">
        <v>42043</v>
      </c>
      <c r="C149" s="1">
        <v>42048</v>
      </c>
      <c r="D149" t="s">
        <v>23</v>
      </c>
      <c r="E149" t="s">
        <v>744</v>
      </c>
      <c r="F149" t="s">
        <v>745</v>
      </c>
      <c r="G149" t="s">
        <v>26</v>
      </c>
      <c r="H149" t="s">
        <v>27</v>
      </c>
      <c r="I149" t="s">
        <v>176</v>
      </c>
      <c r="J149" t="s">
        <v>177</v>
      </c>
      <c r="K149" t="s">
        <v>95</v>
      </c>
      <c r="L149" t="s">
        <v>217</v>
      </c>
      <c r="M149" t="s">
        <v>32</v>
      </c>
      <c r="N149" t="s">
        <v>33</v>
      </c>
      <c r="O149" t="s">
        <v>218</v>
      </c>
      <c r="P149">
        <v>107.982</v>
      </c>
      <c r="Q149">
        <v>3</v>
      </c>
      <c r="R149">
        <v>-26.9955</v>
      </c>
      <c r="S149" s="3" t="s">
        <v>35</v>
      </c>
      <c r="T149">
        <v>2015</v>
      </c>
      <c r="U149" t="s">
        <v>180</v>
      </c>
      <c r="V149" s="2">
        <v>-0.25</v>
      </c>
    </row>
    <row r="150" spans="1:22" x14ac:dyDescent="0.25">
      <c r="A150" t="s">
        <v>746</v>
      </c>
      <c r="B150" s="1">
        <v>41652</v>
      </c>
      <c r="C150" s="1">
        <v>41654</v>
      </c>
      <c r="D150" t="s">
        <v>40</v>
      </c>
      <c r="E150" t="s">
        <v>747</v>
      </c>
      <c r="F150" t="s">
        <v>748</v>
      </c>
      <c r="G150" t="s">
        <v>59</v>
      </c>
      <c r="H150" t="s">
        <v>27</v>
      </c>
      <c r="I150" t="s">
        <v>749</v>
      </c>
      <c r="J150" t="s">
        <v>229</v>
      </c>
      <c r="K150" t="s">
        <v>155</v>
      </c>
      <c r="L150" t="s">
        <v>750</v>
      </c>
      <c r="M150" t="s">
        <v>32</v>
      </c>
      <c r="N150" t="s">
        <v>51</v>
      </c>
      <c r="O150" t="s">
        <v>751</v>
      </c>
      <c r="P150">
        <v>646.74</v>
      </c>
      <c r="Q150">
        <v>6</v>
      </c>
      <c r="R150">
        <v>258.69600000000003</v>
      </c>
      <c r="S150" s="3" t="s">
        <v>65</v>
      </c>
      <c r="T150">
        <v>2014</v>
      </c>
      <c r="U150" t="s">
        <v>54</v>
      </c>
      <c r="V150" s="2">
        <v>0.4</v>
      </c>
    </row>
    <row r="151" spans="1:22" x14ac:dyDescent="0.25">
      <c r="A151" t="s">
        <v>752</v>
      </c>
      <c r="B151" s="1">
        <v>42765</v>
      </c>
      <c r="C151" s="1">
        <v>42771</v>
      </c>
      <c r="D151" t="s">
        <v>23</v>
      </c>
      <c r="E151" t="s">
        <v>753</v>
      </c>
      <c r="F151" t="s">
        <v>754</v>
      </c>
      <c r="G151" t="s">
        <v>59</v>
      </c>
      <c r="H151" t="s">
        <v>27</v>
      </c>
      <c r="I151" t="s">
        <v>425</v>
      </c>
      <c r="J151" t="s">
        <v>755</v>
      </c>
      <c r="K151" t="s">
        <v>62</v>
      </c>
      <c r="L151" t="s">
        <v>375</v>
      </c>
      <c r="M151" t="s">
        <v>32</v>
      </c>
      <c r="N151" t="s">
        <v>33</v>
      </c>
      <c r="O151" t="s">
        <v>376</v>
      </c>
      <c r="P151">
        <v>207</v>
      </c>
      <c r="Q151">
        <v>3</v>
      </c>
      <c r="R151">
        <v>51.75</v>
      </c>
      <c r="S151" s="3" t="s">
        <v>107</v>
      </c>
      <c r="T151">
        <v>2017</v>
      </c>
      <c r="U151" t="s">
        <v>54</v>
      </c>
      <c r="V151" s="2">
        <v>0.25</v>
      </c>
    </row>
    <row r="152" spans="1:22" x14ac:dyDescent="0.25">
      <c r="A152" t="s">
        <v>756</v>
      </c>
      <c r="B152" s="1">
        <v>42280</v>
      </c>
      <c r="C152" s="1">
        <v>42283</v>
      </c>
      <c r="D152" t="s">
        <v>40</v>
      </c>
      <c r="E152" t="s">
        <v>757</v>
      </c>
      <c r="F152" t="s">
        <v>758</v>
      </c>
      <c r="G152" t="s">
        <v>26</v>
      </c>
      <c r="H152" t="s">
        <v>27</v>
      </c>
      <c r="I152" t="s">
        <v>176</v>
      </c>
      <c r="J152" t="s">
        <v>177</v>
      </c>
      <c r="K152" t="s">
        <v>95</v>
      </c>
      <c r="L152" t="s">
        <v>96</v>
      </c>
      <c r="M152" t="s">
        <v>32</v>
      </c>
      <c r="N152" t="s">
        <v>51</v>
      </c>
      <c r="O152" t="s">
        <v>97</v>
      </c>
      <c r="P152">
        <v>24</v>
      </c>
      <c r="Q152">
        <v>2</v>
      </c>
      <c r="R152">
        <v>-2.7</v>
      </c>
      <c r="S152" s="3" t="s">
        <v>172</v>
      </c>
      <c r="T152">
        <v>2015</v>
      </c>
      <c r="U152" t="s">
        <v>133</v>
      </c>
      <c r="V152" s="2">
        <v>-0.1125</v>
      </c>
    </row>
    <row r="153" spans="1:22" x14ac:dyDescent="0.25">
      <c r="A153" t="s">
        <v>756</v>
      </c>
      <c r="B153" s="1">
        <v>42280</v>
      </c>
      <c r="C153" s="1">
        <v>42283</v>
      </c>
      <c r="D153" t="s">
        <v>40</v>
      </c>
      <c r="E153" t="s">
        <v>757</v>
      </c>
      <c r="F153" t="s">
        <v>758</v>
      </c>
      <c r="G153" t="s">
        <v>26</v>
      </c>
      <c r="H153" t="s">
        <v>27</v>
      </c>
      <c r="I153" t="s">
        <v>176</v>
      </c>
      <c r="J153" t="s">
        <v>177</v>
      </c>
      <c r="K153" t="s">
        <v>95</v>
      </c>
      <c r="L153" t="s">
        <v>759</v>
      </c>
      <c r="M153" t="s">
        <v>32</v>
      </c>
      <c r="N153" t="s">
        <v>51</v>
      </c>
      <c r="O153" t="s">
        <v>760</v>
      </c>
      <c r="P153">
        <v>47.984000000000002</v>
      </c>
      <c r="Q153">
        <v>2</v>
      </c>
      <c r="R153">
        <v>0.5998</v>
      </c>
      <c r="S153" s="3" t="s">
        <v>172</v>
      </c>
      <c r="T153">
        <v>2015</v>
      </c>
      <c r="U153" t="s">
        <v>133</v>
      </c>
      <c r="V153" s="2">
        <v>1.2500000000000001E-2</v>
      </c>
    </row>
    <row r="154" spans="1:22" x14ac:dyDescent="0.25">
      <c r="A154" t="s">
        <v>761</v>
      </c>
      <c r="B154" s="1">
        <v>42510</v>
      </c>
      <c r="C154" s="1">
        <v>42510</v>
      </c>
      <c r="D154" t="s">
        <v>677</v>
      </c>
      <c r="E154" t="s">
        <v>762</v>
      </c>
      <c r="F154" t="s">
        <v>763</v>
      </c>
      <c r="G154" t="s">
        <v>26</v>
      </c>
      <c r="H154" t="s">
        <v>27</v>
      </c>
      <c r="I154" t="s">
        <v>764</v>
      </c>
      <c r="J154" t="s">
        <v>154</v>
      </c>
      <c r="K154" t="s">
        <v>155</v>
      </c>
      <c r="L154" t="s">
        <v>765</v>
      </c>
      <c r="M154" t="s">
        <v>32</v>
      </c>
      <c r="N154" t="s">
        <v>33</v>
      </c>
      <c r="O154" t="s">
        <v>766</v>
      </c>
      <c r="P154">
        <v>1363.96</v>
      </c>
      <c r="Q154">
        <v>5</v>
      </c>
      <c r="R154">
        <v>85.247500000000002</v>
      </c>
      <c r="S154" s="3" t="s">
        <v>683</v>
      </c>
      <c r="T154">
        <v>2016</v>
      </c>
      <c r="U154" t="s">
        <v>527</v>
      </c>
      <c r="V154" s="2">
        <v>6.25E-2</v>
      </c>
    </row>
    <row r="155" spans="1:22" x14ac:dyDescent="0.25">
      <c r="A155" t="s">
        <v>767</v>
      </c>
      <c r="B155" s="1">
        <v>42786</v>
      </c>
      <c r="C155" s="1">
        <v>42789</v>
      </c>
      <c r="D155" t="s">
        <v>56</v>
      </c>
      <c r="E155" t="s">
        <v>768</v>
      </c>
      <c r="F155" t="s">
        <v>769</v>
      </c>
      <c r="G155" t="s">
        <v>59</v>
      </c>
      <c r="H155" t="s">
        <v>27</v>
      </c>
      <c r="I155" t="s">
        <v>300</v>
      </c>
      <c r="J155" t="s">
        <v>29</v>
      </c>
      <c r="K155" t="s">
        <v>30</v>
      </c>
      <c r="L155" t="s">
        <v>304</v>
      </c>
      <c r="M155" t="s">
        <v>32</v>
      </c>
      <c r="N155" t="s">
        <v>33</v>
      </c>
      <c r="O155" t="s">
        <v>305</v>
      </c>
      <c r="P155">
        <v>215.96799999999999</v>
      </c>
      <c r="Q155">
        <v>2</v>
      </c>
      <c r="R155">
        <v>18.897200000000002</v>
      </c>
      <c r="S155" s="3" t="s">
        <v>172</v>
      </c>
      <c r="T155">
        <v>2017</v>
      </c>
      <c r="U155" t="s">
        <v>180</v>
      </c>
      <c r="V155" s="2">
        <v>8.7499999999999994E-2</v>
      </c>
    </row>
    <row r="156" spans="1:22" x14ac:dyDescent="0.25">
      <c r="A156" t="s">
        <v>770</v>
      </c>
      <c r="B156" s="1">
        <v>41944</v>
      </c>
      <c r="C156" s="1">
        <v>41950</v>
      </c>
      <c r="D156" t="s">
        <v>23</v>
      </c>
      <c r="E156" t="s">
        <v>771</v>
      </c>
      <c r="F156" t="s">
        <v>772</v>
      </c>
      <c r="G156" t="s">
        <v>26</v>
      </c>
      <c r="H156" t="s">
        <v>27</v>
      </c>
      <c r="I156" t="s">
        <v>588</v>
      </c>
      <c r="J156" t="s">
        <v>147</v>
      </c>
      <c r="K156" t="s">
        <v>30</v>
      </c>
      <c r="L156" t="s">
        <v>773</v>
      </c>
      <c r="M156" t="s">
        <v>32</v>
      </c>
      <c r="N156" t="s">
        <v>33</v>
      </c>
      <c r="O156" t="s">
        <v>774</v>
      </c>
      <c r="P156">
        <v>1983.9680000000001</v>
      </c>
      <c r="Q156">
        <v>4</v>
      </c>
      <c r="R156">
        <v>247.99600000000001</v>
      </c>
      <c r="S156" s="3" t="s">
        <v>107</v>
      </c>
      <c r="T156">
        <v>2014</v>
      </c>
      <c r="U156" t="s">
        <v>118</v>
      </c>
      <c r="V156" s="2">
        <v>0.125</v>
      </c>
    </row>
    <row r="157" spans="1:22" x14ac:dyDescent="0.25">
      <c r="A157" t="s">
        <v>775</v>
      </c>
      <c r="B157" s="1">
        <v>42038</v>
      </c>
      <c r="C157" s="1">
        <v>42040</v>
      </c>
      <c r="D157" t="s">
        <v>56</v>
      </c>
      <c r="E157" t="s">
        <v>776</v>
      </c>
      <c r="F157" t="s">
        <v>777</v>
      </c>
      <c r="G157" t="s">
        <v>26</v>
      </c>
      <c r="H157" t="s">
        <v>27</v>
      </c>
      <c r="I157" t="s">
        <v>778</v>
      </c>
      <c r="J157" t="s">
        <v>779</v>
      </c>
      <c r="K157" t="s">
        <v>62</v>
      </c>
      <c r="L157" t="s">
        <v>780</v>
      </c>
      <c r="M157" t="s">
        <v>32</v>
      </c>
      <c r="N157" t="s">
        <v>51</v>
      </c>
      <c r="O157" t="s">
        <v>781</v>
      </c>
      <c r="P157">
        <v>149.97</v>
      </c>
      <c r="Q157">
        <v>3</v>
      </c>
      <c r="R157">
        <v>50.989800000000002</v>
      </c>
      <c r="S157" s="3" t="s">
        <v>65</v>
      </c>
      <c r="T157">
        <v>2015</v>
      </c>
      <c r="U157" t="s">
        <v>180</v>
      </c>
      <c r="V157" s="2">
        <v>0.34</v>
      </c>
    </row>
    <row r="158" spans="1:22" x14ac:dyDescent="0.25">
      <c r="A158" t="s">
        <v>782</v>
      </c>
      <c r="B158" s="1">
        <v>41925</v>
      </c>
      <c r="C158" s="1">
        <v>41927</v>
      </c>
      <c r="D158" t="s">
        <v>56</v>
      </c>
      <c r="E158" t="s">
        <v>592</v>
      </c>
      <c r="F158" t="s">
        <v>593</v>
      </c>
      <c r="G158" t="s">
        <v>26</v>
      </c>
      <c r="H158" t="s">
        <v>27</v>
      </c>
      <c r="I158" t="s">
        <v>783</v>
      </c>
      <c r="J158" t="s">
        <v>426</v>
      </c>
      <c r="K158" t="s">
        <v>30</v>
      </c>
      <c r="L158" t="s">
        <v>659</v>
      </c>
      <c r="M158" t="s">
        <v>32</v>
      </c>
      <c r="N158" t="s">
        <v>51</v>
      </c>
      <c r="O158" t="s">
        <v>660</v>
      </c>
      <c r="P158">
        <v>25.78</v>
      </c>
      <c r="Q158">
        <v>2</v>
      </c>
      <c r="R158">
        <v>2.5779999999999998</v>
      </c>
      <c r="S158" s="3" t="s">
        <v>65</v>
      </c>
      <c r="T158">
        <v>2014</v>
      </c>
      <c r="U158" t="s">
        <v>133</v>
      </c>
      <c r="V158" s="2">
        <v>0.1</v>
      </c>
    </row>
    <row r="159" spans="1:22" x14ac:dyDescent="0.25">
      <c r="A159" t="s">
        <v>784</v>
      </c>
      <c r="B159" s="1">
        <v>42869</v>
      </c>
      <c r="C159" s="1">
        <v>42869</v>
      </c>
      <c r="D159" t="s">
        <v>677</v>
      </c>
      <c r="E159" t="s">
        <v>785</v>
      </c>
      <c r="F159" t="s">
        <v>786</v>
      </c>
      <c r="G159" t="s">
        <v>26</v>
      </c>
      <c r="H159" t="s">
        <v>27</v>
      </c>
      <c r="I159" t="s">
        <v>787</v>
      </c>
      <c r="J159" t="s">
        <v>29</v>
      </c>
      <c r="K159" t="s">
        <v>30</v>
      </c>
      <c r="L159" t="s">
        <v>788</v>
      </c>
      <c r="M159" t="s">
        <v>32</v>
      </c>
      <c r="N159" t="s">
        <v>51</v>
      </c>
      <c r="O159" t="s">
        <v>789</v>
      </c>
      <c r="P159">
        <v>1399.93</v>
      </c>
      <c r="Q159">
        <v>7</v>
      </c>
      <c r="R159">
        <v>601.96990000000005</v>
      </c>
      <c r="S159" s="3" t="s">
        <v>683</v>
      </c>
      <c r="T159">
        <v>2017</v>
      </c>
      <c r="U159" t="s">
        <v>527</v>
      </c>
      <c r="V159" s="2">
        <v>0.43</v>
      </c>
    </row>
    <row r="160" spans="1:22" x14ac:dyDescent="0.25">
      <c r="A160" t="s">
        <v>790</v>
      </c>
      <c r="B160" s="1">
        <v>42906</v>
      </c>
      <c r="C160" s="1">
        <v>42913</v>
      </c>
      <c r="D160" t="s">
        <v>23</v>
      </c>
      <c r="E160" t="s">
        <v>791</v>
      </c>
      <c r="F160" t="s">
        <v>792</v>
      </c>
      <c r="G160" t="s">
        <v>26</v>
      </c>
      <c r="H160" t="s">
        <v>27</v>
      </c>
      <c r="I160" t="s">
        <v>793</v>
      </c>
      <c r="J160" t="s">
        <v>794</v>
      </c>
      <c r="K160" t="s">
        <v>95</v>
      </c>
      <c r="L160" t="s">
        <v>795</v>
      </c>
      <c r="M160" t="s">
        <v>32</v>
      </c>
      <c r="N160" t="s">
        <v>51</v>
      </c>
      <c r="O160" t="s">
        <v>796</v>
      </c>
      <c r="P160">
        <v>239.97</v>
      </c>
      <c r="Q160">
        <v>3</v>
      </c>
      <c r="R160">
        <v>71.991</v>
      </c>
      <c r="S160" s="3" t="s">
        <v>132</v>
      </c>
      <c r="T160">
        <v>2017</v>
      </c>
      <c r="U160" t="s">
        <v>36</v>
      </c>
      <c r="V160" s="2">
        <v>0.3</v>
      </c>
    </row>
    <row r="161" spans="1:22" x14ac:dyDescent="0.25">
      <c r="A161" t="s">
        <v>797</v>
      </c>
      <c r="B161" s="1">
        <v>41768</v>
      </c>
      <c r="C161" s="1">
        <v>41774</v>
      </c>
      <c r="D161" t="s">
        <v>23</v>
      </c>
      <c r="E161" t="s">
        <v>798</v>
      </c>
      <c r="F161" t="s">
        <v>799</v>
      </c>
      <c r="G161" t="s">
        <v>26</v>
      </c>
      <c r="H161" t="s">
        <v>27</v>
      </c>
      <c r="I161" t="s">
        <v>43</v>
      </c>
      <c r="J161" t="s">
        <v>29</v>
      </c>
      <c r="K161" t="s">
        <v>30</v>
      </c>
      <c r="L161" t="s">
        <v>800</v>
      </c>
      <c r="M161" t="s">
        <v>32</v>
      </c>
      <c r="N161" t="s">
        <v>51</v>
      </c>
      <c r="O161" t="s">
        <v>801</v>
      </c>
      <c r="P161">
        <v>67.8</v>
      </c>
      <c r="Q161">
        <v>4</v>
      </c>
      <c r="R161">
        <v>4.0679999999999996</v>
      </c>
      <c r="S161" s="3" t="s">
        <v>107</v>
      </c>
      <c r="T161">
        <v>2014</v>
      </c>
      <c r="U161" t="s">
        <v>527</v>
      </c>
      <c r="V161" s="2">
        <v>0.06</v>
      </c>
    </row>
    <row r="162" spans="1:22" x14ac:dyDescent="0.25">
      <c r="A162" t="s">
        <v>797</v>
      </c>
      <c r="B162" s="1">
        <v>41768</v>
      </c>
      <c r="C162" s="1">
        <v>41774</v>
      </c>
      <c r="D162" t="s">
        <v>23</v>
      </c>
      <c r="E162" t="s">
        <v>798</v>
      </c>
      <c r="F162" t="s">
        <v>799</v>
      </c>
      <c r="G162" t="s">
        <v>26</v>
      </c>
      <c r="H162" t="s">
        <v>27</v>
      </c>
      <c r="I162" t="s">
        <v>43</v>
      </c>
      <c r="J162" t="s">
        <v>29</v>
      </c>
      <c r="K162" t="s">
        <v>30</v>
      </c>
      <c r="L162" t="s">
        <v>271</v>
      </c>
      <c r="M162" t="s">
        <v>32</v>
      </c>
      <c r="N162" t="s">
        <v>51</v>
      </c>
      <c r="O162" t="s">
        <v>272</v>
      </c>
      <c r="P162">
        <v>167.97</v>
      </c>
      <c r="Q162">
        <v>3</v>
      </c>
      <c r="R162">
        <v>40.312800000000003</v>
      </c>
      <c r="S162" s="3" t="s">
        <v>107</v>
      </c>
      <c r="T162">
        <v>2014</v>
      </c>
      <c r="U162" t="s">
        <v>527</v>
      </c>
      <c r="V162" s="2">
        <v>0.24</v>
      </c>
    </row>
    <row r="163" spans="1:22" x14ac:dyDescent="0.25">
      <c r="A163" t="s">
        <v>802</v>
      </c>
      <c r="B163" s="1">
        <v>42902</v>
      </c>
      <c r="C163" s="1">
        <v>42907</v>
      </c>
      <c r="D163" t="s">
        <v>40</v>
      </c>
      <c r="E163" t="s">
        <v>442</v>
      </c>
      <c r="F163" t="s">
        <v>443</v>
      </c>
      <c r="G163" t="s">
        <v>26</v>
      </c>
      <c r="H163" t="s">
        <v>27</v>
      </c>
      <c r="I163" t="s">
        <v>803</v>
      </c>
      <c r="J163" t="s">
        <v>804</v>
      </c>
      <c r="K163" t="s">
        <v>155</v>
      </c>
      <c r="L163" t="s">
        <v>805</v>
      </c>
      <c r="M163" t="s">
        <v>32</v>
      </c>
      <c r="N163" t="s">
        <v>33</v>
      </c>
      <c r="O163" t="s">
        <v>806</v>
      </c>
      <c r="P163">
        <v>191.98</v>
      </c>
      <c r="Q163">
        <v>2</v>
      </c>
      <c r="R163">
        <v>51.834600000000002</v>
      </c>
      <c r="S163" s="3" t="s">
        <v>35</v>
      </c>
      <c r="T163">
        <v>2017</v>
      </c>
      <c r="U163" t="s">
        <v>36</v>
      </c>
      <c r="V163" s="2">
        <v>0.27</v>
      </c>
    </row>
    <row r="164" spans="1:22" x14ac:dyDescent="0.25">
      <c r="A164" t="s">
        <v>802</v>
      </c>
      <c r="B164" s="1">
        <v>42902</v>
      </c>
      <c r="C164" s="1">
        <v>42907</v>
      </c>
      <c r="D164" t="s">
        <v>40</v>
      </c>
      <c r="E164" t="s">
        <v>442</v>
      </c>
      <c r="F164" t="s">
        <v>443</v>
      </c>
      <c r="G164" t="s">
        <v>26</v>
      </c>
      <c r="H164" t="s">
        <v>27</v>
      </c>
      <c r="I164" t="s">
        <v>803</v>
      </c>
      <c r="J164" t="s">
        <v>804</v>
      </c>
      <c r="K164" t="s">
        <v>155</v>
      </c>
      <c r="L164" t="s">
        <v>807</v>
      </c>
      <c r="M164" t="s">
        <v>32</v>
      </c>
      <c r="N164" t="s">
        <v>33</v>
      </c>
      <c r="O164" t="s">
        <v>808</v>
      </c>
      <c r="P164">
        <v>65.989999999999995</v>
      </c>
      <c r="Q164">
        <v>1</v>
      </c>
      <c r="R164">
        <v>17.157399999999999</v>
      </c>
      <c r="S164" s="3" t="s">
        <v>35</v>
      </c>
      <c r="T164">
        <v>2017</v>
      </c>
      <c r="U164" t="s">
        <v>36</v>
      </c>
      <c r="V164" s="2">
        <v>0.26</v>
      </c>
    </row>
    <row r="165" spans="1:22" x14ac:dyDescent="0.25">
      <c r="A165" t="s">
        <v>809</v>
      </c>
      <c r="B165" s="1">
        <v>42574</v>
      </c>
      <c r="C165" s="1">
        <v>42578</v>
      </c>
      <c r="D165" t="s">
        <v>23</v>
      </c>
      <c r="E165" t="s">
        <v>810</v>
      </c>
      <c r="F165" t="s">
        <v>811</v>
      </c>
      <c r="G165" t="s">
        <v>59</v>
      </c>
      <c r="H165" t="s">
        <v>27</v>
      </c>
      <c r="I165" t="s">
        <v>287</v>
      </c>
      <c r="J165" t="s">
        <v>288</v>
      </c>
      <c r="K165" t="s">
        <v>155</v>
      </c>
      <c r="L165" t="s">
        <v>812</v>
      </c>
      <c r="M165" t="s">
        <v>32</v>
      </c>
      <c r="N165" t="s">
        <v>215</v>
      </c>
      <c r="O165" t="s">
        <v>813</v>
      </c>
      <c r="P165">
        <v>265.47500000000002</v>
      </c>
      <c r="Q165">
        <v>1</v>
      </c>
      <c r="R165">
        <v>-111.4995</v>
      </c>
      <c r="S165" s="3" t="s">
        <v>53</v>
      </c>
      <c r="T165">
        <v>2016</v>
      </c>
      <c r="U165" t="s">
        <v>332</v>
      </c>
      <c r="V165" s="2">
        <v>-0.42</v>
      </c>
    </row>
    <row r="166" spans="1:22" x14ac:dyDescent="0.25">
      <c r="A166" t="s">
        <v>814</v>
      </c>
      <c r="B166" s="1">
        <v>42436</v>
      </c>
      <c r="C166" s="1">
        <v>42441</v>
      </c>
      <c r="D166" t="s">
        <v>23</v>
      </c>
      <c r="E166" t="s">
        <v>815</v>
      </c>
      <c r="F166" t="s">
        <v>816</v>
      </c>
      <c r="G166" t="s">
        <v>59</v>
      </c>
      <c r="H166" t="s">
        <v>27</v>
      </c>
      <c r="I166" t="s">
        <v>570</v>
      </c>
      <c r="J166" t="s">
        <v>61</v>
      </c>
      <c r="K166" t="s">
        <v>62</v>
      </c>
      <c r="L166" t="s">
        <v>472</v>
      </c>
      <c r="M166" t="s">
        <v>32</v>
      </c>
      <c r="N166" t="s">
        <v>33</v>
      </c>
      <c r="O166" t="s">
        <v>473</v>
      </c>
      <c r="P166">
        <v>21.071999999999999</v>
      </c>
      <c r="Q166">
        <v>3</v>
      </c>
      <c r="R166">
        <v>1.5804</v>
      </c>
      <c r="S166" s="3" t="s">
        <v>35</v>
      </c>
      <c r="T166">
        <v>2016</v>
      </c>
      <c r="U166" t="s">
        <v>89</v>
      </c>
      <c r="V166" s="2">
        <v>7.4999999999999997E-2</v>
      </c>
    </row>
    <row r="167" spans="1:22" x14ac:dyDescent="0.25">
      <c r="A167" t="s">
        <v>817</v>
      </c>
      <c r="B167" s="1">
        <v>42290</v>
      </c>
      <c r="C167" s="1">
        <v>42294</v>
      </c>
      <c r="D167" t="s">
        <v>23</v>
      </c>
      <c r="E167" t="s">
        <v>818</v>
      </c>
      <c r="F167" t="s">
        <v>819</v>
      </c>
      <c r="G167" t="s">
        <v>26</v>
      </c>
      <c r="H167" t="s">
        <v>27</v>
      </c>
      <c r="I167" t="s">
        <v>444</v>
      </c>
      <c r="J167" t="s">
        <v>804</v>
      </c>
      <c r="K167" t="s">
        <v>155</v>
      </c>
      <c r="L167" t="s">
        <v>244</v>
      </c>
      <c r="M167" t="s">
        <v>32</v>
      </c>
      <c r="N167" t="s">
        <v>33</v>
      </c>
      <c r="O167" t="s">
        <v>245</v>
      </c>
      <c r="P167">
        <v>83.72</v>
      </c>
      <c r="Q167">
        <v>7</v>
      </c>
      <c r="R167">
        <v>23.441600000000001</v>
      </c>
      <c r="S167" s="3" t="s">
        <v>53</v>
      </c>
      <c r="T167">
        <v>2015</v>
      </c>
      <c r="U167" t="s">
        <v>133</v>
      </c>
      <c r="V167" s="2">
        <v>0.28000000000000003</v>
      </c>
    </row>
    <row r="168" spans="1:22" x14ac:dyDescent="0.25">
      <c r="A168" t="s">
        <v>820</v>
      </c>
      <c r="B168" s="1">
        <v>41677</v>
      </c>
      <c r="C168" s="1">
        <v>41682</v>
      </c>
      <c r="D168" t="s">
        <v>23</v>
      </c>
      <c r="E168" t="s">
        <v>821</v>
      </c>
      <c r="F168" t="s">
        <v>822</v>
      </c>
      <c r="G168" t="s">
        <v>59</v>
      </c>
      <c r="H168" t="s">
        <v>27</v>
      </c>
      <c r="I168" t="s">
        <v>823</v>
      </c>
      <c r="J168" t="s">
        <v>794</v>
      </c>
      <c r="K168" t="s">
        <v>95</v>
      </c>
      <c r="L168" t="s">
        <v>824</v>
      </c>
      <c r="M168" t="s">
        <v>32</v>
      </c>
      <c r="N168" t="s">
        <v>51</v>
      </c>
      <c r="O168" t="s">
        <v>825</v>
      </c>
      <c r="P168">
        <v>115.36</v>
      </c>
      <c r="Q168">
        <v>7</v>
      </c>
      <c r="R168">
        <v>49.604799999999997</v>
      </c>
      <c r="S168" s="3" t="s">
        <v>35</v>
      </c>
      <c r="T168">
        <v>2014</v>
      </c>
      <c r="U168" t="s">
        <v>180</v>
      </c>
      <c r="V168" s="2">
        <v>0.43</v>
      </c>
    </row>
    <row r="169" spans="1:22" x14ac:dyDescent="0.25">
      <c r="A169" t="s">
        <v>826</v>
      </c>
      <c r="B169" s="1">
        <v>42374</v>
      </c>
      <c r="C169" s="1">
        <v>42376</v>
      </c>
      <c r="D169" t="s">
        <v>40</v>
      </c>
      <c r="E169" t="s">
        <v>827</v>
      </c>
      <c r="F169" t="s">
        <v>828</v>
      </c>
      <c r="G169" t="s">
        <v>59</v>
      </c>
      <c r="H169" t="s">
        <v>27</v>
      </c>
      <c r="I169" t="s">
        <v>460</v>
      </c>
      <c r="J169" t="s">
        <v>288</v>
      </c>
      <c r="K169" t="s">
        <v>155</v>
      </c>
      <c r="L169" t="s">
        <v>829</v>
      </c>
      <c r="M169" t="s">
        <v>32</v>
      </c>
      <c r="N169" t="s">
        <v>51</v>
      </c>
      <c r="O169" t="s">
        <v>830</v>
      </c>
      <c r="P169">
        <v>191.47200000000001</v>
      </c>
      <c r="Q169">
        <v>6</v>
      </c>
      <c r="R169">
        <v>40.687800000000003</v>
      </c>
      <c r="S169" s="3" t="s">
        <v>65</v>
      </c>
      <c r="T169">
        <v>2016</v>
      </c>
      <c r="U169" t="s">
        <v>54</v>
      </c>
      <c r="V169" s="2">
        <v>0.21249999999999999</v>
      </c>
    </row>
    <row r="170" spans="1:22" x14ac:dyDescent="0.25">
      <c r="A170" t="s">
        <v>826</v>
      </c>
      <c r="B170" s="1">
        <v>42374</v>
      </c>
      <c r="C170" s="1">
        <v>42376</v>
      </c>
      <c r="D170" t="s">
        <v>40</v>
      </c>
      <c r="E170" t="s">
        <v>827</v>
      </c>
      <c r="F170" t="s">
        <v>828</v>
      </c>
      <c r="G170" t="s">
        <v>59</v>
      </c>
      <c r="H170" t="s">
        <v>27</v>
      </c>
      <c r="I170" t="s">
        <v>460</v>
      </c>
      <c r="J170" t="s">
        <v>288</v>
      </c>
      <c r="K170" t="s">
        <v>155</v>
      </c>
      <c r="L170" t="s">
        <v>831</v>
      </c>
      <c r="M170" t="s">
        <v>32</v>
      </c>
      <c r="N170" t="s">
        <v>33</v>
      </c>
      <c r="O170" t="s">
        <v>832</v>
      </c>
      <c r="P170">
        <v>59.183999999999997</v>
      </c>
      <c r="Q170">
        <v>2</v>
      </c>
      <c r="R170">
        <v>5.1786000000000003</v>
      </c>
      <c r="S170" s="3" t="s">
        <v>65</v>
      </c>
      <c r="T170">
        <v>2016</v>
      </c>
      <c r="U170" t="s">
        <v>54</v>
      </c>
      <c r="V170" s="2">
        <v>8.7499999999999994E-2</v>
      </c>
    </row>
    <row r="171" spans="1:22" x14ac:dyDescent="0.25">
      <c r="A171" t="s">
        <v>833</v>
      </c>
      <c r="B171" s="1">
        <v>42616</v>
      </c>
      <c r="C171" s="1">
        <v>42618</v>
      </c>
      <c r="D171" t="s">
        <v>56</v>
      </c>
      <c r="E171" t="s">
        <v>834</v>
      </c>
      <c r="F171" t="s">
        <v>835</v>
      </c>
      <c r="G171" t="s">
        <v>70</v>
      </c>
      <c r="H171" t="s">
        <v>27</v>
      </c>
      <c r="I171" t="s">
        <v>206</v>
      </c>
      <c r="J171" t="s">
        <v>207</v>
      </c>
      <c r="K171" t="s">
        <v>95</v>
      </c>
      <c r="L171" t="s">
        <v>578</v>
      </c>
      <c r="M171" t="s">
        <v>32</v>
      </c>
      <c r="N171" t="s">
        <v>33</v>
      </c>
      <c r="O171" t="s">
        <v>579</v>
      </c>
      <c r="P171">
        <v>280.78199999999998</v>
      </c>
      <c r="Q171">
        <v>3</v>
      </c>
      <c r="R171">
        <v>-46.796999999999997</v>
      </c>
      <c r="S171" s="3" t="s">
        <v>65</v>
      </c>
      <c r="T171">
        <v>2016</v>
      </c>
      <c r="U171" t="s">
        <v>81</v>
      </c>
      <c r="V171" s="2">
        <v>-0.16666666666666699</v>
      </c>
    </row>
    <row r="172" spans="1:22" x14ac:dyDescent="0.25">
      <c r="A172" t="s">
        <v>836</v>
      </c>
      <c r="B172" s="1">
        <v>42386</v>
      </c>
      <c r="C172" s="1">
        <v>42390</v>
      </c>
      <c r="D172" t="s">
        <v>23</v>
      </c>
      <c r="E172" t="s">
        <v>837</v>
      </c>
      <c r="F172" t="s">
        <v>838</v>
      </c>
      <c r="G172" t="s">
        <v>70</v>
      </c>
      <c r="H172" t="s">
        <v>27</v>
      </c>
      <c r="I172" t="s">
        <v>839</v>
      </c>
      <c r="J172" t="s">
        <v>840</v>
      </c>
      <c r="K172" t="s">
        <v>95</v>
      </c>
      <c r="L172" t="s">
        <v>330</v>
      </c>
      <c r="M172" t="s">
        <v>32</v>
      </c>
      <c r="N172" t="s">
        <v>51</v>
      </c>
      <c r="O172" t="s">
        <v>331</v>
      </c>
      <c r="P172">
        <v>29.99</v>
      </c>
      <c r="Q172">
        <v>1</v>
      </c>
      <c r="R172">
        <v>13.195600000000001</v>
      </c>
      <c r="S172" s="3" t="s">
        <v>53</v>
      </c>
      <c r="T172">
        <v>2016</v>
      </c>
      <c r="U172" t="s">
        <v>54</v>
      </c>
      <c r="V172" s="2">
        <v>0.44</v>
      </c>
    </row>
    <row r="173" spans="1:22" x14ac:dyDescent="0.25">
      <c r="A173" t="s">
        <v>836</v>
      </c>
      <c r="B173" s="1">
        <v>42386</v>
      </c>
      <c r="C173" s="1">
        <v>42390</v>
      </c>
      <c r="D173" t="s">
        <v>23</v>
      </c>
      <c r="E173" t="s">
        <v>837</v>
      </c>
      <c r="F173" t="s">
        <v>838</v>
      </c>
      <c r="G173" t="s">
        <v>70</v>
      </c>
      <c r="H173" t="s">
        <v>27</v>
      </c>
      <c r="I173" t="s">
        <v>839</v>
      </c>
      <c r="J173" t="s">
        <v>840</v>
      </c>
      <c r="K173" t="s">
        <v>95</v>
      </c>
      <c r="L173" t="s">
        <v>841</v>
      </c>
      <c r="M173" t="s">
        <v>32</v>
      </c>
      <c r="N173" t="s">
        <v>51</v>
      </c>
      <c r="O173" t="s">
        <v>842</v>
      </c>
      <c r="P173">
        <v>371.97</v>
      </c>
      <c r="Q173">
        <v>3</v>
      </c>
      <c r="R173">
        <v>66.954599999999999</v>
      </c>
      <c r="S173" s="3" t="s">
        <v>53</v>
      </c>
      <c r="T173">
        <v>2016</v>
      </c>
      <c r="U173" t="s">
        <v>54</v>
      </c>
      <c r="V173" s="2">
        <v>0.18</v>
      </c>
    </row>
    <row r="174" spans="1:22" x14ac:dyDescent="0.25">
      <c r="A174" t="s">
        <v>843</v>
      </c>
      <c r="B174" s="1">
        <v>42906</v>
      </c>
      <c r="C174" s="1">
        <v>42912</v>
      </c>
      <c r="D174" t="s">
        <v>23</v>
      </c>
      <c r="E174" t="s">
        <v>844</v>
      </c>
      <c r="F174" t="s">
        <v>845</v>
      </c>
      <c r="G174" t="s">
        <v>26</v>
      </c>
      <c r="H174" t="s">
        <v>27</v>
      </c>
      <c r="I174" t="s">
        <v>450</v>
      </c>
      <c r="J174" t="s">
        <v>104</v>
      </c>
      <c r="K174" t="s">
        <v>95</v>
      </c>
      <c r="L174" t="s">
        <v>846</v>
      </c>
      <c r="M174" t="s">
        <v>32</v>
      </c>
      <c r="N174" t="s">
        <v>51</v>
      </c>
      <c r="O174" t="s">
        <v>847</v>
      </c>
      <c r="P174">
        <v>149.94999999999999</v>
      </c>
      <c r="Q174">
        <v>5</v>
      </c>
      <c r="R174">
        <v>14.994999999999999</v>
      </c>
      <c r="S174" s="3" t="s">
        <v>107</v>
      </c>
      <c r="T174">
        <v>2017</v>
      </c>
      <c r="U174" t="s">
        <v>36</v>
      </c>
      <c r="V174" s="2">
        <v>0.1</v>
      </c>
    </row>
    <row r="175" spans="1:22" x14ac:dyDescent="0.25">
      <c r="A175" t="s">
        <v>848</v>
      </c>
      <c r="B175" s="1">
        <v>42912</v>
      </c>
      <c r="C175" s="1">
        <v>42913</v>
      </c>
      <c r="D175" t="s">
        <v>56</v>
      </c>
      <c r="E175" t="s">
        <v>849</v>
      </c>
      <c r="F175" t="s">
        <v>850</v>
      </c>
      <c r="G175" t="s">
        <v>70</v>
      </c>
      <c r="H175" t="s">
        <v>27</v>
      </c>
      <c r="I175" t="s">
        <v>851</v>
      </c>
      <c r="J175" t="s">
        <v>256</v>
      </c>
      <c r="K175" t="s">
        <v>62</v>
      </c>
      <c r="L175" t="s">
        <v>852</v>
      </c>
      <c r="M175" t="s">
        <v>32</v>
      </c>
      <c r="N175" t="s">
        <v>33</v>
      </c>
      <c r="O175" t="s">
        <v>853</v>
      </c>
      <c r="P175">
        <v>543.91999999999996</v>
      </c>
      <c r="Q175">
        <v>8</v>
      </c>
      <c r="R175">
        <v>135.97999999999999</v>
      </c>
      <c r="S175" s="3" t="s">
        <v>112</v>
      </c>
      <c r="T175">
        <v>2017</v>
      </c>
      <c r="U175" t="s">
        <v>36</v>
      </c>
      <c r="V175" s="2">
        <v>0.25</v>
      </c>
    </row>
    <row r="176" spans="1:22" x14ac:dyDescent="0.25">
      <c r="A176" t="s">
        <v>854</v>
      </c>
      <c r="B176" s="1">
        <v>42993</v>
      </c>
      <c r="C176" s="1">
        <v>42995</v>
      </c>
      <c r="D176" t="s">
        <v>56</v>
      </c>
      <c r="E176" t="s">
        <v>855</v>
      </c>
      <c r="F176" t="s">
        <v>856</v>
      </c>
      <c r="G176" t="s">
        <v>26</v>
      </c>
      <c r="H176" t="s">
        <v>27</v>
      </c>
      <c r="I176" t="s">
        <v>140</v>
      </c>
      <c r="J176" t="s">
        <v>78</v>
      </c>
      <c r="K176" t="s">
        <v>62</v>
      </c>
      <c r="L176" t="s">
        <v>201</v>
      </c>
      <c r="M176" t="s">
        <v>32</v>
      </c>
      <c r="N176" t="s">
        <v>33</v>
      </c>
      <c r="O176" t="s">
        <v>202</v>
      </c>
      <c r="P176">
        <v>323.976</v>
      </c>
      <c r="Q176">
        <v>3</v>
      </c>
      <c r="R176">
        <v>20.2485</v>
      </c>
      <c r="S176" s="3" t="s">
        <v>65</v>
      </c>
      <c r="T176">
        <v>2017</v>
      </c>
      <c r="U176" t="s">
        <v>81</v>
      </c>
      <c r="V176" s="2">
        <v>6.25E-2</v>
      </c>
    </row>
    <row r="177" spans="1:22" x14ac:dyDescent="0.25">
      <c r="A177" t="s">
        <v>857</v>
      </c>
      <c r="B177" s="1">
        <v>43099</v>
      </c>
      <c r="C177" s="1">
        <v>43103</v>
      </c>
      <c r="D177" t="s">
        <v>23</v>
      </c>
      <c r="E177" t="s">
        <v>858</v>
      </c>
      <c r="F177" t="s">
        <v>859</v>
      </c>
      <c r="G177" t="s">
        <v>26</v>
      </c>
      <c r="H177" t="s">
        <v>27</v>
      </c>
      <c r="I177" t="s">
        <v>103</v>
      </c>
      <c r="J177" t="s">
        <v>104</v>
      </c>
      <c r="K177" t="s">
        <v>95</v>
      </c>
      <c r="L177" t="s">
        <v>860</v>
      </c>
      <c r="M177" t="s">
        <v>32</v>
      </c>
      <c r="N177" t="s">
        <v>33</v>
      </c>
      <c r="O177" t="s">
        <v>861</v>
      </c>
      <c r="P177">
        <v>90.93</v>
      </c>
      <c r="Q177">
        <v>7</v>
      </c>
      <c r="R177">
        <v>2.7279</v>
      </c>
      <c r="S177" s="3" t="s">
        <v>53</v>
      </c>
      <c r="T177">
        <v>2017</v>
      </c>
      <c r="U177" t="s">
        <v>66</v>
      </c>
      <c r="V177" s="2">
        <v>0.03</v>
      </c>
    </row>
    <row r="178" spans="1:22" x14ac:dyDescent="0.25">
      <c r="A178" t="s">
        <v>862</v>
      </c>
      <c r="B178" s="1">
        <v>42980</v>
      </c>
      <c r="C178" s="1">
        <v>42985</v>
      </c>
      <c r="D178" t="s">
        <v>23</v>
      </c>
      <c r="E178" t="s">
        <v>863</v>
      </c>
      <c r="F178" t="s">
        <v>864</v>
      </c>
      <c r="G178" t="s">
        <v>70</v>
      </c>
      <c r="H178" t="s">
        <v>27</v>
      </c>
      <c r="I178" t="s">
        <v>687</v>
      </c>
      <c r="J178" t="s">
        <v>256</v>
      </c>
      <c r="K178" t="s">
        <v>62</v>
      </c>
      <c r="L178" t="s">
        <v>865</v>
      </c>
      <c r="M178" t="s">
        <v>32</v>
      </c>
      <c r="N178" t="s">
        <v>33</v>
      </c>
      <c r="O178" t="s">
        <v>866</v>
      </c>
      <c r="P178">
        <v>1199.8</v>
      </c>
      <c r="Q178">
        <v>4</v>
      </c>
      <c r="R178">
        <v>323.94600000000003</v>
      </c>
      <c r="S178" s="3" t="s">
        <v>35</v>
      </c>
      <c r="T178">
        <v>2017</v>
      </c>
      <c r="U178" t="s">
        <v>81</v>
      </c>
      <c r="V178" s="2">
        <v>0.27</v>
      </c>
    </row>
    <row r="179" spans="1:22" x14ac:dyDescent="0.25">
      <c r="A179" t="s">
        <v>862</v>
      </c>
      <c r="B179" s="1">
        <v>42980</v>
      </c>
      <c r="C179" s="1">
        <v>42985</v>
      </c>
      <c r="D179" t="s">
        <v>23</v>
      </c>
      <c r="E179" t="s">
        <v>863</v>
      </c>
      <c r="F179" t="s">
        <v>864</v>
      </c>
      <c r="G179" t="s">
        <v>70</v>
      </c>
      <c r="H179" t="s">
        <v>27</v>
      </c>
      <c r="I179" t="s">
        <v>687</v>
      </c>
      <c r="J179" t="s">
        <v>256</v>
      </c>
      <c r="K179" t="s">
        <v>62</v>
      </c>
      <c r="L179" t="s">
        <v>867</v>
      </c>
      <c r="M179" t="s">
        <v>32</v>
      </c>
      <c r="N179" t="s">
        <v>51</v>
      </c>
      <c r="O179" t="s">
        <v>868</v>
      </c>
      <c r="P179">
        <v>1928.78</v>
      </c>
      <c r="Q179">
        <v>7</v>
      </c>
      <c r="R179">
        <v>829.37540000000001</v>
      </c>
      <c r="S179" s="3" t="s">
        <v>35</v>
      </c>
      <c r="T179">
        <v>2017</v>
      </c>
      <c r="U179" t="s">
        <v>81</v>
      </c>
      <c r="V179" s="2">
        <v>0.43</v>
      </c>
    </row>
    <row r="180" spans="1:22" x14ac:dyDescent="0.25">
      <c r="A180" t="s">
        <v>869</v>
      </c>
      <c r="B180" s="1">
        <v>43066</v>
      </c>
      <c r="C180" s="1">
        <v>43068</v>
      </c>
      <c r="D180" t="s">
        <v>56</v>
      </c>
      <c r="E180" t="s">
        <v>870</v>
      </c>
      <c r="F180" t="s">
        <v>871</v>
      </c>
      <c r="G180" t="s">
        <v>59</v>
      </c>
      <c r="H180" t="s">
        <v>27</v>
      </c>
      <c r="I180" t="s">
        <v>872</v>
      </c>
      <c r="J180" t="s">
        <v>185</v>
      </c>
      <c r="K180" t="s">
        <v>62</v>
      </c>
      <c r="L180" t="s">
        <v>478</v>
      </c>
      <c r="M180" t="s">
        <v>32</v>
      </c>
      <c r="N180" t="s">
        <v>51</v>
      </c>
      <c r="O180" t="s">
        <v>479</v>
      </c>
      <c r="P180">
        <v>143.72999999999999</v>
      </c>
      <c r="Q180">
        <v>9</v>
      </c>
      <c r="R180">
        <v>56.054699999999997</v>
      </c>
      <c r="S180" s="3" t="s">
        <v>65</v>
      </c>
      <c r="T180">
        <v>2017</v>
      </c>
      <c r="U180" t="s">
        <v>118</v>
      </c>
      <c r="V180" s="2">
        <v>0.39</v>
      </c>
    </row>
    <row r="181" spans="1:22" x14ac:dyDescent="0.25">
      <c r="A181" t="s">
        <v>873</v>
      </c>
      <c r="B181" s="1">
        <v>42105</v>
      </c>
      <c r="C181" s="1">
        <v>42109</v>
      </c>
      <c r="D181" t="s">
        <v>23</v>
      </c>
      <c r="E181" t="s">
        <v>874</v>
      </c>
      <c r="F181" t="s">
        <v>875</v>
      </c>
      <c r="G181" t="s">
        <v>26</v>
      </c>
      <c r="H181" t="s">
        <v>27</v>
      </c>
      <c r="I181" t="s">
        <v>103</v>
      </c>
      <c r="J181" t="s">
        <v>104</v>
      </c>
      <c r="K181" t="s">
        <v>95</v>
      </c>
      <c r="L181" t="s">
        <v>876</v>
      </c>
      <c r="M181" t="s">
        <v>32</v>
      </c>
      <c r="N181" t="s">
        <v>51</v>
      </c>
      <c r="O181" t="s">
        <v>877</v>
      </c>
      <c r="P181">
        <v>85.14</v>
      </c>
      <c r="Q181">
        <v>3</v>
      </c>
      <c r="R181">
        <v>34.907400000000003</v>
      </c>
      <c r="S181" s="3" t="s">
        <v>53</v>
      </c>
      <c r="T181">
        <v>2015</v>
      </c>
      <c r="U181" t="s">
        <v>291</v>
      </c>
      <c r="V181" s="2">
        <v>0.41</v>
      </c>
    </row>
    <row r="182" spans="1:22" x14ac:dyDescent="0.25">
      <c r="A182" t="s">
        <v>873</v>
      </c>
      <c r="B182" s="1">
        <v>42105</v>
      </c>
      <c r="C182" s="1">
        <v>42109</v>
      </c>
      <c r="D182" t="s">
        <v>23</v>
      </c>
      <c r="E182" t="s">
        <v>874</v>
      </c>
      <c r="F182" t="s">
        <v>875</v>
      </c>
      <c r="G182" t="s">
        <v>26</v>
      </c>
      <c r="H182" t="s">
        <v>27</v>
      </c>
      <c r="I182" t="s">
        <v>103</v>
      </c>
      <c r="J182" t="s">
        <v>104</v>
      </c>
      <c r="K182" t="s">
        <v>95</v>
      </c>
      <c r="L182" t="s">
        <v>878</v>
      </c>
      <c r="M182" t="s">
        <v>32</v>
      </c>
      <c r="N182" t="s">
        <v>33</v>
      </c>
      <c r="O182" t="s">
        <v>879</v>
      </c>
      <c r="P182">
        <v>21.99</v>
      </c>
      <c r="Q182">
        <v>1</v>
      </c>
      <c r="R182">
        <v>10.555199999999999</v>
      </c>
      <c r="S182" s="3" t="s">
        <v>53</v>
      </c>
      <c r="T182">
        <v>2015</v>
      </c>
      <c r="U182" t="s">
        <v>291</v>
      </c>
      <c r="V182" s="2">
        <v>0.48</v>
      </c>
    </row>
    <row r="183" spans="1:22" x14ac:dyDescent="0.25">
      <c r="A183" t="s">
        <v>880</v>
      </c>
      <c r="B183" s="1">
        <v>41895</v>
      </c>
      <c r="C183" s="1">
        <v>41898</v>
      </c>
      <c r="D183" t="s">
        <v>56</v>
      </c>
      <c r="E183" t="s">
        <v>881</v>
      </c>
      <c r="F183" t="s">
        <v>882</v>
      </c>
      <c r="G183" t="s">
        <v>26</v>
      </c>
      <c r="H183" t="s">
        <v>27</v>
      </c>
      <c r="I183" t="s">
        <v>206</v>
      </c>
      <c r="J183" t="s">
        <v>207</v>
      </c>
      <c r="K183" t="s">
        <v>95</v>
      </c>
      <c r="L183" t="s">
        <v>883</v>
      </c>
      <c r="M183" t="s">
        <v>32</v>
      </c>
      <c r="N183" t="s">
        <v>51</v>
      </c>
      <c r="O183" t="s">
        <v>884</v>
      </c>
      <c r="P183">
        <v>252</v>
      </c>
      <c r="Q183">
        <v>5</v>
      </c>
      <c r="R183">
        <v>53.55</v>
      </c>
      <c r="S183" s="3" t="s">
        <v>172</v>
      </c>
      <c r="T183">
        <v>2014</v>
      </c>
      <c r="U183" t="s">
        <v>81</v>
      </c>
      <c r="V183" s="2">
        <v>0.21249999999999999</v>
      </c>
    </row>
    <row r="184" spans="1:22" x14ac:dyDescent="0.25">
      <c r="A184" t="s">
        <v>885</v>
      </c>
      <c r="B184" s="1">
        <v>43044</v>
      </c>
      <c r="C184" s="1">
        <v>43045</v>
      </c>
      <c r="D184" t="s">
        <v>56</v>
      </c>
      <c r="E184" t="s">
        <v>886</v>
      </c>
      <c r="F184" t="s">
        <v>887</v>
      </c>
      <c r="G184" t="s">
        <v>59</v>
      </c>
      <c r="H184" t="s">
        <v>27</v>
      </c>
      <c r="I184" t="s">
        <v>888</v>
      </c>
      <c r="J184" t="s">
        <v>889</v>
      </c>
      <c r="K184" t="s">
        <v>30</v>
      </c>
      <c r="L184" t="s">
        <v>398</v>
      </c>
      <c r="M184" t="s">
        <v>32</v>
      </c>
      <c r="N184" t="s">
        <v>51</v>
      </c>
      <c r="O184" t="s">
        <v>399</v>
      </c>
      <c r="P184">
        <v>159.99</v>
      </c>
      <c r="Q184">
        <v>1</v>
      </c>
      <c r="R184">
        <v>54.396599999999999</v>
      </c>
      <c r="S184" s="3" t="s">
        <v>112</v>
      </c>
      <c r="T184">
        <v>2017</v>
      </c>
      <c r="U184" t="s">
        <v>118</v>
      </c>
      <c r="V184" s="2">
        <v>0.34</v>
      </c>
    </row>
    <row r="185" spans="1:22" x14ac:dyDescent="0.25">
      <c r="A185" t="s">
        <v>890</v>
      </c>
      <c r="B185" s="1">
        <v>42870</v>
      </c>
      <c r="C185" s="1">
        <v>42873</v>
      </c>
      <c r="D185" t="s">
        <v>40</v>
      </c>
      <c r="E185" t="s">
        <v>891</v>
      </c>
      <c r="F185" t="s">
        <v>892</v>
      </c>
      <c r="G185" t="s">
        <v>26</v>
      </c>
      <c r="H185" t="s">
        <v>27</v>
      </c>
      <c r="I185" t="s">
        <v>893</v>
      </c>
      <c r="J185" t="s">
        <v>123</v>
      </c>
      <c r="K185" t="s">
        <v>30</v>
      </c>
      <c r="L185" t="s">
        <v>831</v>
      </c>
      <c r="M185" t="s">
        <v>32</v>
      </c>
      <c r="N185" t="s">
        <v>33</v>
      </c>
      <c r="O185" t="s">
        <v>832</v>
      </c>
      <c r="P185">
        <v>29.591999999999999</v>
      </c>
      <c r="Q185">
        <v>1</v>
      </c>
      <c r="R185">
        <v>2.5893000000000002</v>
      </c>
      <c r="S185" s="3" t="s">
        <v>172</v>
      </c>
      <c r="T185">
        <v>2017</v>
      </c>
      <c r="U185" t="s">
        <v>527</v>
      </c>
      <c r="V185" s="2">
        <v>8.7499999999999994E-2</v>
      </c>
    </row>
    <row r="186" spans="1:22" x14ac:dyDescent="0.25">
      <c r="A186" t="s">
        <v>894</v>
      </c>
      <c r="B186" s="1">
        <v>41655</v>
      </c>
      <c r="C186" s="1">
        <v>41657</v>
      </c>
      <c r="D186" t="s">
        <v>40</v>
      </c>
      <c r="E186" t="s">
        <v>895</v>
      </c>
      <c r="F186" t="s">
        <v>896</v>
      </c>
      <c r="G186" t="s">
        <v>26</v>
      </c>
      <c r="H186" t="s">
        <v>27</v>
      </c>
      <c r="I186" t="s">
        <v>206</v>
      </c>
      <c r="J186" t="s">
        <v>207</v>
      </c>
      <c r="K186" t="s">
        <v>95</v>
      </c>
      <c r="L186" t="s">
        <v>375</v>
      </c>
      <c r="M186" t="s">
        <v>32</v>
      </c>
      <c r="N186" t="s">
        <v>33</v>
      </c>
      <c r="O186" t="s">
        <v>376</v>
      </c>
      <c r="P186">
        <v>124.2</v>
      </c>
      <c r="Q186">
        <v>3</v>
      </c>
      <c r="R186">
        <v>-31.05</v>
      </c>
      <c r="S186" s="3" t="s">
        <v>65</v>
      </c>
      <c r="T186">
        <v>2014</v>
      </c>
      <c r="U186" t="s">
        <v>54</v>
      </c>
      <c r="V186" s="2">
        <v>-0.25</v>
      </c>
    </row>
    <row r="187" spans="1:22" x14ac:dyDescent="0.25">
      <c r="A187" t="s">
        <v>897</v>
      </c>
      <c r="B187" s="1">
        <v>43013</v>
      </c>
      <c r="C187" s="1">
        <v>43016</v>
      </c>
      <c r="D187" t="s">
        <v>40</v>
      </c>
      <c r="E187" t="s">
        <v>898</v>
      </c>
      <c r="F187" t="s">
        <v>899</v>
      </c>
      <c r="G187" t="s">
        <v>70</v>
      </c>
      <c r="H187" t="s">
        <v>27</v>
      </c>
      <c r="I187" t="s">
        <v>103</v>
      </c>
      <c r="J187" t="s">
        <v>104</v>
      </c>
      <c r="K187" t="s">
        <v>95</v>
      </c>
      <c r="L187" t="s">
        <v>548</v>
      </c>
      <c r="M187" t="s">
        <v>32</v>
      </c>
      <c r="N187" t="s">
        <v>33</v>
      </c>
      <c r="O187" t="s">
        <v>549</v>
      </c>
      <c r="P187">
        <v>160.93</v>
      </c>
      <c r="Q187">
        <v>7</v>
      </c>
      <c r="R187">
        <v>3.2185999999999999</v>
      </c>
      <c r="S187" s="3" t="s">
        <v>172</v>
      </c>
      <c r="T187">
        <v>2017</v>
      </c>
      <c r="U187" t="s">
        <v>133</v>
      </c>
      <c r="V187" s="2">
        <v>0.02</v>
      </c>
    </row>
    <row r="188" spans="1:22" x14ac:dyDescent="0.25">
      <c r="A188" t="s">
        <v>900</v>
      </c>
      <c r="B188" s="1">
        <v>42742</v>
      </c>
      <c r="C188" s="1">
        <v>42745</v>
      </c>
      <c r="D188" t="s">
        <v>56</v>
      </c>
      <c r="E188" t="s">
        <v>901</v>
      </c>
      <c r="F188" t="s">
        <v>902</v>
      </c>
      <c r="G188" t="s">
        <v>59</v>
      </c>
      <c r="H188" t="s">
        <v>27</v>
      </c>
      <c r="I188" t="s">
        <v>851</v>
      </c>
      <c r="J188" t="s">
        <v>256</v>
      </c>
      <c r="K188" t="s">
        <v>62</v>
      </c>
      <c r="L188" t="s">
        <v>214</v>
      </c>
      <c r="M188" t="s">
        <v>32</v>
      </c>
      <c r="N188" t="s">
        <v>215</v>
      </c>
      <c r="O188" t="s">
        <v>216</v>
      </c>
      <c r="P188">
        <v>3059.982</v>
      </c>
      <c r="Q188">
        <v>2</v>
      </c>
      <c r="R188">
        <v>679.99599999999998</v>
      </c>
      <c r="S188" s="3" t="s">
        <v>172</v>
      </c>
      <c r="T188">
        <v>2017</v>
      </c>
      <c r="U188" t="s">
        <v>54</v>
      </c>
      <c r="V188" s="2">
        <v>0.22222222222222199</v>
      </c>
    </row>
    <row r="189" spans="1:22" x14ac:dyDescent="0.25">
      <c r="A189" t="s">
        <v>903</v>
      </c>
      <c r="B189" s="1">
        <v>41954</v>
      </c>
      <c r="C189" s="1">
        <v>41957</v>
      </c>
      <c r="D189" t="s">
        <v>40</v>
      </c>
      <c r="E189" t="s">
        <v>904</v>
      </c>
      <c r="F189" t="s">
        <v>905</v>
      </c>
      <c r="G189" t="s">
        <v>26</v>
      </c>
      <c r="H189" t="s">
        <v>27</v>
      </c>
      <c r="I189" t="s">
        <v>444</v>
      </c>
      <c r="J189" t="s">
        <v>147</v>
      </c>
      <c r="K189" t="s">
        <v>30</v>
      </c>
      <c r="L189" t="s">
        <v>906</v>
      </c>
      <c r="M189" t="s">
        <v>32</v>
      </c>
      <c r="N189" t="s">
        <v>33</v>
      </c>
      <c r="O189" t="s">
        <v>907</v>
      </c>
      <c r="P189">
        <v>559.98400000000004</v>
      </c>
      <c r="Q189">
        <v>2</v>
      </c>
      <c r="R189">
        <v>55.998399999999997</v>
      </c>
      <c r="S189" s="3" t="s">
        <v>172</v>
      </c>
      <c r="T189">
        <v>2014</v>
      </c>
      <c r="U189" t="s">
        <v>118</v>
      </c>
      <c r="V189" s="2">
        <v>0.1</v>
      </c>
    </row>
    <row r="190" spans="1:22" x14ac:dyDescent="0.25">
      <c r="A190" t="s">
        <v>908</v>
      </c>
      <c r="B190" s="1">
        <v>43007</v>
      </c>
      <c r="C190" s="1">
        <v>43013</v>
      </c>
      <c r="D190" t="s">
        <v>23</v>
      </c>
      <c r="E190" t="s">
        <v>909</v>
      </c>
      <c r="F190" t="s">
        <v>910</v>
      </c>
      <c r="G190" t="s">
        <v>70</v>
      </c>
      <c r="H190" t="s">
        <v>27</v>
      </c>
      <c r="I190" t="s">
        <v>911</v>
      </c>
      <c r="J190" t="s">
        <v>61</v>
      </c>
      <c r="K190" t="s">
        <v>62</v>
      </c>
      <c r="L190" t="s">
        <v>912</v>
      </c>
      <c r="M190" t="s">
        <v>32</v>
      </c>
      <c r="N190" t="s">
        <v>215</v>
      </c>
      <c r="O190" t="s">
        <v>913</v>
      </c>
      <c r="P190">
        <v>336.51</v>
      </c>
      <c r="Q190">
        <v>3</v>
      </c>
      <c r="R190">
        <v>44.868000000000002</v>
      </c>
      <c r="S190" s="3" t="s">
        <v>107</v>
      </c>
      <c r="T190">
        <v>2017</v>
      </c>
      <c r="U190" t="s">
        <v>81</v>
      </c>
      <c r="V190" s="2">
        <v>0.133333333333333</v>
      </c>
    </row>
    <row r="191" spans="1:22" x14ac:dyDescent="0.25">
      <c r="A191" t="s">
        <v>914</v>
      </c>
      <c r="B191" s="1">
        <v>41780</v>
      </c>
      <c r="C191" s="1">
        <v>41784</v>
      </c>
      <c r="D191" t="s">
        <v>23</v>
      </c>
      <c r="E191" t="s">
        <v>915</v>
      </c>
      <c r="F191" t="s">
        <v>916</v>
      </c>
      <c r="G191" t="s">
        <v>59</v>
      </c>
      <c r="H191" t="s">
        <v>27</v>
      </c>
      <c r="I191" t="s">
        <v>917</v>
      </c>
      <c r="J191" t="s">
        <v>693</v>
      </c>
      <c r="K191" t="s">
        <v>155</v>
      </c>
      <c r="L191" t="s">
        <v>765</v>
      </c>
      <c r="M191" t="s">
        <v>32</v>
      </c>
      <c r="N191" t="s">
        <v>33</v>
      </c>
      <c r="O191" t="s">
        <v>918</v>
      </c>
      <c r="P191">
        <v>617.97</v>
      </c>
      <c r="Q191">
        <v>3</v>
      </c>
      <c r="R191">
        <v>173.0316</v>
      </c>
      <c r="S191" s="3" t="s">
        <v>53</v>
      </c>
      <c r="T191">
        <v>2014</v>
      </c>
      <c r="U191" t="s">
        <v>527</v>
      </c>
      <c r="V191" s="2">
        <v>0.28000000000000003</v>
      </c>
    </row>
    <row r="192" spans="1:22" x14ac:dyDescent="0.25">
      <c r="A192" t="s">
        <v>919</v>
      </c>
      <c r="B192" s="1">
        <v>42216</v>
      </c>
      <c r="C192" s="1">
        <v>42216</v>
      </c>
      <c r="D192" t="s">
        <v>677</v>
      </c>
      <c r="E192" t="s">
        <v>920</v>
      </c>
      <c r="F192" t="s">
        <v>921</v>
      </c>
      <c r="G192" t="s">
        <v>26</v>
      </c>
      <c r="H192" t="s">
        <v>27</v>
      </c>
      <c r="I192" t="s">
        <v>103</v>
      </c>
      <c r="J192" t="s">
        <v>104</v>
      </c>
      <c r="K192" t="s">
        <v>95</v>
      </c>
      <c r="L192" t="s">
        <v>922</v>
      </c>
      <c r="M192" t="s">
        <v>32</v>
      </c>
      <c r="N192" t="s">
        <v>51</v>
      </c>
      <c r="O192" t="s">
        <v>923</v>
      </c>
      <c r="P192">
        <v>2309.65</v>
      </c>
      <c r="Q192">
        <v>7</v>
      </c>
      <c r="R192">
        <v>762.18449999999996</v>
      </c>
      <c r="S192" s="3" t="s">
        <v>683</v>
      </c>
      <c r="T192">
        <v>2015</v>
      </c>
      <c r="U192" t="s">
        <v>332</v>
      </c>
      <c r="V192" s="2">
        <v>0.33</v>
      </c>
    </row>
    <row r="193" spans="1:22" x14ac:dyDescent="0.25">
      <c r="A193" t="s">
        <v>924</v>
      </c>
      <c r="B193" s="1">
        <v>42948</v>
      </c>
      <c r="C193" s="1">
        <v>42950</v>
      </c>
      <c r="D193" t="s">
        <v>56</v>
      </c>
      <c r="E193" t="s">
        <v>925</v>
      </c>
      <c r="F193" t="s">
        <v>926</v>
      </c>
      <c r="G193" t="s">
        <v>26</v>
      </c>
      <c r="H193" t="s">
        <v>27</v>
      </c>
      <c r="I193" t="s">
        <v>140</v>
      </c>
      <c r="J193" t="s">
        <v>78</v>
      </c>
      <c r="K193" t="s">
        <v>62</v>
      </c>
      <c r="L193" t="s">
        <v>217</v>
      </c>
      <c r="M193" t="s">
        <v>32</v>
      </c>
      <c r="N193" t="s">
        <v>33</v>
      </c>
      <c r="O193" t="s">
        <v>218</v>
      </c>
      <c r="P193">
        <v>95.983999999999995</v>
      </c>
      <c r="Q193">
        <v>2</v>
      </c>
      <c r="R193">
        <v>5.9989999999999997</v>
      </c>
      <c r="S193" s="3" t="s">
        <v>65</v>
      </c>
      <c r="T193">
        <v>2017</v>
      </c>
      <c r="U193" t="s">
        <v>46</v>
      </c>
      <c r="V193" s="2">
        <v>6.25E-2</v>
      </c>
    </row>
    <row r="194" spans="1:22" x14ac:dyDescent="0.25">
      <c r="A194" t="s">
        <v>927</v>
      </c>
      <c r="B194" s="1">
        <v>42359</v>
      </c>
      <c r="C194" s="1">
        <v>42362</v>
      </c>
      <c r="D194" t="s">
        <v>40</v>
      </c>
      <c r="E194" t="s">
        <v>928</v>
      </c>
      <c r="F194" t="s">
        <v>929</v>
      </c>
      <c r="G194" t="s">
        <v>26</v>
      </c>
      <c r="H194" t="s">
        <v>27</v>
      </c>
      <c r="I194" t="s">
        <v>481</v>
      </c>
      <c r="J194" t="s">
        <v>426</v>
      </c>
      <c r="K194" t="s">
        <v>30</v>
      </c>
      <c r="L194" t="s">
        <v>930</v>
      </c>
      <c r="M194" t="s">
        <v>32</v>
      </c>
      <c r="N194" t="s">
        <v>51</v>
      </c>
      <c r="O194" t="s">
        <v>931</v>
      </c>
      <c r="P194">
        <v>99.6</v>
      </c>
      <c r="Q194">
        <v>1</v>
      </c>
      <c r="R194">
        <v>36.851999999999997</v>
      </c>
      <c r="S194" s="3" t="s">
        <v>172</v>
      </c>
      <c r="T194">
        <v>2015</v>
      </c>
      <c r="U194" t="s">
        <v>66</v>
      </c>
      <c r="V194" s="2">
        <v>0.37</v>
      </c>
    </row>
    <row r="195" spans="1:22" x14ac:dyDescent="0.25">
      <c r="A195" t="s">
        <v>932</v>
      </c>
      <c r="B195" s="1">
        <v>42191</v>
      </c>
      <c r="C195" s="1">
        <v>42195</v>
      </c>
      <c r="D195" t="s">
        <v>23</v>
      </c>
      <c r="E195" t="s">
        <v>933</v>
      </c>
      <c r="F195" t="s">
        <v>934</v>
      </c>
      <c r="G195" t="s">
        <v>59</v>
      </c>
      <c r="H195" t="s">
        <v>27</v>
      </c>
      <c r="I195" t="s">
        <v>103</v>
      </c>
      <c r="J195" t="s">
        <v>104</v>
      </c>
      <c r="K195" t="s">
        <v>95</v>
      </c>
      <c r="L195" t="s">
        <v>935</v>
      </c>
      <c r="M195" t="s">
        <v>32</v>
      </c>
      <c r="N195" t="s">
        <v>33</v>
      </c>
      <c r="O195" t="s">
        <v>936</v>
      </c>
      <c r="P195">
        <v>124.95</v>
      </c>
      <c r="Q195">
        <v>5</v>
      </c>
      <c r="R195">
        <v>2.4990000000000001</v>
      </c>
      <c r="S195" s="3" t="s">
        <v>53</v>
      </c>
      <c r="T195">
        <v>2015</v>
      </c>
      <c r="U195" t="s">
        <v>332</v>
      </c>
      <c r="V195" s="2">
        <v>0.02</v>
      </c>
    </row>
    <row r="196" spans="1:22" x14ac:dyDescent="0.25">
      <c r="A196" t="s">
        <v>937</v>
      </c>
      <c r="B196" s="1">
        <v>42121</v>
      </c>
      <c r="C196" s="1">
        <v>42127</v>
      </c>
      <c r="D196" t="s">
        <v>23</v>
      </c>
      <c r="E196" t="s">
        <v>938</v>
      </c>
      <c r="F196" t="s">
        <v>939</v>
      </c>
      <c r="G196" t="s">
        <v>26</v>
      </c>
      <c r="H196" t="s">
        <v>27</v>
      </c>
      <c r="I196" t="s">
        <v>426</v>
      </c>
      <c r="J196" t="s">
        <v>940</v>
      </c>
      <c r="K196" t="s">
        <v>95</v>
      </c>
      <c r="L196" t="s">
        <v>941</v>
      </c>
      <c r="M196" t="s">
        <v>32</v>
      </c>
      <c r="N196" t="s">
        <v>215</v>
      </c>
      <c r="O196" t="s">
        <v>942</v>
      </c>
      <c r="P196">
        <v>1379.92</v>
      </c>
      <c r="Q196">
        <v>8</v>
      </c>
      <c r="R196">
        <v>648.56240000000003</v>
      </c>
      <c r="S196" s="3" t="s">
        <v>107</v>
      </c>
      <c r="T196">
        <v>2015</v>
      </c>
      <c r="U196" t="s">
        <v>291</v>
      </c>
      <c r="V196" s="2">
        <v>0.47</v>
      </c>
    </row>
    <row r="197" spans="1:22" x14ac:dyDescent="0.25">
      <c r="A197" t="s">
        <v>943</v>
      </c>
      <c r="B197" s="1">
        <v>42380</v>
      </c>
      <c r="C197" s="1">
        <v>42382</v>
      </c>
      <c r="D197" t="s">
        <v>40</v>
      </c>
      <c r="E197" t="s">
        <v>944</v>
      </c>
      <c r="F197" t="s">
        <v>945</v>
      </c>
      <c r="G197" t="s">
        <v>70</v>
      </c>
      <c r="H197" t="s">
        <v>27</v>
      </c>
      <c r="I197" t="s">
        <v>946</v>
      </c>
      <c r="J197" t="s">
        <v>177</v>
      </c>
      <c r="K197" t="s">
        <v>95</v>
      </c>
      <c r="L197" t="s">
        <v>947</v>
      </c>
      <c r="M197" t="s">
        <v>32</v>
      </c>
      <c r="N197" t="s">
        <v>33</v>
      </c>
      <c r="O197" t="s">
        <v>948</v>
      </c>
      <c r="P197">
        <v>15.587999999999999</v>
      </c>
      <c r="Q197">
        <v>2</v>
      </c>
      <c r="R197">
        <v>-9.8724000000000007</v>
      </c>
      <c r="S197" s="3" t="s">
        <v>65</v>
      </c>
      <c r="T197">
        <v>2016</v>
      </c>
      <c r="U197" t="s">
        <v>54</v>
      </c>
      <c r="V197" s="2">
        <v>-0.63333333333333397</v>
      </c>
    </row>
    <row r="198" spans="1:22" x14ac:dyDescent="0.25">
      <c r="A198" t="s">
        <v>949</v>
      </c>
      <c r="B198" s="1">
        <v>41831</v>
      </c>
      <c r="C198" s="1">
        <v>41835</v>
      </c>
      <c r="D198" t="s">
        <v>23</v>
      </c>
      <c r="E198" t="s">
        <v>403</v>
      </c>
      <c r="F198" t="s">
        <v>404</v>
      </c>
      <c r="G198" t="s">
        <v>59</v>
      </c>
      <c r="H198" t="s">
        <v>27</v>
      </c>
      <c r="I198" t="s">
        <v>950</v>
      </c>
      <c r="J198" t="s">
        <v>794</v>
      </c>
      <c r="K198" t="s">
        <v>95</v>
      </c>
      <c r="L198" t="s">
        <v>951</v>
      </c>
      <c r="M198" t="s">
        <v>32</v>
      </c>
      <c r="N198" t="s">
        <v>33</v>
      </c>
      <c r="O198" t="s">
        <v>952</v>
      </c>
      <c r="P198">
        <v>197.97</v>
      </c>
      <c r="Q198">
        <v>3</v>
      </c>
      <c r="R198">
        <v>57.411299999999997</v>
      </c>
      <c r="S198" s="3" t="s">
        <v>53</v>
      </c>
      <c r="T198">
        <v>2014</v>
      </c>
      <c r="U198" t="s">
        <v>332</v>
      </c>
      <c r="V198" s="2">
        <v>0.28999999999999998</v>
      </c>
    </row>
    <row r="199" spans="1:22" x14ac:dyDescent="0.25">
      <c r="A199" t="s">
        <v>953</v>
      </c>
      <c r="B199" s="1">
        <v>42619</v>
      </c>
      <c r="C199" s="1">
        <v>42622</v>
      </c>
      <c r="D199" t="s">
        <v>40</v>
      </c>
      <c r="E199" t="s">
        <v>954</v>
      </c>
      <c r="F199" t="s">
        <v>955</v>
      </c>
      <c r="G199" t="s">
        <v>26</v>
      </c>
      <c r="H199" t="s">
        <v>27</v>
      </c>
      <c r="I199" t="s">
        <v>103</v>
      </c>
      <c r="J199" t="s">
        <v>104</v>
      </c>
      <c r="K199" t="s">
        <v>95</v>
      </c>
      <c r="L199" t="s">
        <v>956</v>
      </c>
      <c r="M199" t="s">
        <v>32</v>
      </c>
      <c r="N199" t="s">
        <v>51</v>
      </c>
      <c r="O199" t="s">
        <v>957</v>
      </c>
      <c r="P199">
        <v>31.86</v>
      </c>
      <c r="Q199">
        <v>2</v>
      </c>
      <c r="R199">
        <v>11.151</v>
      </c>
      <c r="S199" s="3" t="s">
        <v>172</v>
      </c>
      <c r="T199">
        <v>2016</v>
      </c>
      <c r="U199" t="s">
        <v>81</v>
      </c>
      <c r="V199" s="2">
        <v>0.35</v>
      </c>
    </row>
    <row r="200" spans="1:22" x14ac:dyDescent="0.25">
      <c r="A200" t="s">
        <v>958</v>
      </c>
      <c r="B200" s="1">
        <v>42437</v>
      </c>
      <c r="C200" s="1">
        <v>42442</v>
      </c>
      <c r="D200" t="s">
        <v>23</v>
      </c>
      <c r="E200" t="s">
        <v>592</v>
      </c>
      <c r="F200" t="s">
        <v>593</v>
      </c>
      <c r="G200" t="s">
        <v>26</v>
      </c>
      <c r="H200" t="s">
        <v>27</v>
      </c>
      <c r="I200" t="s">
        <v>643</v>
      </c>
      <c r="J200" t="s">
        <v>288</v>
      </c>
      <c r="K200" t="s">
        <v>155</v>
      </c>
      <c r="L200" t="s">
        <v>765</v>
      </c>
      <c r="M200" t="s">
        <v>32</v>
      </c>
      <c r="N200" t="s">
        <v>33</v>
      </c>
      <c r="O200" t="s">
        <v>766</v>
      </c>
      <c r="P200">
        <v>1363.96</v>
      </c>
      <c r="Q200">
        <v>5</v>
      </c>
      <c r="R200">
        <v>85.247500000000002</v>
      </c>
      <c r="S200" s="3" t="s">
        <v>35</v>
      </c>
      <c r="T200">
        <v>2016</v>
      </c>
      <c r="U200" t="s">
        <v>89</v>
      </c>
      <c r="V200" s="2">
        <v>6.25E-2</v>
      </c>
    </row>
    <row r="201" spans="1:22" x14ac:dyDescent="0.25">
      <c r="A201" t="s">
        <v>959</v>
      </c>
      <c r="B201" s="1">
        <v>41786</v>
      </c>
      <c r="C201" s="1">
        <v>41791</v>
      </c>
      <c r="D201" t="s">
        <v>40</v>
      </c>
      <c r="E201" t="s">
        <v>960</v>
      </c>
      <c r="F201" t="s">
        <v>961</v>
      </c>
      <c r="G201" t="s">
        <v>26</v>
      </c>
      <c r="H201" t="s">
        <v>27</v>
      </c>
      <c r="I201" t="s">
        <v>43</v>
      </c>
      <c r="J201" t="s">
        <v>29</v>
      </c>
      <c r="K201" t="s">
        <v>30</v>
      </c>
      <c r="L201" t="s">
        <v>72</v>
      </c>
      <c r="M201" t="s">
        <v>32</v>
      </c>
      <c r="N201" t="s">
        <v>33</v>
      </c>
      <c r="O201" t="s">
        <v>73</v>
      </c>
      <c r="P201">
        <v>1113.5039999999999</v>
      </c>
      <c r="Q201">
        <v>12</v>
      </c>
      <c r="R201">
        <v>125.2692</v>
      </c>
      <c r="S201" s="3" t="s">
        <v>35</v>
      </c>
      <c r="T201">
        <v>2014</v>
      </c>
      <c r="U201" t="s">
        <v>527</v>
      </c>
      <c r="V201" s="2">
        <v>0.1125</v>
      </c>
    </row>
    <row r="202" spans="1:22" x14ac:dyDescent="0.25">
      <c r="A202" t="s">
        <v>959</v>
      </c>
      <c r="B202" s="1">
        <v>41786</v>
      </c>
      <c r="C202" s="1">
        <v>41791</v>
      </c>
      <c r="D202" t="s">
        <v>40</v>
      </c>
      <c r="E202" t="s">
        <v>960</v>
      </c>
      <c r="F202" t="s">
        <v>961</v>
      </c>
      <c r="G202" t="s">
        <v>26</v>
      </c>
      <c r="H202" t="s">
        <v>27</v>
      </c>
      <c r="I202" t="s">
        <v>43</v>
      </c>
      <c r="J202" t="s">
        <v>29</v>
      </c>
      <c r="K202" t="s">
        <v>30</v>
      </c>
      <c r="L202" t="s">
        <v>710</v>
      </c>
      <c r="M202" t="s">
        <v>32</v>
      </c>
      <c r="N202" t="s">
        <v>51</v>
      </c>
      <c r="O202" t="s">
        <v>711</v>
      </c>
      <c r="P202">
        <v>99.99</v>
      </c>
      <c r="Q202">
        <v>1</v>
      </c>
      <c r="R202">
        <v>37.996200000000002</v>
      </c>
      <c r="S202" s="3" t="s">
        <v>35</v>
      </c>
      <c r="T202">
        <v>2014</v>
      </c>
      <c r="U202" t="s">
        <v>527</v>
      </c>
      <c r="V202" s="2">
        <v>0.38</v>
      </c>
    </row>
    <row r="203" spans="1:22" x14ac:dyDescent="0.25">
      <c r="A203" t="s">
        <v>962</v>
      </c>
      <c r="B203" s="1">
        <v>42110</v>
      </c>
      <c r="C203" s="1">
        <v>42115</v>
      </c>
      <c r="D203" t="s">
        <v>23</v>
      </c>
      <c r="E203" t="s">
        <v>963</v>
      </c>
      <c r="F203" t="s">
        <v>964</v>
      </c>
      <c r="G203" t="s">
        <v>59</v>
      </c>
      <c r="H203" t="s">
        <v>27</v>
      </c>
      <c r="I203" t="s">
        <v>965</v>
      </c>
      <c r="J203" t="s">
        <v>177</v>
      </c>
      <c r="K203" t="s">
        <v>95</v>
      </c>
      <c r="L203" t="s">
        <v>966</v>
      </c>
      <c r="M203" t="s">
        <v>32</v>
      </c>
      <c r="N203" t="s">
        <v>33</v>
      </c>
      <c r="O203" t="s">
        <v>967</v>
      </c>
      <c r="P203">
        <v>118.782</v>
      </c>
      <c r="Q203">
        <v>3</v>
      </c>
      <c r="R203">
        <v>-27.715800000000002</v>
      </c>
      <c r="S203" s="3" t="s">
        <v>35</v>
      </c>
      <c r="T203">
        <v>2015</v>
      </c>
      <c r="U203" t="s">
        <v>291</v>
      </c>
      <c r="V203" s="2">
        <v>-0.233333333333333</v>
      </c>
    </row>
    <row r="204" spans="1:22" x14ac:dyDescent="0.25">
      <c r="A204" t="s">
        <v>968</v>
      </c>
      <c r="B204" s="1">
        <v>42686</v>
      </c>
      <c r="C204" s="1">
        <v>42693</v>
      </c>
      <c r="D204" t="s">
        <v>23</v>
      </c>
      <c r="E204" t="s">
        <v>969</v>
      </c>
      <c r="F204" t="s">
        <v>970</v>
      </c>
      <c r="G204" t="s">
        <v>26</v>
      </c>
      <c r="H204" t="s">
        <v>27</v>
      </c>
      <c r="I204" t="s">
        <v>971</v>
      </c>
      <c r="J204" t="s">
        <v>123</v>
      </c>
      <c r="K204" t="s">
        <v>30</v>
      </c>
      <c r="L204" t="s">
        <v>972</v>
      </c>
      <c r="M204" t="s">
        <v>32</v>
      </c>
      <c r="N204" t="s">
        <v>51</v>
      </c>
      <c r="O204" t="s">
        <v>973</v>
      </c>
      <c r="P204">
        <v>31.984000000000002</v>
      </c>
      <c r="Q204">
        <v>2</v>
      </c>
      <c r="R204">
        <v>1.9990000000000001</v>
      </c>
      <c r="S204" s="3" t="s">
        <v>132</v>
      </c>
      <c r="T204">
        <v>2016</v>
      </c>
      <c r="U204" t="s">
        <v>118</v>
      </c>
      <c r="V204" s="2">
        <v>6.25E-2</v>
      </c>
    </row>
    <row r="205" spans="1:22" x14ac:dyDescent="0.25">
      <c r="A205" t="s">
        <v>974</v>
      </c>
      <c r="B205" s="1">
        <v>42430</v>
      </c>
      <c r="C205" s="1">
        <v>42434</v>
      </c>
      <c r="D205" t="s">
        <v>23</v>
      </c>
      <c r="E205" t="s">
        <v>975</v>
      </c>
      <c r="F205" t="s">
        <v>976</v>
      </c>
      <c r="G205" t="s">
        <v>26</v>
      </c>
      <c r="H205" t="s">
        <v>27</v>
      </c>
      <c r="I205" t="s">
        <v>977</v>
      </c>
      <c r="J205" t="s">
        <v>104</v>
      </c>
      <c r="K205" t="s">
        <v>95</v>
      </c>
      <c r="L205" t="s">
        <v>978</v>
      </c>
      <c r="M205" t="s">
        <v>32</v>
      </c>
      <c r="N205" t="s">
        <v>215</v>
      </c>
      <c r="O205" t="s">
        <v>979</v>
      </c>
      <c r="P205">
        <v>4899.93</v>
      </c>
      <c r="Q205">
        <v>7</v>
      </c>
      <c r="R205">
        <v>2400.9657000000002</v>
      </c>
      <c r="S205" s="3" t="s">
        <v>53</v>
      </c>
      <c r="T205">
        <v>2016</v>
      </c>
      <c r="U205" t="s">
        <v>89</v>
      </c>
      <c r="V205" s="2">
        <v>0.49</v>
      </c>
    </row>
    <row r="206" spans="1:22" x14ac:dyDescent="0.25">
      <c r="A206" t="s">
        <v>980</v>
      </c>
      <c r="B206" s="1">
        <v>42597</v>
      </c>
      <c r="C206" s="1">
        <v>42602</v>
      </c>
      <c r="D206" t="s">
        <v>40</v>
      </c>
      <c r="E206" t="s">
        <v>981</v>
      </c>
      <c r="F206" t="s">
        <v>982</v>
      </c>
      <c r="G206" t="s">
        <v>59</v>
      </c>
      <c r="H206" t="s">
        <v>27</v>
      </c>
      <c r="I206" t="s">
        <v>983</v>
      </c>
      <c r="J206" t="s">
        <v>29</v>
      </c>
      <c r="K206" t="s">
        <v>30</v>
      </c>
      <c r="L206" t="s">
        <v>232</v>
      </c>
      <c r="M206" t="s">
        <v>32</v>
      </c>
      <c r="N206" t="s">
        <v>33</v>
      </c>
      <c r="O206" t="s">
        <v>233</v>
      </c>
      <c r="P206">
        <v>71.975999999999999</v>
      </c>
      <c r="Q206">
        <v>3</v>
      </c>
      <c r="R206">
        <v>7.1976000000000004</v>
      </c>
      <c r="S206" s="3" t="s">
        <v>35</v>
      </c>
      <c r="T206">
        <v>2016</v>
      </c>
      <c r="U206" t="s">
        <v>46</v>
      </c>
      <c r="V206" s="2">
        <v>0.1</v>
      </c>
    </row>
    <row r="207" spans="1:22" x14ac:dyDescent="0.25">
      <c r="A207" t="s">
        <v>984</v>
      </c>
      <c r="B207" s="1">
        <v>42890</v>
      </c>
      <c r="C207" s="1">
        <v>42896</v>
      </c>
      <c r="D207" t="s">
        <v>23</v>
      </c>
      <c r="E207" t="s">
        <v>985</v>
      </c>
      <c r="F207" t="s">
        <v>986</v>
      </c>
      <c r="G207" t="s">
        <v>59</v>
      </c>
      <c r="H207" t="s">
        <v>27</v>
      </c>
      <c r="I207" t="s">
        <v>228</v>
      </c>
      <c r="J207" t="s">
        <v>154</v>
      </c>
      <c r="K207" t="s">
        <v>155</v>
      </c>
      <c r="L207" t="s">
        <v>987</v>
      </c>
      <c r="M207" t="s">
        <v>32</v>
      </c>
      <c r="N207" t="s">
        <v>33</v>
      </c>
      <c r="O207" t="s">
        <v>988</v>
      </c>
      <c r="P207">
        <v>71.983999999999995</v>
      </c>
      <c r="Q207">
        <v>2</v>
      </c>
      <c r="R207">
        <v>25.194400000000002</v>
      </c>
      <c r="S207" s="3" t="s">
        <v>107</v>
      </c>
      <c r="T207">
        <v>2017</v>
      </c>
      <c r="U207" t="s">
        <v>36</v>
      </c>
      <c r="V207" s="2">
        <v>0.35</v>
      </c>
    </row>
    <row r="208" spans="1:22" x14ac:dyDescent="0.25">
      <c r="A208" t="s">
        <v>989</v>
      </c>
      <c r="B208" s="1">
        <v>42344</v>
      </c>
      <c r="C208" s="1">
        <v>42351</v>
      </c>
      <c r="D208" t="s">
        <v>23</v>
      </c>
      <c r="E208" t="s">
        <v>690</v>
      </c>
      <c r="F208" t="s">
        <v>691</v>
      </c>
      <c r="G208" t="s">
        <v>26</v>
      </c>
      <c r="H208" t="s">
        <v>27</v>
      </c>
      <c r="I208" t="s">
        <v>300</v>
      </c>
      <c r="J208" t="s">
        <v>29</v>
      </c>
      <c r="K208" t="s">
        <v>30</v>
      </c>
      <c r="L208" t="s">
        <v>990</v>
      </c>
      <c r="M208" t="s">
        <v>32</v>
      </c>
      <c r="N208" t="s">
        <v>33</v>
      </c>
      <c r="O208" t="s">
        <v>991</v>
      </c>
      <c r="P208">
        <v>219.184</v>
      </c>
      <c r="Q208">
        <v>2</v>
      </c>
      <c r="R208">
        <v>19.178599999999999</v>
      </c>
      <c r="S208" s="3" t="s">
        <v>132</v>
      </c>
      <c r="T208">
        <v>2015</v>
      </c>
      <c r="U208" t="s">
        <v>66</v>
      </c>
      <c r="V208" s="2">
        <v>8.7499999999999994E-2</v>
      </c>
    </row>
    <row r="209" spans="1:22" x14ac:dyDescent="0.25">
      <c r="A209" t="s">
        <v>992</v>
      </c>
      <c r="B209" s="1">
        <v>42535</v>
      </c>
      <c r="C209" s="1">
        <v>42538</v>
      </c>
      <c r="D209" t="s">
        <v>56</v>
      </c>
      <c r="E209" t="s">
        <v>993</v>
      </c>
      <c r="F209" t="s">
        <v>994</v>
      </c>
      <c r="G209" t="s">
        <v>70</v>
      </c>
      <c r="H209" t="s">
        <v>27</v>
      </c>
      <c r="I209" t="s">
        <v>43</v>
      </c>
      <c r="J209" t="s">
        <v>29</v>
      </c>
      <c r="K209" t="s">
        <v>30</v>
      </c>
      <c r="L209" t="s">
        <v>995</v>
      </c>
      <c r="M209" t="s">
        <v>32</v>
      </c>
      <c r="N209" t="s">
        <v>51</v>
      </c>
      <c r="O209" t="s">
        <v>996</v>
      </c>
      <c r="P209">
        <v>29.29</v>
      </c>
      <c r="Q209">
        <v>1</v>
      </c>
      <c r="R209">
        <v>9.6656999999999993</v>
      </c>
      <c r="S209" s="3" t="s">
        <v>172</v>
      </c>
      <c r="T209">
        <v>2016</v>
      </c>
      <c r="U209" t="s">
        <v>36</v>
      </c>
      <c r="V209" s="2">
        <v>0.33</v>
      </c>
    </row>
    <row r="210" spans="1:22" x14ac:dyDescent="0.25">
      <c r="A210" t="s">
        <v>997</v>
      </c>
      <c r="B210" s="1">
        <v>42693</v>
      </c>
      <c r="C210" s="1">
        <v>42698</v>
      </c>
      <c r="D210" t="s">
        <v>23</v>
      </c>
      <c r="E210" t="s">
        <v>48</v>
      </c>
      <c r="F210" t="s">
        <v>49</v>
      </c>
      <c r="G210" t="s">
        <v>26</v>
      </c>
      <c r="H210" t="s">
        <v>27</v>
      </c>
      <c r="I210" t="s">
        <v>71</v>
      </c>
      <c r="J210" t="s">
        <v>61</v>
      </c>
      <c r="K210" t="s">
        <v>62</v>
      </c>
      <c r="L210" t="s">
        <v>998</v>
      </c>
      <c r="M210" t="s">
        <v>32</v>
      </c>
      <c r="N210" t="s">
        <v>33</v>
      </c>
      <c r="O210" t="s">
        <v>999</v>
      </c>
      <c r="P210">
        <v>71.959999999999994</v>
      </c>
      <c r="Q210">
        <v>5</v>
      </c>
      <c r="R210">
        <v>25.186</v>
      </c>
      <c r="S210" s="3" t="s">
        <v>35</v>
      </c>
      <c r="T210">
        <v>2016</v>
      </c>
      <c r="U210" t="s">
        <v>118</v>
      </c>
      <c r="V210" s="2">
        <v>0.35</v>
      </c>
    </row>
    <row r="211" spans="1:22" x14ac:dyDescent="0.25">
      <c r="A211" t="s">
        <v>1000</v>
      </c>
      <c r="B211" s="1">
        <v>43087</v>
      </c>
      <c r="C211" s="1">
        <v>43092</v>
      </c>
      <c r="D211" t="s">
        <v>40</v>
      </c>
      <c r="E211" t="s">
        <v>771</v>
      </c>
      <c r="F211" t="s">
        <v>772</v>
      </c>
      <c r="G211" t="s">
        <v>26</v>
      </c>
      <c r="H211" t="s">
        <v>27</v>
      </c>
      <c r="I211" t="s">
        <v>1001</v>
      </c>
      <c r="J211" t="s">
        <v>29</v>
      </c>
      <c r="K211" t="s">
        <v>30</v>
      </c>
      <c r="L211" t="s">
        <v>721</v>
      </c>
      <c r="M211" t="s">
        <v>32</v>
      </c>
      <c r="N211" t="s">
        <v>51</v>
      </c>
      <c r="O211" t="s">
        <v>722</v>
      </c>
      <c r="P211">
        <v>119.98</v>
      </c>
      <c r="Q211">
        <v>2</v>
      </c>
      <c r="R211">
        <v>57.590400000000002</v>
      </c>
      <c r="S211" s="3" t="s">
        <v>35</v>
      </c>
      <c r="T211">
        <v>2017</v>
      </c>
      <c r="U211" t="s">
        <v>66</v>
      </c>
      <c r="V211" s="2">
        <v>0.48</v>
      </c>
    </row>
    <row r="212" spans="1:22" x14ac:dyDescent="0.25">
      <c r="A212" t="s">
        <v>1002</v>
      </c>
      <c r="B212" s="1">
        <v>42251</v>
      </c>
      <c r="C212" s="1">
        <v>42255</v>
      </c>
      <c r="D212" t="s">
        <v>23</v>
      </c>
      <c r="E212" t="s">
        <v>1003</v>
      </c>
      <c r="F212" t="s">
        <v>1004</v>
      </c>
      <c r="G212" t="s">
        <v>26</v>
      </c>
      <c r="H212" t="s">
        <v>27</v>
      </c>
      <c r="I212" t="s">
        <v>1005</v>
      </c>
      <c r="J212" t="s">
        <v>1006</v>
      </c>
      <c r="K212" t="s">
        <v>155</v>
      </c>
      <c r="L212" t="s">
        <v>841</v>
      </c>
      <c r="M212" t="s">
        <v>32</v>
      </c>
      <c r="N212" t="s">
        <v>51</v>
      </c>
      <c r="O212" t="s">
        <v>842</v>
      </c>
      <c r="P212">
        <v>619.95000000000005</v>
      </c>
      <c r="Q212">
        <v>5</v>
      </c>
      <c r="R212">
        <v>111.59099999999999</v>
      </c>
      <c r="S212" s="3" t="s">
        <v>53</v>
      </c>
      <c r="T212">
        <v>2015</v>
      </c>
      <c r="U212" t="s">
        <v>81</v>
      </c>
      <c r="V212" s="2">
        <v>0.18</v>
      </c>
    </row>
    <row r="213" spans="1:22" x14ac:dyDescent="0.25">
      <c r="A213" t="s">
        <v>1007</v>
      </c>
      <c r="B213" s="1">
        <v>41659</v>
      </c>
      <c r="C213" s="1">
        <v>41665</v>
      </c>
      <c r="D213" t="s">
        <v>23</v>
      </c>
      <c r="E213" t="s">
        <v>1008</v>
      </c>
      <c r="F213" t="s">
        <v>1009</v>
      </c>
      <c r="G213" t="s">
        <v>26</v>
      </c>
      <c r="H213" t="s">
        <v>27</v>
      </c>
      <c r="I213" t="s">
        <v>1010</v>
      </c>
      <c r="J213" t="s">
        <v>1011</v>
      </c>
      <c r="K213" t="s">
        <v>155</v>
      </c>
      <c r="L213" t="s">
        <v>1012</v>
      </c>
      <c r="M213" t="s">
        <v>32</v>
      </c>
      <c r="N213" t="s">
        <v>33</v>
      </c>
      <c r="O213" t="s">
        <v>1013</v>
      </c>
      <c r="P213">
        <v>699.93</v>
      </c>
      <c r="Q213">
        <v>7</v>
      </c>
      <c r="R213">
        <v>181.98179999999999</v>
      </c>
      <c r="S213" s="3" t="s">
        <v>107</v>
      </c>
      <c r="T213">
        <v>2014</v>
      </c>
      <c r="U213" t="s">
        <v>54</v>
      </c>
      <c r="V213" s="2">
        <v>0.26</v>
      </c>
    </row>
    <row r="214" spans="1:22" x14ac:dyDescent="0.25">
      <c r="A214" t="s">
        <v>1014</v>
      </c>
      <c r="B214" s="1">
        <v>41911</v>
      </c>
      <c r="C214" s="1">
        <v>41915</v>
      </c>
      <c r="D214" t="s">
        <v>23</v>
      </c>
      <c r="E214" t="s">
        <v>1015</v>
      </c>
      <c r="F214" t="s">
        <v>1016</v>
      </c>
      <c r="G214" t="s">
        <v>26</v>
      </c>
      <c r="H214" t="s">
        <v>27</v>
      </c>
      <c r="I214" t="s">
        <v>28</v>
      </c>
      <c r="J214" t="s">
        <v>29</v>
      </c>
      <c r="K214" t="s">
        <v>30</v>
      </c>
      <c r="L214" t="s">
        <v>1017</v>
      </c>
      <c r="M214" t="s">
        <v>32</v>
      </c>
      <c r="N214" t="s">
        <v>215</v>
      </c>
      <c r="O214" t="s">
        <v>1018</v>
      </c>
      <c r="P214">
        <v>686.32</v>
      </c>
      <c r="Q214">
        <v>2</v>
      </c>
      <c r="R214">
        <v>223.054</v>
      </c>
      <c r="S214" s="3" t="s">
        <v>53</v>
      </c>
      <c r="T214">
        <v>2014</v>
      </c>
      <c r="U214" t="s">
        <v>81</v>
      </c>
      <c r="V214" s="2">
        <v>0.32500000000000001</v>
      </c>
    </row>
    <row r="215" spans="1:22" x14ac:dyDescent="0.25">
      <c r="A215" t="s">
        <v>1019</v>
      </c>
      <c r="B215" s="1">
        <v>42098</v>
      </c>
      <c r="C215" s="1">
        <v>42098</v>
      </c>
      <c r="D215" t="s">
        <v>677</v>
      </c>
      <c r="E215" t="s">
        <v>1020</v>
      </c>
      <c r="F215" t="s">
        <v>1021</v>
      </c>
      <c r="G215" t="s">
        <v>26</v>
      </c>
      <c r="H215" t="s">
        <v>27</v>
      </c>
      <c r="I215" t="s">
        <v>1022</v>
      </c>
      <c r="J215" t="s">
        <v>256</v>
      </c>
      <c r="K215" t="s">
        <v>62</v>
      </c>
      <c r="L215" t="s">
        <v>1023</v>
      </c>
      <c r="M215" t="s">
        <v>32</v>
      </c>
      <c r="N215" t="s">
        <v>33</v>
      </c>
      <c r="O215" t="s">
        <v>1024</v>
      </c>
      <c r="P215">
        <v>10.95</v>
      </c>
      <c r="Q215">
        <v>1</v>
      </c>
      <c r="R215">
        <v>0.438</v>
      </c>
      <c r="S215" s="3" t="s">
        <v>683</v>
      </c>
      <c r="T215">
        <v>2015</v>
      </c>
      <c r="U215" t="s">
        <v>291</v>
      </c>
      <c r="V215" s="2">
        <v>0.04</v>
      </c>
    </row>
    <row r="216" spans="1:22" x14ac:dyDescent="0.25">
      <c r="A216" t="s">
        <v>1019</v>
      </c>
      <c r="B216" s="1">
        <v>42098</v>
      </c>
      <c r="C216" s="1">
        <v>42098</v>
      </c>
      <c r="D216" t="s">
        <v>677</v>
      </c>
      <c r="E216" t="s">
        <v>1020</v>
      </c>
      <c r="F216" t="s">
        <v>1021</v>
      </c>
      <c r="G216" t="s">
        <v>26</v>
      </c>
      <c r="H216" t="s">
        <v>27</v>
      </c>
      <c r="I216" t="s">
        <v>1022</v>
      </c>
      <c r="J216" t="s">
        <v>256</v>
      </c>
      <c r="K216" t="s">
        <v>62</v>
      </c>
      <c r="L216" t="s">
        <v>1025</v>
      </c>
      <c r="M216" t="s">
        <v>32</v>
      </c>
      <c r="N216" t="s">
        <v>381</v>
      </c>
      <c r="O216" t="s">
        <v>1026</v>
      </c>
      <c r="P216">
        <v>599.98</v>
      </c>
      <c r="Q216">
        <v>2</v>
      </c>
      <c r="R216">
        <v>209.99299999999999</v>
      </c>
      <c r="S216" s="3" t="s">
        <v>683</v>
      </c>
      <c r="T216">
        <v>2015</v>
      </c>
      <c r="U216" t="s">
        <v>291</v>
      </c>
      <c r="V216" s="2">
        <v>0.35</v>
      </c>
    </row>
    <row r="217" spans="1:22" x14ac:dyDescent="0.25">
      <c r="A217" t="s">
        <v>1027</v>
      </c>
      <c r="B217" s="1">
        <v>41701</v>
      </c>
      <c r="C217" s="1">
        <v>41706</v>
      </c>
      <c r="D217" t="s">
        <v>23</v>
      </c>
      <c r="E217" t="s">
        <v>1028</v>
      </c>
      <c r="F217" t="s">
        <v>1029</v>
      </c>
      <c r="G217" t="s">
        <v>70</v>
      </c>
      <c r="H217" t="s">
        <v>27</v>
      </c>
      <c r="I217" t="s">
        <v>103</v>
      </c>
      <c r="J217" t="s">
        <v>104</v>
      </c>
      <c r="K217" t="s">
        <v>95</v>
      </c>
      <c r="L217" t="s">
        <v>1030</v>
      </c>
      <c r="M217" t="s">
        <v>32</v>
      </c>
      <c r="N217" t="s">
        <v>33</v>
      </c>
      <c r="O217" t="s">
        <v>1031</v>
      </c>
      <c r="P217">
        <v>9.99</v>
      </c>
      <c r="Q217">
        <v>1</v>
      </c>
      <c r="R217">
        <v>4.5953999999999997</v>
      </c>
      <c r="S217" s="3" t="s">
        <v>35</v>
      </c>
      <c r="T217">
        <v>2014</v>
      </c>
      <c r="U217" t="s">
        <v>89</v>
      </c>
      <c r="V217" s="2">
        <v>0.46</v>
      </c>
    </row>
    <row r="218" spans="1:22" x14ac:dyDescent="0.25">
      <c r="A218" t="s">
        <v>1032</v>
      </c>
      <c r="B218" s="1">
        <v>42310</v>
      </c>
      <c r="C218" s="1">
        <v>42310</v>
      </c>
      <c r="D218" t="s">
        <v>677</v>
      </c>
      <c r="E218" t="s">
        <v>298</v>
      </c>
      <c r="F218" t="s">
        <v>299</v>
      </c>
      <c r="G218" t="s">
        <v>26</v>
      </c>
      <c r="H218" t="s">
        <v>27</v>
      </c>
      <c r="I218" t="s">
        <v>481</v>
      </c>
      <c r="J218" t="s">
        <v>426</v>
      </c>
      <c r="K218" t="s">
        <v>30</v>
      </c>
      <c r="L218" t="s">
        <v>148</v>
      </c>
      <c r="M218" t="s">
        <v>32</v>
      </c>
      <c r="N218" t="s">
        <v>51</v>
      </c>
      <c r="O218" t="s">
        <v>149</v>
      </c>
      <c r="P218">
        <v>447.93</v>
      </c>
      <c r="Q218">
        <v>9</v>
      </c>
      <c r="R218">
        <v>49.272300000000001</v>
      </c>
      <c r="S218" s="3" t="s">
        <v>683</v>
      </c>
      <c r="T218">
        <v>2015</v>
      </c>
      <c r="U218" t="s">
        <v>118</v>
      </c>
      <c r="V218" s="2">
        <v>0.11</v>
      </c>
    </row>
    <row r="219" spans="1:22" x14ac:dyDescent="0.25">
      <c r="A219" t="s">
        <v>1033</v>
      </c>
      <c r="B219" s="1">
        <v>42705</v>
      </c>
      <c r="C219" s="1">
        <v>42709</v>
      </c>
      <c r="D219" t="s">
        <v>23</v>
      </c>
      <c r="E219" t="s">
        <v>442</v>
      </c>
      <c r="F219" t="s">
        <v>443</v>
      </c>
      <c r="G219" t="s">
        <v>26</v>
      </c>
      <c r="H219" t="s">
        <v>27</v>
      </c>
      <c r="I219" t="s">
        <v>1034</v>
      </c>
      <c r="J219" t="s">
        <v>1035</v>
      </c>
      <c r="K219" t="s">
        <v>95</v>
      </c>
      <c r="L219" t="s">
        <v>217</v>
      </c>
      <c r="M219" t="s">
        <v>32</v>
      </c>
      <c r="N219" t="s">
        <v>33</v>
      </c>
      <c r="O219" t="s">
        <v>218</v>
      </c>
      <c r="P219">
        <v>179.97</v>
      </c>
      <c r="Q219">
        <v>3</v>
      </c>
      <c r="R219">
        <v>44.9925</v>
      </c>
      <c r="S219" s="3" t="s">
        <v>53</v>
      </c>
      <c r="T219">
        <v>2016</v>
      </c>
      <c r="U219" t="s">
        <v>66</v>
      </c>
      <c r="V219" s="2">
        <v>0.25</v>
      </c>
    </row>
    <row r="220" spans="1:22" x14ac:dyDescent="0.25">
      <c r="A220" t="s">
        <v>1036</v>
      </c>
      <c r="B220" s="1">
        <v>42484</v>
      </c>
      <c r="C220" s="1">
        <v>42487</v>
      </c>
      <c r="D220" t="s">
        <v>40</v>
      </c>
      <c r="E220" t="s">
        <v>1037</v>
      </c>
      <c r="F220" t="s">
        <v>1038</v>
      </c>
      <c r="G220" t="s">
        <v>70</v>
      </c>
      <c r="H220" t="s">
        <v>27</v>
      </c>
      <c r="I220" t="s">
        <v>71</v>
      </c>
      <c r="J220" t="s">
        <v>61</v>
      </c>
      <c r="K220" t="s">
        <v>62</v>
      </c>
      <c r="L220" t="s">
        <v>750</v>
      </c>
      <c r="M220" t="s">
        <v>32</v>
      </c>
      <c r="N220" t="s">
        <v>51</v>
      </c>
      <c r="O220" t="s">
        <v>751</v>
      </c>
      <c r="P220">
        <v>258.69600000000003</v>
      </c>
      <c r="Q220">
        <v>3</v>
      </c>
      <c r="R220">
        <v>64.674000000000007</v>
      </c>
      <c r="S220" s="3" t="s">
        <v>172</v>
      </c>
      <c r="T220">
        <v>2016</v>
      </c>
      <c r="U220" t="s">
        <v>291</v>
      </c>
      <c r="V220" s="2">
        <v>0.25</v>
      </c>
    </row>
    <row r="221" spans="1:22" x14ac:dyDescent="0.25">
      <c r="A221" t="s">
        <v>1039</v>
      </c>
      <c r="B221" s="1">
        <v>41811</v>
      </c>
      <c r="C221" s="1">
        <v>41815</v>
      </c>
      <c r="D221" t="s">
        <v>23</v>
      </c>
      <c r="E221" t="s">
        <v>855</v>
      </c>
      <c r="F221" t="s">
        <v>856</v>
      </c>
      <c r="G221" t="s">
        <v>26</v>
      </c>
      <c r="H221" t="s">
        <v>27</v>
      </c>
      <c r="I221" t="s">
        <v>1040</v>
      </c>
      <c r="J221" t="s">
        <v>794</v>
      </c>
      <c r="K221" t="s">
        <v>95</v>
      </c>
      <c r="L221" t="s">
        <v>1041</v>
      </c>
      <c r="M221" t="s">
        <v>32</v>
      </c>
      <c r="N221" t="s">
        <v>33</v>
      </c>
      <c r="O221" t="s">
        <v>1042</v>
      </c>
      <c r="P221">
        <v>1322.93</v>
      </c>
      <c r="Q221">
        <v>7</v>
      </c>
      <c r="R221">
        <v>357.19110000000001</v>
      </c>
      <c r="S221" s="3" t="s">
        <v>53</v>
      </c>
      <c r="T221">
        <v>2014</v>
      </c>
      <c r="U221" t="s">
        <v>36</v>
      </c>
      <c r="V221" s="2">
        <v>0.27</v>
      </c>
    </row>
    <row r="222" spans="1:22" x14ac:dyDescent="0.25">
      <c r="A222" t="s">
        <v>1043</v>
      </c>
      <c r="B222" s="1">
        <v>42749</v>
      </c>
      <c r="C222" s="1">
        <v>42750</v>
      </c>
      <c r="D222" t="s">
        <v>56</v>
      </c>
      <c r="E222" t="s">
        <v>667</v>
      </c>
      <c r="F222" t="s">
        <v>668</v>
      </c>
      <c r="G222" t="s">
        <v>26</v>
      </c>
      <c r="H222" t="s">
        <v>27</v>
      </c>
      <c r="I222" t="s">
        <v>460</v>
      </c>
      <c r="J222" t="s">
        <v>154</v>
      </c>
      <c r="K222" t="s">
        <v>155</v>
      </c>
      <c r="L222" t="s">
        <v>1044</v>
      </c>
      <c r="M222" t="s">
        <v>32</v>
      </c>
      <c r="N222" t="s">
        <v>33</v>
      </c>
      <c r="O222" t="s">
        <v>1045</v>
      </c>
      <c r="P222">
        <v>7.92</v>
      </c>
      <c r="Q222">
        <v>5</v>
      </c>
      <c r="R222">
        <v>0.69299999999999995</v>
      </c>
      <c r="S222" s="3" t="s">
        <v>112</v>
      </c>
      <c r="T222">
        <v>2017</v>
      </c>
      <c r="U222" t="s">
        <v>54</v>
      </c>
      <c r="V222" s="2">
        <v>8.7499999999999994E-2</v>
      </c>
    </row>
    <row r="223" spans="1:22" x14ac:dyDescent="0.25">
      <c r="A223" t="s">
        <v>1046</v>
      </c>
      <c r="B223" s="1">
        <v>42792</v>
      </c>
      <c r="C223" s="1">
        <v>42794</v>
      </c>
      <c r="D223" t="s">
        <v>40</v>
      </c>
      <c r="E223" t="s">
        <v>1047</v>
      </c>
      <c r="F223" t="s">
        <v>1048</v>
      </c>
      <c r="G223" t="s">
        <v>70</v>
      </c>
      <c r="H223" t="s">
        <v>27</v>
      </c>
      <c r="I223" t="s">
        <v>28</v>
      </c>
      <c r="J223" t="s">
        <v>29</v>
      </c>
      <c r="K223" t="s">
        <v>30</v>
      </c>
      <c r="L223" t="s">
        <v>1049</v>
      </c>
      <c r="M223" t="s">
        <v>32</v>
      </c>
      <c r="N223" t="s">
        <v>33</v>
      </c>
      <c r="O223" t="s">
        <v>1050</v>
      </c>
      <c r="P223">
        <v>889.53599999999994</v>
      </c>
      <c r="Q223">
        <v>8</v>
      </c>
      <c r="R223">
        <v>66.715199999999996</v>
      </c>
      <c r="S223" s="3" t="s">
        <v>65</v>
      </c>
      <c r="T223">
        <v>2017</v>
      </c>
      <c r="U223" t="s">
        <v>180</v>
      </c>
      <c r="V223" s="2">
        <v>7.4999999999999997E-2</v>
      </c>
    </row>
    <row r="224" spans="1:22" x14ac:dyDescent="0.25">
      <c r="A224" t="s">
        <v>1051</v>
      </c>
      <c r="B224" s="1">
        <v>42468</v>
      </c>
      <c r="C224" s="1">
        <v>42472</v>
      </c>
      <c r="D224" t="s">
        <v>23</v>
      </c>
      <c r="E224" t="s">
        <v>592</v>
      </c>
      <c r="F224" t="s">
        <v>593</v>
      </c>
      <c r="G224" t="s">
        <v>26</v>
      </c>
      <c r="H224" t="s">
        <v>27</v>
      </c>
      <c r="I224" t="s">
        <v>71</v>
      </c>
      <c r="J224" t="s">
        <v>61</v>
      </c>
      <c r="K224" t="s">
        <v>62</v>
      </c>
      <c r="L224" t="s">
        <v>1052</v>
      </c>
      <c r="M224" t="s">
        <v>32</v>
      </c>
      <c r="N224" t="s">
        <v>51</v>
      </c>
      <c r="O224" t="s">
        <v>1053</v>
      </c>
      <c r="P224">
        <v>431.928</v>
      </c>
      <c r="Q224">
        <v>9</v>
      </c>
      <c r="R224">
        <v>64.789199999999994</v>
      </c>
      <c r="S224" s="3" t="s">
        <v>53</v>
      </c>
      <c r="T224">
        <v>2016</v>
      </c>
      <c r="U224" t="s">
        <v>291</v>
      </c>
      <c r="V224" s="2">
        <v>0.15</v>
      </c>
    </row>
    <row r="225" spans="1:22" x14ac:dyDescent="0.25">
      <c r="A225" t="s">
        <v>1054</v>
      </c>
      <c r="B225" s="1">
        <v>42948</v>
      </c>
      <c r="C225" s="1">
        <v>42951</v>
      </c>
      <c r="D225" t="s">
        <v>56</v>
      </c>
      <c r="E225" t="s">
        <v>1055</v>
      </c>
      <c r="F225" t="s">
        <v>1056</v>
      </c>
      <c r="G225" t="s">
        <v>26</v>
      </c>
      <c r="H225" t="s">
        <v>27</v>
      </c>
      <c r="I225" t="s">
        <v>153</v>
      </c>
      <c r="J225" t="s">
        <v>154</v>
      </c>
      <c r="K225" t="s">
        <v>155</v>
      </c>
      <c r="L225" t="s">
        <v>852</v>
      </c>
      <c r="M225" t="s">
        <v>32</v>
      </c>
      <c r="N225" t="s">
        <v>33</v>
      </c>
      <c r="O225" t="s">
        <v>853</v>
      </c>
      <c r="P225">
        <v>271.95999999999998</v>
      </c>
      <c r="Q225">
        <v>5</v>
      </c>
      <c r="R225">
        <v>16.997499999999999</v>
      </c>
      <c r="S225" s="3" t="s">
        <v>172</v>
      </c>
      <c r="T225">
        <v>2017</v>
      </c>
      <c r="U225" t="s">
        <v>46</v>
      </c>
      <c r="V225" s="2">
        <v>6.25E-2</v>
      </c>
    </row>
    <row r="226" spans="1:22" x14ac:dyDescent="0.25">
      <c r="A226" t="s">
        <v>1057</v>
      </c>
      <c r="B226" s="1">
        <v>42987</v>
      </c>
      <c r="C226" s="1">
        <v>42991</v>
      </c>
      <c r="D226" t="s">
        <v>23</v>
      </c>
      <c r="E226" t="s">
        <v>1058</v>
      </c>
      <c r="F226" t="s">
        <v>1059</v>
      </c>
      <c r="G226" t="s">
        <v>59</v>
      </c>
      <c r="H226" t="s">
        <v>27</v>
      </c>
      <c r="I226" t="s">
        <v>206</v>
      </c>
      <c r="J226" t="s">
        <v>207</v>
      </c>
      <c r="K226" t="s">
        <v>95</v>
      </c>
      <c r="L226" t="s">
        <v>325</v>
      </c>
      <c r="M226" t="s">
        <v>32</v>
      </c>
      <c r="N226" t="s">
        <v>51</v>
      </c>
      <c r="O226" t="s">
        <v>326</v>
      </c>
      <c r="P226">
        <v>95.88</v>
      </c>
      <c r="Q226">
        <v>3</v>
      </c>
      <c r="R226">
        <v>28.763999999999999</v>
      </c>
      <c r="S226" s="3" t="s">
        <v>53</v>
      </c>
      <c r="T226">
        <v>2017</v>
      </c>
      <c r="U226" t="s">
        <v>81</v>
      </c>
      <c r="V226" s="2">
        <v>0.3</v>
      </c>
    </row>
    <row r="227" spans="1:22" x14ac:dyDescent="0.25">
      <c r="A227" t="s">
        <v>1057</v>
      </c>
      <c r="B227" s="1">
        <v>42987</v>
      </c>
      <c r="C227" s="1">
        <v>42991</v>
      </c>
      <c r="D227" t="s">
        <v>23</v>
      </c>
      <c r="E227" t="s">
        <v>1058</v>
      </c>
      <c r="F227" t="s">
        <v>1059</v>
      </c>
      <c r="G227" t="s">
        <v>59</v>
      </c>
      <c r="H227" t="s">
        <v>27</v>
      </c>
      <c r="I227" t="s">
        <v>206</v>
      </c>
      <c r="J227" t="s">
        <v>207</v>
      </c>
      <c r="K227" t="s">
        <v>95</v>
      </c>
      <c r="L227" t="s">
        <v>750</v>
      </c>
      <c r="M227" t="s">
        <v>32</v>
      </c>
      <c r="N227" t="s">
        <v>51</v>
      </c>
      <c r="O227" t="s">
        <v>751</v>
      </c>
      <c r="P227">
        <v>258.69600000000003</v>
      </c>
      <c r="Q227">
        <v>3</v>
      </c>
      <c r="R227">
        <v>64.674000000000007</v>
      </c>
      <c r="S227" s="3" t="s">
        <v>53</v>
      </c>
      <c r="T227">
        <v>2017</v>
      </c>
      <c r="U227" t="s">
        <v>81</v>
      </c>
      <c r="V227" s="2">
        <v>0.25</v>
      </c>
    </row>
    <row r="228" spans="1:22" x14ac:dyDescent="0.25">
      <c r="A228" t="s">
        <v>1057</v>
      </c>
      <c r="B228" s="1">
        <v>42987</v>
      </c>
      <c r="C228" s="1">
        <v>42991</v>
      </c>
      <c r="D228" t="s">
        <v>23</v>
      </c>
      <c r="E228" t="s">
        <v>1058</v>
      </c>
      <c r="F228" t="s">
        <v>1059</v>
      </c>
      <c r="G228" t="s">
        <v>59</v>
      </c>
      <c r="H228" t="s">
        <v>27</v>
      </c>
      <c r="I228" t="s">
        <v>206</v>
      </c>
      <c r="J228" t="s">
        <v>207</v>
      </c>
      <c r="K228" t="s">
        <v>95</v>
      </c>
      <c r="L228" t="s">
        <v>1060</v>
      </c>
      <c r="M228" t="s">
        <v>32</v>
      </c>
      <c r="N228" t="s">
        <v>33</v>
      </c>
      <c r="O228" t="s">
        <v>1061</v>
      </c>
      <c r="P228">
        <v>1931.9580000000001</v>
      </c>
      <c r="Q228">
        <v>7</v>
      </c>
      <c r="R228">
        <v>-386.39159999999998</v>
      </c>
      <c r="S228" s="3" t="s">
        <v>53</v>
      </c>
      <c r="T228">
        <v>2017</v>
      </c>
      <c r="U228" t="s">
        <v>81</v>
      </c>
      <c r="V228" s="2">
        <v>-0.2</v>
      </c>
    </row>
    <row r="229" spans="1:22" x14ac:dyDescent="0.25">
      <c r="A229" t="s">
        <v>1062</v>
      </c>
      <c r="B229" s="1">
        <v>41832</v>
      </c>
      <c r="C229" s="1">
        <v>41836</v>
      </c>
      <c r="D229" t="s">
        <v>23</v>
      </c>
      <c r="E229" t="s">
        <v>1063</v>
      </c>
      <c r="F229" t="s">
        <v>1064</v>
      </c>
      <c r="G229" t="s">
        <v>70</v>
      </c>
      <c r="H229" t="s">
        <v>27</v>
      </c>
      <c r="I229" t="s">
        <v>28</v>
      </c>
      <c r="J229" t="s">
        <v>29</v>
      </c>
      <c r="K229" t="s">
        <v>30</v>
      </c>
      <c r="L229" t="s">
        <v>1065</v>
      </c>
      <c r="M229" t="s">
        <v>32</v>
      </c>
      <c r="N229" t="s">
        <v>33</v>
      </c>
      <c r="O229" t="s">
        <v>1066</v>
      </c>
      <c r="P229">
        <v>255.93600000000001</v>
      </c>
      <c r="Q229">
        <v>8</v>
      </c>
      <c r="R229">
        <v>28.7928</v>
      </c>
      <c r="S229" s="3" t="s">
        <v>53</v>
      </c>
      <c r="T229">
        <v>2014</v>
      </c>
      <c r="U229" t="s">
        <v>332</v>
      </c>
      <c r="V229" s="2">
        <v>0.1125</v>
      </c>
    </row>
    <row r="230" spans="1:22" x14ac:dyDescent="0.25">
      <c r="A230" t="s">
        <v>1067</v>
      </c>
      <c r="B230" s="1">
        <v>42708</v>
      </c>
      <c r="C230" s="1">
        <v>42709</v>
      </c>
      <c r="D230" t="s">
        <v>56</v>
      </c>
      <c r="E230" t="s">
        <v>211</v>
      </c>
      <c r="F230" t="s">
        <v>212</v>
      </c>
      <c r="G230" t="s">
        <v>26</v>
      </c>
      <c r="H230" t="s">
        <v>27</v>
      </c>
      <c r="I230" t="s">
        <v>103</v>
      </c>
      <c r="J230" t="s">
        <v>104</v>
      </c>
      <c r="K230" t="s">
        <v>95</v>
      </c>
      <c r="L230" t="s">
        <v>562</v>
      </c>
      <c r="M230" t="s">
        <v>32</v>
      </c>
      <c r="N230" t="s">
        <v>51</v>
      </c>
      <c r="O230" t="s">
        <v>563</v>
      </c>
      <c r="P230">
        <v>78.150000000000006</v>
      </c>
      <c r="Q230">
        <v>1</v>
      </c>
      <c r="R230">
        <v>34.386000000000003</v>
      </c>
      <c r="S230" s="3" t="s">
        <v>112</v>
      </c>
      <c r="T230">
        <v>2016</v>
      </c>
      <c r="U230" t="s">
        <v>66</v>
      </c>
      <c r="V230" s="2">
        <v>0.44</v>
      </c>
    </row>
    <row r="231" spans="1:22" x14ac:dyDescent="0.25">
      <c r="A231" t="s">
        <v>1068</v>
      </c>
      <c r="B231" s="1">
        <v>42520</v>
      </c>
      <c r="C231" s="1">
        <v>42522</v>
      </c>
      <c r="D231" t="s">
        <v>56</v>
      </c>
      <c r="E231" t="s">
        <v>1069</v>
      </c>
      <c r="F231" t="s">
        <v>1070</v>
      </c>
      <c r="G231" t="s">
        <v>59</v>
      </c>
      <c r="H231" t="s">
        <v>27</v>
      </c>
      <c r="I231" t="s">
        <v>1071</v>
      </c>
      <c r="J231" t="s">
        <v>177</v>
      </c>
      <c r="K231" t="s">
        <v>95</v>
      </c>
      <c r="L231" t="s">
        <v>1072</v>
      </c>
      <c r="M231" t="s">
        <v>32</v>
      </c>
      <c r="N231" t="s">
        <v>381</v>
      </c>
      <c r="O231" t="s">
        <v>1073</v>
      </c>
      <c r="P231">
        <v>839.98800000000006</v>
      </c>
      <c r="Q231">
        <v>2</v>
      </c>
      <c r="R231">
        <v>69.998999999999995</v>
      </c>
      <c r="S231" s="3" t="s">
        <v>65</v>
      </c>
      <c r="T231">
        <v>2016</v>
      </c>
      <c r="U231" t="s">
        <v>527</v>
      </c>
      <c r="V231" s="2">
        <v>8.3333333333333301E-2</v>
      </c>
    </row>
    <row r="232" spans="1:22" x14ac:dyDescent="0.25">
      <c r="A232" t="s">
        <v>1074</v>
      </c>
      <c r="B232" s="1">
        <v>42611</v>
      </c>
      <c r="C232" s="1">
        <v>42617</v>
      </c>
      <c r="D232" t="s">
        <v>23</v>
      </c>
      <c r="E232" t="s">
        <v>1075</v>
      </c>
      <c r="F232" t="s">
        <v>1076</v>
      </c>
      <c r="G232" t="s">
        <v>70</v>
      </c>
      <c r="H232" t="s">
        <v>27</v>
      </c>
      <c r="I232" t="s">
        <v>103</v>
      </c>
      <c r="J232" t="s">
        <v>104</v>
      </c>
      <c r="K232" t="s">
        <v>95</v>
      </c>
      <c r="L232" t="s">
        <v>1077</v>
      </c>
      <c r="M232" t="s">
        <v>32</v>
      </c>
      <c r="N232" t="s">
        <v>33</v>
      </c>
      <c r="O232" t="s">
        <v>1078</v>
      </c>
      <c r="P232">
        <v>22</v>
      </c>
      <c r="Q232">
        <v>4</v>
      </c>
      <c r="R232">
        <v>5.5</v>
      </c>
      <c r="S232" s="3" t="s">
        <v>107</v>
      </c>
      <c r="T232">
        <v>2016</v>
      </c>
      <c r="U232" t="s">
        <v>46</v>
      </c>
      <c r="V232" s="2">
        <v>0.25</v>
      </c>
    </row>
    <row r="233" spans="1:22" x14ac:dyDescent="0.25">
      <c r="A233" t="s">
        <v>1079</v>
      </c>
      <c r="B233" s="1">
        <v>42189</v>
      </c>
      <c r="C233" s="1">
        <v>42194</v>
      </c>
      <c r="D233" t="s">
        <v>23</v>
      </c>
      <c r="E233" t="s">
        <v>1080</v>
      </c>
      <c r="F233" t="s">
        <v>1081</v>
      </c>
      <c r="G233" t="s">
        <v>26</v>
      </c>
      <c r="H233" t="s">
        <v>27</v>
      </c>
      <c r="I233" t="s">
        <v>872</v>
      </c>
      <c r="J233" t="s">
        <v>185</v>
      </c>
      <c r="K233" t="s">
        <v>62</v>
      </c>
      <c r="L233" t="s">
        <v>1082</v>
      </c>
      <c r="M233" t="s">
        <v>32</v>
      </c>
      <c r="N233" t="s">
        <v>33</v>
      </c>
      <c r="O233" t="s">
        <v>1083</v>
      </c>
      <c r="P233">
        <v>1099.96</v>
      </c>
      <c r="Q233">
        <v>4</v>
      </c>
      <c r="R233">
        <v>285.9896</v>
      </c>
      <c r="S233" s="3" t="s">
        <v>35</v>
      </c>
      <c r="T233">
        <v>2015</v>
      </c>
      <c r="U233" t="s">
        <v>332</v>
      </c>
      <c r="V233" s="2">
        <v>0.26</v>
      </c>
    </row>
    <row r="234" spans="1:22" x14ac:dyDescent="0.25">
      <c r="A234" t="s">
        <v>1084</v>
      </c>
      <c r="B234" s="1">
        <v>42804</v>
      </c>
      <c r="C234" s="1">
        <v>42808</v>
      </c>
      <c r="D234" t="s">
        <v>23</v>
      </c>
      <c r="E234" t="s">
        <v>1085</v>
      </c>
      <c r="F234" t="s">
        <v>1086</v>
      </c>
      <c r="G234" t="s">
        <v>70</v>
      </c>
      <c r="H234" t="s">
        <v>27</v>
      </c>
      <c r="I234" t="s">
        <v>1087</v>
      </c>
      <c r="J234" t="s">
        <v>207</v>
      </c>
      <c r="K234" t="s">
        <v>95</v>
      </c>
      <c r="L234" t="s">
        <v>492</v>
      </c>
      <c r="M234" t="s">
        <v>32</v>
      </c>
      <c r="N234" t="s">
        <v>33</v>
      </c>
      <c r="O234" t="s">
        <v>493</v>
      </c>
      <c r="P234">
        <v>35.909999999999997</v>
      </c>
      <c r="Q234">
        <v>3</v>
      </c>
      <c r="R234">
        <v>-8.3789999999999996</v>
      </c>
      <c r="S234" s="3" t="s">
        <v>53</v>
      </c>
      <c r="T234">
        <v>2017</v>
      </c>
      <c r="U234" t="s">
        <v>89</v>
      </c>
      <c r="V234" s="2">
        <v>-0.233333333333333</v>
      </c>
    </row>
    <row r="235" spans="1:22" x14ac:dyDescent="0.25">
      <c r="A235" t="s">
        <v>1088</v>
      </c>
      <c r="B235" s="1">
        <v>42728</v>
      </c>
      <c r="C235" s="1">
        <v>42732</v>
      </c>
      <c r="D235" t="s">
        <v>40</v>
      </c>
      <c r="E235" t="s">
        <v>454</v>
      </c>
      <c r="F235" t="s">
        <v>455</v>
      </c>
      <c r="G235" t="s">
        <v>70</v>
      </c>
      <c r="H235" t="s">
        <v>27</v>
      </c>
      <c r="I235" t="s">
        <v>153</v>
      </c>
      <c r="J235" t="s">
        <v>154</v>
      </c>
      <c r="K235" t="s">
        <v>155</v>
      </c>
      <c r="L235" t="s">
        <v>325</v>
      </c>
      <c r="M235" t="s">
        <v>32</v>
      </c>
      <c r="N235" t="s">
        <v>51</v>
      </c>
      <c r="O235" t="s">
        <v>326</v>
      </c>
      <c r="P235">
        <v>255.68</v>
      </c>
      <c r="Q235">
        <v>8</v>
      </c>
      <c r="R235">
        <v>76.703999999999994</v>
      </c>
      <c r="S235" s="3" t="s">
        <v>53</v>
      </c>
      <c r="T235">
        <v>2016</v>
      </c>
      <c r="U235" t="s">
        <v>66</v>
      </c>
      <c r="V235" s="2">
        <v>0.3</v>
      </c>
    </row>
    <row r="236" spans="1:22" x14ac:dyDescent="0.25">
      <c r="A236" t="s">
        <v>1089</v>
      </c>
      <c r="B236" s="1">
        <v>43031</v>
      </c>
      <c r="C236" s="1">
        <v>43035</v>
      </c>
      <c r="D236" t="s">
        <v>23</v>
      </c>
      <c r="E236" t="s">
        <v>1090</v>
      </c>
      <c r="F236" t="s">
        <v>1091</v>
      </c>
      <c r="G236" t="s">
        <v>26</v>
      </c>
      <c r="H236" t="s">
        <v>27</v>
      </c>
      <c r="I236" t="s">
        <v>460</v>
      </c>
      <c r="J236" t="s">
        <v>288</v>
      </c>
      <c r="K236" t="s">
        <v>155</v>
      </c>
      <c r="L236" t="s">
        <v>1092</v>
      </c>
      <c r="M236" t="s">
        <v>32</v>
      </c>
      <c r="N236" t="s">
        <v>33</v>
      </c>
      <c r="O236" t="s">
        <v>1093</v>
      </c>
      <c r="P236">
        <v>863.88</v>
      </c>
      <c r="Q236">
        <v>3</v>
      </c>
      <c r="R236">
        <v>107.985</v>
      </c>
      <c r="S236" s="3" t="s">
        <v>53</v>
      </c>
      <c r="T236">
        <v>2017</v>
      </c>
      <c r="U236" t="s">
        <v>133</v>
      </c>
      <c r="V236" s="2">
        <v>0.125</v>
      </c>
    </row>
    <row r="237" spans="1:22" x14ac:dyDescent="0.25">
      <c r="A237" t="s">
        <v>1094</v>
      </c>
      <c r="B237" s="1">
        <v>42644</v>
      </c>
      <c r="C237" s="1">
        <v>42645</v>
      </c>
      <c r="D237" t="s">
        <v>56</v>
      </c>
      <c r="E237" t="s">
        <v>1095</v>
      </c>
      <c r="F237" t="s">
        <v>1096</v>
      </c>
      <c r="G237" t="s">
        <v>26</v>
      </c>
      <c r="H237" t="s">
        <v>27</v>
      </c>
      <c r="I237" t="s">
        <v>1097</v>
      </c>
      <c r="J237" t="s">
        <v>669</v>
      </c>
      <c r="K237" t="s">
        <v>62</v>
      </c>
      <c r="L237" t="s">
        <v>186</v>
      </c>
      <c r="M237" t="s">
        <v>32</v>
      </c>
      <c r="N237" t="s">
        <v>33</v>
      </c>
      <c r="O237" t="s">
        <v>187</v>
      </c>
      <c r="P237">
        <v>69.900000000000006</v>
      </c>
      <c r="Q237">
        <v>2</v>
      </c>
      <c r="R237">
        <v>18.873000000000001</v>
      </c>
      <c r="S237" s="3" t="s">
        <v>112</v>
      </c>
      <c r="T237">
        <v>2016</v>
      </c>
      <c r="U237" t="s">
        <v>133</v>
      </c>
      <c r="V237" s="2">
        <v>0.27</v>
      </c>
    </row>
    <row r="238" spans="1:22" x14ac:dyDescent="0.25">
      <c r="A238" t="s">
        <v>1098</v>
      </c>
      <c r="B238" s="1">
        <v>42516</v>
      </c>
      <c r="C238" s="1">
        <v>42516</v>
      </c>
      <c r="D238" t="s">
        <v>677</v>
      </c>
      <c r="E238" t="s">
        <v>969</v>
      </c>
      <c r="F238" t="s">
        <v>970</v>
      </c>
      <c r="G238" t="s">
        <v>26</v>
      </c>
      <c r="H238" t="s">
        <v>27</v>
      </c>
      <c r="I238" t="s">
        <v>570</v>
      </c>
      <c r="J238" t="s">
        <v>61</v>
      </c>
      <c r="K238" t="s">
        <v>62</v>
      </c>
      <c r="L238" t="s">
        <v>1099</v>
      </c>
      <c r="M238" t="s">
        <v>32</v>
      </c>
      <c r="N238" t="s">
        <v>51</v>
      </c>
      <c r="O238" t="s">
        <v>1100</v>
      </c>
      <c r="P238">
        <v>63.991999999999997</v>
      </c>
      <c r="Q238">
        <v>1</v>
      </c>
      <c r="R238">
        <v>-7.1990999999999996</v>
      </c>
      <c r="S238" s="3" t="s">
        <v>683</v>
      </c>
      <c r="T238">
        <v>2016</v>
      </c>
      <c r="U238" t="s">
        <v>527</v>
      </c>
      <c r="V238" s="2">
        <v>-0.1125</v>
      </c>
    </row>
    <row r="239" spans="1:22" x14ac:dyDescent="0.25">
      <c r="A239" t="s">
        <v>1101</v>
      </c>
      <c r="B239" s="1">
        <v>41890</v>
      </c>
      <c r="C239" s="1">
        <v>41893</v>
      </c>
      <c r="D239" t="s">
        <v>56</v>
      </c>
      <c r="E239" t="s">
        <v>1102</v>
      </c>
      <c r="F239" t="s">
        <v>1103</v>
      </c>
      <c r="G239" t="s">
        <v>59</v>
      </c>
      <c r="H239" t="s">
        <v>27</v>
      </c>
      <c r="I239" t="s">
        <v>1104</v>
      </c>
      <c r="J239" t="s">
        <v>1006</v>
      </c>
      <c r="K239" t="s">
        <v>155</v>
      </c>
      <c r="L239" t="s">
        <v>1105</v>
      </c>
      <c r="M239" t="s">
        <v>32</v>
      </c>
      <c r="N239" t="s">
        <v>51</v>
      </c>
      <c r="O239" t="s">
        <v>1106</v>
      </c>
      <c r="P239">
        <v>32.97</v>
      </c>
      <c r="Q239">
        <v>3</v>
      </c>
      <c r="R239">
        <v>12.8583</v>
      </c>
      <c r="S239" s="3" t="s">
        <v>172</v>
      </c>
      <c r="T239">
        <v>2014</v>
      </c>
      <c r="U239" t="s">
        <v>81</v>
      </c>
      <c r="V239" s="2">
        <v>0.39</v>
      </c>
    </row>
    <row r="240" spans="1:22" x14ac:dyDescent="0.25">
      <c r="A240" t="s">
        <v>1101</v>
      </c>
      <c r="B240" s="1">
        <v>41890</v>
      </c>
      <c r="C240" s="1">
        <v>41893</v>
      </c>
      <c r="D240" t="s">
        <v>56</v>
      </c>
      <c r="E240" t="s">
        <v>1102</v>
      </c>
      <c r="F240" t="s">
        <v>1103</v>
      </c>
      <c r="G240" t="s">
        <v>59</v>
      </c>
      <c r="H240" t="s">
        <v>27</v>
      </c>
      <c r="I240" t="s">
        <v>1104</v>
      </c>
      <c r="J240" t="s">
        <v>1006</v>
      </c>
      <c r="K240" t="s">
        <v>155</v>
      </c>
      <c r="L240" t="s">
        <v>1107</v>
      </c>
      <c r="M240" t="s">
        <v>32</v>
      </c>
      <c r="N240" t="s">
        <v>51</v>
      </c>
      <c r="O240" t="s">
        <v>1108</v>
      </c>
      <c r="P240">
        <v>83.88</v>
      </c>
      <c r="Q240">
        <v>4</v>
      </c>
      <c r="R240">
        <v>30.1968</v>
      </c>
      <c r="S240" s="3" t="s">
        <v>172</v>
      </c>
      <c r="T240">
        <v>2014</v>
      </c>
      <c r="U240" t="s">
        <v>81</v>
      </c>
      <c r="V240" s="2">
        <v>0.36</v>
      </c>
    </row>
    <row r="241" spans="1:22" x14ac:dyDescent="0.25">
      <c r="A241" t="s">
        <v>1109</v>
      </c>
      <c r="B241" s="1">
        <v>42618</v>
      </c>
      <c r="C241" s="1">
        <v>42619</v>
      </c>
      <c r="D241" t="s">
        <v>56</v>
      </c>
      <c r="E241" t="s">
        <v>791</v>
      </c>
      <c r="F241" t="s">
        <v>792</v>
      </c>
      <c r="G241" t="s">
        <v>26</v>
      </c>
      <c r="H241" t="s">
        <v>27</v>
      </c>
      <c r="I241" t="s">
        <v>1110</v>
      </c>
      <c r="J241" t="s">
        <v>755</v>
      </c>
      <c r="K241" t="s">
        <v>62</v>
      </c>
      <c r="L241" t="s">
        <v>1111</v>
      </c>
      <c r="M241" t="s">
        <v>32</v>
      </c>
      <c r="N241" t="s">
        <v>33</v>
      </c>
      <c r="O241" t="s">
        <v>1112</v>
      </c>
      <c r="P241">
        <v>278.39999999999998</v>
      </c>
      <c r="Q241">
        <v>3</v>
      </c>
      <c r="R241">
        <v>80.736000000000004</v>
      </c>
      <c r="S241" s="3" t="s">
        <v>112</v>
      </c>
      <c r="T241">
        <v>2016</v>
      </c>
      <c r="U241" t="s">
        <v>81</v>
      </c>
      <c r="V241" s="2">
        <v>0.28999999999999998</v>
      </c>
    </row>
    <row r="242" spans="1:22" x14ac:dyDescent="0.25">
      <c r="A242" t="s">
        <v>1113</v>
      </c>
      <c r="B242" s="1">
        <v>42712</v>
      </c>
      <c r="C242" s="1">
        <v>42716</v>
      </c>
      <c r="D242" t="s">
        <v>40</v>
      </c>
      <c r="E242" t="s">
        <v>1114</v>
      </c>
      <c r="F242" t="s">
        <v>1115</v>
      </c>
      <c r="G242" t="s">
        <v>59</v>
      </c>
      <c r="H242" t="s">
        <v>27</v>
      </c>
      <c r="I242" t="s">
        <v>1116</v>
      </c>
      <c r="J242" t="s">
        <v>86</v>
      </c>
      <c r="K242" t="s">
        <v>62</v>
      </c>
      <c r="L242" t="s">
        <v>548</v>
      </c>
      <c r="M242" t="s">
        <v>32</v>
      </c>
      <c r="N242" t="s">
        <v>33</v>
      </c>
      <c r="O242" t="s">
        <v>549</v>
      </c>
      <c r="P242">
        <v>114.95</v>
      </c>
      <c r="Q242">
        <v>5</v>
      </c>
      <c r="R242">
        <v>2.2989999999999999</v>
      </c>
      <c r="S242" s="3" t="s">
        <v>53</v>
      </c>
      <c r="T242">
        <v>2016</v>
      </c>
      <c r="U242" t="s">
        <v>66</v>
      </c>
      <c r="V242" s="2">
        <v>0.02</v>
      </c>
    </row>
    <row r="243" spans="1:22" x14ac:dyDescent="0.25">
      <c r="A243" t="s">
        <v>1117</v>
      </c>
      <c r="B243" s="1">
        <v>42919</v>
      </c>
      <c r="C243" s="1">
        <v>42923</v>
      </c>
      <c r="D243" t="s">
        <v>23</v>
      </c>
      <c r="E243" t="s">
        <v>1118</v>
      </c>
      <c r="F243" t="s">
        <v>1119</v>
      </c>
      <c r="G243" t="s">
        <v>26</v>
      </c>
      <c r="H243" t="s">
        <v>27</v>
      </c>
      <c r="I243" t="s">
        <v>176</v>
      </c>
      <c r="J243" t="s">
        <v>1006</v>
      </c>
      <c r="K243" t="s">
        <v>155</v>
      </c>
      <c r="L243" t="s">
        <v>805</v>
      </c>
      <c r="M243" t="s">
        <v>32</v>
      </c>
      <c r="N243" t="s">
        <v>33</v>
      </c>
      <c r="O243" t="s">
        <v>806</v>
      </c>
      <c r="P243">
        <v>287.97000000000003</v>
      </c>
      <c r="Q243">
        <v>3</v>
      </c>
      <c r="R243">
        <v>77.751900000000006</v>
      </c>
      <c r="S243" s="3" t="s">
        <v>53</v>
      </c>
      <c r="T243">
        <v>2017</v>
      </c>
      <c r="U243" t="s">
        <v>332</v>
      </c>
      <c r="V243" s="2">
        <v>0.27</v>
      </c>
    </row>
    <row r="244" spans="1:22" x14ac:dyDescent="0.25">
      <c r="A244" t="s">
        <v>1120</v>
      </c>
      <c r="B244" s="1">
        <v>42565</v>
      </c>
      <c r="C244" s="1">
        <v>42567</v>
      </c>
      <c r="D244" t="s">
        <v>40</v>
      </c>
      <c r="E244" t="s">
        <v>757</v>
      </c>
      <c r="F244" t="s">
        <v>758</v>
      </c>
      <c r="G244" t="s">
        <v>26</v>
      </c>
      <c r="H244" t="s">
        <v>27</v>
      </c>
      <c r="I244" t="s">
        <v>71</v>
      </c>
      <c r="J244" t="s">
        <v>61</v>
      </c>
      <c r="K244" t="s">
        <v>62</v>
      </c>
      <c r="L244" t="s">
        <v>1121</v>
      </c>
      <c r="M244" t="s">
        <v>32</v>
      </c>
      <c r="N244" t="s">
        <v>33</v>
      </c>
      <c r="O244" t="s">
        <v>1122</v>
      </c>
      <c r="P244">
        <v>419.94400000000002</v>
      </c>
      <c r="Q244">
        <v>7</v>
      </c>
      <c r="R244">
        <v>52.493000000000002</v>
      </c>
      <c r="S244" s="3" t="s">
        <v>65</v>
      </c>
      <c r="T244">
        <v>2016</v>
      </c>
      <c r="U244" t="s">
        <v>332</v>
      </c>
      <c r="V244" s="2">
        <v>0.125</v>
      </c>
    </row>
    <row r="245" spans="1:22" x14ac:dyDescent="0.25">
      <c r="A245" t="s">
        <v>1123</v>
      </c>
      <c r="B245" s="1">
        <v>43079</v>
      </c>
      <c r="C245" s="1">
        <v>43083</v>
      </c>
      <c r="D245" t="s">
        <v>23</v>
      </c>
      <c r="E245" t="s">
        <v>328</v>
      </c>
      <c r="F245" t="s">
        <v>329</v>
      </c>
      <c r="G245" t="s">
        <v>26</v>
      </c>
      <c r="H245" t="s">
        <v>27</v>
      </c>
      <c r="I245" t="s">
        <v>206</v>
      </c>
      <c r="J245" t="s">
        <v>207</v>
      </c>
      <c r="K245" t="s">
        <v>95</v>
      </c>
      <c r="L245" t="s">
        <v>1124</v>
      </c>
      <c r="M245" t="s">
        <v>32</v>
      </c>
      <c r="N245" t="s">
        <v>51</v>
      </c>
      <c r="O245" t="s">
        <v>1125</v>
      </c>
      <c r="P245">
        <v>14.2</v>
      </c>
      <c r="Q245">
        <v>1</v>
      </c>
      <c r="R245">
        <v>3.3725000000000001</v>
      </c>
      <c r="S245" s="3" t="s">
        <v>53</v>
      </c>
      <c r="T245">
        <v>2017</v>
      </c>
      <c r="U245" t="s">
        <v>66</v>
      </c>
      <c r="V245" s="2">
        <v>0.23749999999999999</v>
      </c>
    </row>
    <row r="246" spans="1:22" x14ac:dyDescent="0.25">
      <c r="A246" t="s">
        <v>1126</v>
      </c>
      <c r="B246" s="1">
        <v>41821</v>
      </c>
      <c r="C246" s="1">
        <v>41825</v>
      </c>
      <c r="D246" t="s">
        <v>23</v>
      </c>
      <c r="E246" t="s">
        <v>1127</v>
      </c>
      <c r="F246" t="s">
        <v>1128</v>
      </c>
      <c r="G246" t="s">
        <v>59</v>
      </c>
      <c r="H246" t="s">
        <v>27</v>
      </c>
      <c r="I246" t="s">
        <v>1129</v>
      </c>
      <c r="J246" t="s">
        <v>288</v>
      </c>
      <c r="K246" t="s">
        <v>155</v>
      </c>
      <c r="L246" t="s">
        <v>1092</v>
      </c>
      <c r="M246" t="s">
        <v>32</v>
      </c>
      <c r="N246" t="s">
        <v>33</v>
      </c>
      <c r="O246" t="s">
        <v>1093</v>
      </c>
      <c r="P246">
        <v>575.91999999999996</v>
      </c>
      <c r="Q246">
        <v>2</v>
      </c>
      <c r="R246">
        <v>71.989999999999995</v>
      </c>
      <c r="S246" s="3" t="s">
        <v>53</v>
      </c>
      <c r="T246">
        <v>2014</v>
      </c>
      <c r="U246" t="s">
        <v>332</v>
      </c>
      <c r="V246" s="2">
        <v>0.125</v>
      </c>
    </row>
    <row r="247" spans="1:22" x14ac:dyDescent="0.25">
      <c r="A247" t="s">
        <v>1130</v>
      </c>
      <c r="B247" s="1">
        <v>42888</v>
      </c>
      <c r="C247" s="1">
        <v>42892</v>
      </c>
      <c r="D247" t="s">
        <v>23</v>
      </c>
      <c r="E247" t="s">
        <v>1131</v>
      </c>
      <c r="F247" t="s">
        <v>1132</v>
      </c>
      <c r="G247" t="s">
        <v>70</v>
      </c>
      <c r="H247" t="s">
        <v>27</v>
      </c>
      <c r="I247" t="s">
        <v>1133</v>
      </c>
      <c r="J247" t="s">
        <v>177</v>
      </c>
      <c r="K247" t="s">
        <v>95</v>
      </c>
      <c r="L247" t="s">
        <v>583</v>
      </c>
      <c r="M247" t="s">
        <v>32</v>
      </c>
      <c r="N247" t="s">
        <v>33</v>
      </c>
      <c r="O247" t="s">
        <v>584</v>
      </c>
      <c r="P247">
        <v>2.97</v>
      </c>
      <c r="Q247">
        <v>1</v>
      </c>
      <c r="R247">
        <v>-0.64349999999999996</v>
      </c>
      <c r="S247" s="3" t="s">
        <v>53</v>
      </c>
      <c r="T247">
        <v>2017</v>
      </c>
      <c r="U247" t="s">
        <v>36</v>
      </c>
      <c r="V247" s="2">
        <v>-0.21666666666666701</v>
      </c>
    </row>
    <row r="248" spans="1:22" x14ac:dyDescent="0.25">
      <c r="A248" t="s">
        <v>1134</v>
      </c>
      <c r="B248" s="1">
        <v>42825</v>
      </c>
      <c r="C248" s="1">
        <v>42827</v>
      </c>
      <c r="D248" t="s">
        <v>40</v>
      </c>
      <c r="E248" t="s">
        <v>1135</v>
      </c>
      <c r="F248" t="s">
        <v>1136</v>
      </c>
      <c r="G248" t="s">
        <v>26</v>
      </c>
      <c r="H248" t="s">
        <v>27</v>
      </c>
      <c r="I248" t="s">
        <v>103</v>
      </c>
      <c r="J248" t="s">
        <v>104</v>
      </c>
      <c r="K248" t="s">
        <v>95</v>
      </c>
      <c r="L248" t="s">
        <v>1137</v>
      </c>
      <c r="M248" t="s">
        <v>32</v>
      </c>
      <c r="N248" t="s">
        <v>33</v>
      </c>
      <c r="O248" t="s">
        <v>1138</v>
      </c>
      <c r="P248">
        <v>677.58</v>
      </c>
      <c r="Q248">
        <v>3</v>
      </c>
      <c r="R248">
        <v>176.17080000000001</v>
      </c>
      <c r="S248" s="3" t="s">
        <v>65</v>
      </c>
      <c r="T248">
        <v>2017</v>
      </c>
      <c r="U248" t="s">
        <v>89</v>
      </c>
      <c r="V248" s="2">
        <v>0.26</v>
      </c>
    </row>
    <row r="249" spans="1:22" x14ac:dyDescent="0.25">
      <c r="A249" t="s">
        <v>1139</v>
      </c>
      <c r="B249" s="1">
        <v>42737</v>
      </c>
      <c r="C249" s="1">
        <v>42739</v>
      </c>
      <c r="D249" t="s">
        <v>56</v>
      </c>
      <c r="E249" t="s">
        <v>1140</v>
      </c>
      <c r="F249" t="s">
        <v>1141</v>
      </c>
      <c r="G249" t="s">
        <v>59</v>
      </c>
      <c r="H249" t="s">
        <v>27</v>
      </c>
      <c r="I249" t="s">
        <v>460</v>
      </c>
      <c r="J249" t="s">
        <v>154</v>
      </c>
      <c r="K249" t="s">
        <v>155</v>
      </c>
      <c r="L249" t="s">
        <v>1142</v>
      </c>
      <c r="M249" t="s">
        <v>32</v>
      </c>
      <c r="N249" t="s">
        <v>215</v>
      </c>
      <c r="O249" t="s">
        <v>1143</v>
      </c>
      <c r="P249">
        <v>695.7</v>
      </c>
      <c r="Q249">
        <v>2</v>
      </c>
      <c r="R249">
        <v>-27.827999999999999</v>
      </c>
      <c r="S249" s="3" t="s">
        <v>65</v>
      </c>
      <c r="T249">
        <v>2017</v>
      </c>
      <c r="U249" t="s">
        <v>54</v>
      </c>
      <c r="V249" s="2">
        <v>-0.04</v>
      </c>
    </row>
    <row r="250" spans="1:22" x14ac:dyDescent="0.25">
      <c r="A250" t="s">
        <v>1144</v>
      </c>
      <c r="B250" s="1">
        <v>42859</v>
      </c>
      <c r="C250" s="1">
        <v>42864</v>
      </c>
      <c r="D250" t="s">
        <v>23</v>
      </c>
      <c r="E250" t="s">
        <v>985</v>
      </c>
      <c r="F250" t="s">
        <v>986</v>
      </c>
      <c r="G250" t="s">
        <v>59</v>
      </c>
      <c r="H250" t="s">
        <v>27</v>
      </c>
      <c r="I250" t="s">
        <v>43</v>
      </c>
      <c r="J250" t="s">
        <v>29</v>
      </c>
      <c r="K250" t="s">
        <v>30</v>
      </c>
      <c r="L250" t="s">
        <v>614</v>
      </c>
      <c r="M250" t="s">
        <v>32</v>
      </c>
      <c r="N250" t="s">
        <v>33</v>
      </c>
      <c r="O250" t="s">
        <v>615</v>
      </c>
      <c r="P250">
        <v>183.96</v>
      </c>
      <c r="Q250">
        <v>5</v>
      </c>
      <c r="R250">
        <v>20.695499999999999</v>
      </c>
      <c r="S250" s="3" t="s">
        <v>35</v>
      </c>
      <c r="T250">
        <v>2017</v>
      </c>
      <c r="U250" t="s">
        <v>527</v>
      </c>
      <c r="V250" s="2">
        <v>0.1125</v>
      </c>
    </row>
    <row r="251" spans="1:22" x14ac:dyDescent="0.25">
      <c r="A251" t="s">
        <v>1145</v>
      </c>
      <c r="B251" s="1">
        <v>43027</v>
      </c>
      <c r="C251" s="1">
        <v>43033</v>
      </c>
      <c r="D251" t="s">
        <v>23</v>
      </c>
      <c r="E251" t="s">
        <v>1146</v>
      </c>
      <c r="F251" t="s">
        <v>1147</v>
      </c>
      <c r="G251" t="s">
        <v>59</v>
      </c>
      <c r="H251" t="s">
        <v>27</v>
      </c>
      <c r="I251" t="s">
        <v>206</v>
      </c>
      <c r="J251" t="s">
        <v>207</v>
      </c>
      <c r="K251" t="s">
        <v>95</v>
      </c>
      <c r="L251" t="s">
        <v>1148</v>
      </c>
      <c r="M251" t="s">
        <v>32</v>
      </c>
      <c r="N251" t="s">
        <v>33</v>
      </c>
      <c r="O251" t="s">
        <v>1149</v>
      </c>
      <c r="P251">
        <v>309.57600000000002</v>
      </c>
      <c r="Q251">
        <v>4</v>
      </c>
      <c r="R251">
        <v>-56.755600000000001</v>
      </c>
      <c r="S251" s="3" t="s">
        <v>107</v>
      </c>
      <c r="T251">
        <v>2017</v>
      </c>
      <c r="U251" t="s">
        <v>133</v>
      </c>
      <c r="V251" s="2">
        <v>-0.18333333333333299</v>
      </c>
    </row>
    <row r="252" spans="1:22" x14ac:dyDescent="0.25">
      <c r="A252" t="s">
        <v>1150</v>
      </c>
      <c r="B252" s="1">
        <v>43049</v>
      </c>
      <c r="C252" s="1">
        <v>43050</v>
      </c>
      <c r="D252" t="s">
        <v>56</v>
      </c>
      <c r="E252" t="s">
        <v>1151</v>
      </c>
      <c r="F252" t="s">
        <v>1152</v>
      </c>
      <c r="G252" t="s">
        <v>59</v>
      </c>
      <c r="H252" t="s">
        <v>27</v>
      </c>
      <c r="I252" t="s">
        <v>397</v>
      </c>
      <c r="J252" t="s">
        <v>123</v>
      </c>
      <c r="K252" t="s">
        <v>30</v>
      </c>
      <c r="L252" t="s">
        <v>1153</v>
      </c>
      <c r="M252" t="s">
        <v>32</v>
      </c>
      <c r="N252" t="s">
        <v>215</v>
      </c>
      <c r="O252" t="s">
        <v>1154</v>
      </c>
      <c r="P252">
        <v>95.994</v>
      </c>
      <c r="Q252">
        <v>2</v>
      </c>
      <c r="R252">
        <v>-63.996000000000002</v>
      </c>
      <c r="S252" s="3" t="s">
        <v>112</v>
      </c>
      <c r="T252">
        <v>2017</v>
      </c>
      <c r="U252" t="s">
        <v>118</v>
      </c>
      <c r="V252" s="2">
        <v>-0.66666666666666696</v>
      </c>
    </row>
    <row r="253" spans="1:22" x14ac:dyDescent="0.25">
      <c r="A253" t="s">
        <v>1150</v>
      </c>
      <c r="B253" s="1">
        <v>43049</v>
      </c>
      <c r="C253" s="1">
        <v>43050</v>
      </c>
      <c r="D253" t="s">
        <v>56</v>
      </c>
      <c r="E253" t="s">
        <v>1151</v>
      </c>
      <c r="F253" t="s">
        <v>1152</v>
      </c>
      <c r="G253" t="s">
        <v>59</v>
      </c>
      <c r="H253" t="s">
        <v>27</v>
      </c>
      <c r="I253" t="s">
        <v>397</v>
      </c>
      <c r="J253" t="s">
        <v>123</v>
      </c>
      <c r="K253" t="s">
        <v>30</v>
      </c>
      <c r="L253" t="s">
        <v>1155</v>
      </c>
      <c r="M253" t="s">
        <v>32</v>
      </c>
      <c r="N253" t="s">
        <v>51</v>
      </c>
      <c r="O253" t="s">
        <v>1156</v>
      </c>
      <c r="P253">
        <v>239.952</v>
      </c>
      <c r="Q253">
        <v>6</v>
      </c>
      <c r="R253">
        <v>-35.992800000000003</v>
      </c>
      <c r="S253" s="3" t="s">
        <v>112</v>
      </c>
      <c r="T253">
        <v>2017</v>
      </c>
      <c r="U253" t="s">
        <v>118</v>
      </c>
      <c r="V253" s="2">
        <v>-0.15</v>
      </c>
    </row>
    <row r="254" spans="1:22" x14ac:dyDescent="0.25">
      <c r="A254" t="s">
        <v>1150</v>
      </c>
      <c r="B254" s="1">
        <v>43049</v>
      </c>
      <c r="C254" s="1">
        <v>43050</v>
      </c>
      <c r="D254" t="s">
        <v>56</v>
      </c>
      <c r="E254" t="s">
        <v>1151</v>
      </c>
      <c r="F254" t="s">
        <v>1152</v>
      </c>
      <c r="G254" t="s">
        <v>59</v>
      </c>
      <c r="H254" t="s">
        <v>27</v>
      </c>
      <c r="I254" t="s">
        <v>397</v>
      </c>
      <c r="J254" t="s">
        <v>123</v>
      </c>
      <c r="K254" t="s">
        <v>30</v>
      </c>
      <c r="L254" t="s">
        <v>276</v>
      </c>
      <c r="M254" t="s">
        <v>32</v>
      </c>
      <c r="N254" t="s">
        <v>33</v>
      </c>
      <c r="O254" t="s">
        <v>277</v>
      </c>
      <c r="P254">
        <v>201.584</v>
      </c>
      <c r="Q254">
        <v>2</v>
      </c>
      <c r="R254">
        <v>15.1188</v>
      </c>
      <c r="S254" s="3" t="s">
        <v>112</v>
      </c>
      <c r="T254">
        <v>2017</v>
      </c>
      <c r="U254" t="s">
        <v>118</v>
      </c>
      <c r="V254" s="2">
        <v>7.4999999999999997E-2</v>
      </c>
    </row>
    <row r="255" spans="1:22" x14ac:dyDescent="0.25">
      <c r="A255" t="s">
        <v>1157</v>
      </c>
      <c r="B255" s="1">
        <v>42801</v>
      </c>
      <c r="C255" s="1">
        <v>42806</v>
      </c>
      <c r="D255" t="s">
        <v>23</v>
      </c>
      <c r="E255" t="s">
        <v>1158</v>
      </c>
      <c r="F255" t="s">
        <v>1159</v>
      </c>
      <c r="G255" t="s">
        <v>70</v>
      </c>
      <c r="H255" t="s">
        <v>27</v>
      </c>
      <c r="I255" t="s">
        <v>1160</v>
      </c>
      <c r="J255" t="s">
        <v>1035</v>
      </c>
      <c r="K255" t="s">
        <v>95</v>
      </c>
      <c r="L255" t="s">
        <v>1161</v>
      </c>
      <c r="M255" t="s">
        <v>32</v>
      </c>
      <c r="N255" t="s">
        <v>51</v>
      </c>
      <c r="O255" t="s">
        <v>1162</v>
      </c>
      <c r="P255">
        <v>49.08</v>
      </c>
      <c r="Q255">
        <v>3</v>
      </c>
      <c r="R255">
        <v>4.9080000000000004</v>
      </c>
      <c r="S255" s="3" t="s">
        <v>35</v>
      </c>
      <c r="T255">
        <v>2017</v>
      </c>
      <c r="U255" t="s">
        <v>89</v>
      </c>
      <c r="V255" s="2">
        <v>0.1</v>
      </c>
    </row>
    <row r="256" spans="1:22" x14ac:dyDescent="0.25">
      <c r="A256" t="s">
        <v>1163</v>
      </c>
      <c r="B256" s="1">
        <v>41855</v>
      </c>
      <c r="C256" s="1">
        <v>41860</v>
      </c>
      <c r="D256" t="s">
        <v>40</v>
      </c>
      <c r="E256" t="s">
        <v>1164</v>
      </c>
      <c r="F256" t="s">
        <v>1165</v>
      </c>
      <c r="G256" t="s">
        <v>26</v>
      </c>
      <c r="H256" t="s">
        <v>27</v>
      </c>
      <c r="I256" t="s">
        <v>1166</v>
      </c>
      <c r="J256" t="s">
        <v>1167</v>
      </c>
      <c r="K256" t="s">
        <v>30</v>
      </c>
      <c r="L256" t="s">
        <v>1168</v>
      </c>
      <c r="M256" t="s">
        <v>32</v>
      </c>
      <c r="N256" t="s">
        <v>33</v>
      </c>
      <c r="O256" t="s">
        <v>1169</v>
      </c>
      <c r="P256">
        <v>399.96</v>
      </c>
      <c r="Q256">
        <v>5</v>
      </c>
      <c r="R256">
        <v>34.996499999999997</v>
      </c>
      <c r="S256" s="3" t="s">
        <v>35</v>
      </c>
      <c r="T256">
        <v>2014</v>
      </c>
      <c r="U256" t="s">
        <v>46</v>
      </c>
      <c r="V256" s="2">
        <v>8.7499999999999994E-2</v>
      </c>
    </row>
    <row r="257" spans="1:22" x14ac:dyDescent="0.25">
      <c r="A257" t="s">
        <v>1170</v>
      </c>
      <c r="B257" s="1">
        <v>42405</v>
      </c>
      <c r="C257" s="1">
        <v>42405</v>
      </c>
      <c r="D257" t="s">
        <v>677</v>
      </c>
      <c r="E257" t="s">
        <v>1171</v>
      </c>
      <c r="F257" t="s">
        <v>1172</v>
      </c>
      <c r="G257" t="s">
        <v>70</v>
      </c>
      <c r="H257" t="s">
        <v>27</v>
      </c>
      <c r="I257" t="s">
        <v>1173</v>
      </c>
      <c r="J257" t="s">
        <v>1006</v>
      </c>
      <c r="K257" t="s">
        <v>155</v>
      </c>
      <c r="L257" t="s">
        <v>186</v>
      </c>
      <c r="M257" t="s">
        <v>32</v>
      </c>
      <c r="N257" t="s">
        <v>33</v>
      </c>
      <c r="O257" t="s">
        <v>187</v>
      </c>
      <c r="P257">
        <v>104.85</v>
      </c>
      <c r="Q257">
        <v>3</v>
      </c>
      <c r="R257">
        <v>28.3095</v>
      </c>
      <c r="S257" s="3" t="s">
        <v>683</v>
      </c>
      <c r="T257">
        <v>2016</v>
      </c>
      <c r="U257" t="s">
        <v>180</v>
      </c>
      <c r="V257" s="2">
        <v>0.27</v>
      </c>
    </row>
    <row r="258" spans="1:22" x14ac:dyDescent="0.25">
      <c r="A258" t="s">
        <v>1170</v>
      </c>
      <c r="B258" s="1">
        <v>42405</v>
      </c>
      <c r="C258" s="1">
        <v>42405</v>
      </c>
      <c r="D258" t="s">
        <v>677</v>
      </c>
      <c r="E258" t="s">
        <v>1171</v>
      </c>
      <c r="F258" t="s">
        <v>1172</v>
      </c>
      <c r="G258" t="s">
        <v>70</v>
      </c>
      <c r="H258" t="s">
        <v>27</v>
      </c>
      <c r="I258" t="s">
        <v>1173</v>
      </c>
      <c r="J258" t="s">
        <v>1006</v>
      </c>
      <c r="K258" t="s">
        <v>155</v>
      </c>
      <c r="L258" t="s">
        <v>370</v>
      </c>
      <c r="M258" t="s">
        <v>32</v>
      </c>
      <c r="N258" t="s">
        <v>33</v>
      </c>
      <c r="O258" t="s">
        <v>371</v>
      </c>
      <c r="P258">
        <v>484.83</v>
      </c>
      <c r="Q258">
        <v>3</v>
      </c>
      <c r="R258">
        <v>126.0558</v>
      </c>
      <c r="S258" s="3" t="s">
        <v>683</v>
      </c>
      <c r="T258">
        <v>2016</v>
      </c>
      <c r="U258" t="s">
        <v>180</v>
      </c>
      <c r="V258" s="2">
        <v>0.26</v>
      </c>
    </row>
    <row r="259" spans="1:22" x14ac:dyDescent="0.25">
      <c r="A259" t="s">
        <v>1174</v>
      </c>
      <c r="B259" s="1">
        <v>42698</v>
      </c>
      <c r="C259" s="1">
        <v>42700</v>
      </c>
      <c r="D259" t="s">
        <v>56</v>
      </c>
      <c r="E259" t="s">
        <v>1020</v>
      </c>
      <c r="F259" t="s">
        <v>1021</v>
      </c>
      <c r="G259" t="s">
        <v>26</v>
      </c>
      <c r="H259" t="s">
        <v>27</v>
      </c>
      <c r="I259" t="s">
        <v>103</v>
      </c>
      <c r="J259" t="s">
        <v>104</v>
      </c>
      <c r="K259" t="s">
        <v>95</v>
      </c>
      <c r="L259" t="s">
        <v>239</v>
      </c>
      <c r="M259" t="s">
        <v>32</v>
      </c>
      <c r="N259" t="s">
        <v>51</v>
      </c>
      <c r="O259" t="s">
        <v>240</v>
      </c>
      <c r="P259">
        <v>88.4</v>
      </c>
      <c r="Q259">
        <v>4</v>
      </c>
      <c r="R259">
        <v>11.492000000000001</v>
      </c>
      <c r="S259" s="3" t="s">
        <v>65</v>
      </c>
      <c r="T259">
        <v>2016</v>
      </c>
      <c r="U259" t="s">
        <v>118</v>
      </c>
      <c r="V259" s="2">
        <v>0.13</v>
      </c>
    </row>
    <row r="260" spans="1:22" x14ac:dyDescent="0.25">
      <c r="A260" t="s">
        <v>1175</v>
      </c>
      <c r="B260" s="1">
        <v>42675</v>
      </c>
      <c r="C260" s="1">
        <v>42679</v>
      </c>
      <c r="D260" t="s">
        <v>23</v>
      </c>
      <c r="E260" t="s">
        <v>1176</v>
      </c>
      <c r="F260" t="s">
        <v>1177</v>
      </c>
      <c r="G260" t="s">
        <v>70</v>
      </c>
      <c r="H260" t="s">
        <v>27</v>
      </c>
      <c r="I260" t="s">
        <v>594</v>
      </c>
      <c r="J260" t="s">
        <v>693</v>
      </c>
      <c r="K260" t="s">
        <v>155</v>
      </c>
      <c r="L260" t="s">
        <v>98</v>
      </c>
      <c r="M260" t="s">
        <v>32</v>
      </c>
      <c r="N260" t="s">
        <v>33</v>
      </c>
      <c r="O260" t="s">
        <v>99</v>
      </c>
      <c r="P260">
        <v>21.8</v>
      </c>
      <c r="Q260">
        <v>2</v>
      </c>
      <c r="R260">
        <v>6.1040000000000001</v>
      </c>
      <c r="S260" s="3" t="s">
        <v>53</v>
      </c>
      <c r="T260">
        <v>2016</v>
      </c>
      <c r="U260" t="s">
        <v>118</v>
      </c>
      <c r="V260" s="2">
        <v>0.28000000000000003</v>
      </c>
    </row>
    <row r="261" spans="1:22" x14ac:dyDescent="0.25">
      <c r="A261" t="s">
        <v>1178</v>
      </c>
      <c r="B261" s="1">
        <v>41735</v>
      </c>
      <c r="C261" s="1">
        <v>41737</v>
      </c>
      <c r="D261" t="s">
        <v>56</v>
      </c>
      <c r="E261" t="s">
        <v>448</v>
      </c>
      <c r="F261" t="s">
        <v>449</v>
      </c>
      <c r="G261" t="s">
        <v>70</v>
      </c>
      <c r="H261" t="s">
        <v>27</v>
      </c>
      <c r="I261" t="s">
        <v>206</v>
      </c>
      <c r="J261" t="s">
        <v>207</v>
      </c>
      <c r="K261" t="s">
        <v>95</v>
      </c>
      <c r="L261" t="s">
        <v>223</v>
      </c>
      <c r="M261" t="s">
        <v>32</v>
      </c>
      <c r="N261" t="s">
        <v>51</v>
      </c>
      <c r="O261" t="s">
        <v>224</v>
      </c>
      <c r="P261">
        <v>116.78400000000001</v>
      </c>
      <c r="Q261">
        <v>2</v>
      </c>
      <c r="R261">
        <v>21.896999999999998</v>
      </c>
      <c r="S261" s="3" t="s">
        <v>65</v>
      </c>
      <c r="T261">
        <v>2014</v>
      </c>
      <c r="U261" t="s">
        <v>291</v>
      </c>
      <c r="V261" s="2">
        <v>0.1875</v>
      </c>
    </row>
    <row r="262" spans="1:22" x14ac:dyDescent="0.25">
      <c r="A262" t="s">
        <v>1179</v>
      </c>
      <c r="B262" s="1">
        <v>42763</v>
      </c>
      <c r="C262" s="1">
        <v>42766</v>
      </c>
      <c r="D262" t="s">
        <v>40</v>
      </c>
      <c r="E262" t="s">
        <v>1180</v>
      </c>
      <c r="F262" t="s">
        <v>1181</v>
      </c>
      <c r="G262" t="s">
        <v>70</v>
      </c>
      <c r="H262" t="s">
        <v>27</v>
      </c>
      <c r="I262" t="s">
        <v>1182</v>
      </c>
      <c r="J262" t="s">
        <v>29</v>
      </c>
      <c r="K262" t="s">
        <v>30</v>
      </c>
      <c r="L262" t="s">
        <v>1099</v>
      </c>
      <c r="M262" t="s">
        <v>32</v>
      </c>
      <c r="N262" t="s">
        <v>51</v>
      </c>
      <c r="O262" t="s">
        <v>1100</v>
      </c>
      <c r="P262">
        <v>239.97</v>
      </c>
      <c r="Q262">
        <v>3</v>
      </c>
      <c r="R262">
        <v>26.396699999999999</v>
      </c>
      <c r="S262" s="3" t="s">
        <v>172</v>
      </c>
      <c r="T262">
        <v>2017</v>
      </c>
      <c r="U262" t="s">
        <v>54</v>
      </c>
      <c r="V262" s="2">
        <v>0.11</v>
      </c>
    </row>
    <row r="263" spans="1:22" x14ac:dyDescent="0.25">
      <c r="A263" t="s">
        <v>1183</v>
      </c>
      <c r="B263" s="1">
        <v>42268</v>
      </c>
      <c r="C263" s="1">
        <v>42271</v>
      </c>
      <c r="D263" t="s">
        <v>56</v>
      </c>
      <c r="E263" t="s">
        <v>1184</v>
      </c>
      <c r="F263" t="s">
        <v>1185</v>
      </c>
      <c r="G263" t="s">
        <v>59</v>
      </c>
      <c r="H263" t="s">
        <v>27</v>
      </c>
      <c r="I263" t="s">
        <v>71</v>
      </c>
      <c r="J263" t="s">
        <v>61</v>
      </c>
      <c r="K263" t="s">
        <v>62</v>
      </c>
      <c r="L263" t="s">
        <v>1186</v>
      </c>
      <c r="M263" t="s">
        <v>32</v>
      </c>
      <c r="N263" t="s">
        <v>33</v>
      </c>
      <c r="O263" t="s">
        <v>1187</v>
      </c>
      <c r="P263">
        <v>946.34400000000005</v>
      </c>
      <c r="Q263">
        <v>7</v>
      </c>
      <c r="R263">
        <v>118.29300000000001</v>
      </c>
      <c r="S263" s="3" t="s">
        <v>172</v>
      </c>
      <c r="T263">
        <v>2015</v>
      </c>
      <c r="U263" t="s">
        <v>81</v>
      </c>
      <c r="V263" s="2">
        <v>0.125</v>
      </c>
    </row>
    <row r="264" spans="1:22" x14ac:dyDescent="0.25">
      <c r="A264" t="s">
        <v>1183</v>
      </c>
      <c r="B264" s="1">
        <v>42268</v>
      </c>
      <c r="C264" s="1">
        <v>42271</v>
      </c>
      <c r="D264" t="s">
        <v>56</v>
      </c>
      <c r="E264" t="s">
        <v>1184</v>
      </c>
      <c r="F264" t="s">
        <v>1185</v>
      </c>
      <c r="G264" t="s">
        <v>59</v>
      </c>
      <c r="H264" t="s">
        <v>27</v>
      </c>
      <c r="I264" t="s">
        <v>71</v>
      </c>
      <c r="J264" t="s">
        <v>61</v>
      </c>
      <c r="K264" t="s">
        <v>62</v>
      </c>
      <c r="L264" t="s">
        <v>883</v>
      </c>
      <c r="M264" t="s">
        <v>32</v>
      </c>
      <c r="N264" t="s">
        <v>51</v>
      </c>
      <c r="O264" t="s">
        <v>884</v>
      </c>
      <c r="P264">
        <v>151.19999999999999</v>
      </c>
      <c r="Q264">
        <v>3</v>
      </c>
      <c r="R264">
        <v>32.130000000000003</v>
      </c>
      <c r="S264" s="3" t="s">
        <v>172</v>
      </c>
      <c r="T264">
        <v>2015</v>
      </c>
      <c r="U264" t="s">
        <v>81</v>
      </c>
      <c r="V264" s="2">
        <v>0.21249999999999999</v>
      </c>
    </row>
    <row r="265" spans="1:22" x14ac:dyDescent="0.25">
      <c r="A265" t="s">
        <v>1188</v>
      </c>
      <c r="B265" s="1">
        <v>42273</v>
      </c>
      <c r="C265" s="1">
        <v>42277</v>
      </c>
      <c r="D265" t="s">
        <v>23</v>
      </c>
      <c r="E265" t="s">
        <v>1189</v>
      </c>
      <c r="F265" t="s">
        <v>1190</v>
      </c>
      <c r="G265" t="s">
        <v>59</v>
      </c>
      <c r="H265" t="s">
        <v>27</v>
      </c>
      <c r="I265" t="s">
        <v>971</v>
      </c>
      <c r="J265" t="s">
        <v>123</v>
      </c>
      <c r="K265" t="s">
        <v>30</v>
      </c>
      <c r="L265" t="s">
        <v>1191</v>
      </c>
      <c r="M265" t="s">
        <v>32</v>
      </c>
      <c r="N265" t="s">
        <v>33</v>
      </c>
      <c r="O265" t="s">
        <v>1192</v>
      </c>
      <c r="P265">
        <v>263.95999999999998</v>
      </c>
      <c r="Q265">
        <v>5</v>
      </c>
      <c r="R265">
        <v>23.096499999999999</v>
      </c>
      <c r="S265" s="3" t="s">
        <v>53</v>
      </c>
      <c r="T265">
        <v>2015</v>
      </c>
      <c r="U265" t="s">
        <v>81</v>
      </c>
      <c r="V265" s="2">
        <v>8.7499999999999994E-2</v>
      </c>
    </row>
    <row r="266" spans="1:22" x14ac:dyDescent="0.25">
      <c r="A266" t="s">
        <v>1193</v>
      </c>
      <c r="B266" s="1">
        <v>43065</v>
      </c>
      <c r="C266" s="1">
        <v>43069</v>
      </c>
      <c r="D266" t="s">
        <v>23</v>
      </c>
      <c r="E266" t="s">
        <v>1194</v>
      </c>
      <c r="F266" t="s">
        <v>1195</v>
      </c>
      <c r="G266" t="s">
        <v>26</v>
      </c>
      <c r="H266" t="s">
        <v>27</v>
      </c>
      <c r="I266" t="s">
        <v>176</v>
      </c>
      <c r="J266" t="s">
        <v>177</v>
      </c>
      <c r="K266" t="s">
        <v>95</v>
      </c>
      <c r="L266" t="s">
        <v>614</v>
      </c>
      <c r="M266" t="s">
        <v>32</v>
      </c>
      <c r="N266" t="s">
        <v>33</v>
      </c>
      <c r="O266" t="s">
        <v>615</v>
      </c>
      <c r="P266">
        <v>220.75200000000001</v>
      </c>
      <c r="Q266">
        <v>8</v>
      </c>
      <c r="R266">
        <v>-40.471200000000003</v>
      </c>
      <c r="S266" s="3" t="s">
        <v>53</v>
      </c>
      <c r="T266">
        <v>2017</v>
      </c>
      <c r="U266" t="s">
        <v>118</v>
      </c>
      <c r="V266" s="2">
        <v>-0.18333333333333299</v>
      </c>
    </row>
    <row r="267" spans="1:22" x14ac:dyDescent="0.25">
      <c r="A267" t="s">
        <v>1196</v>
      </c>
      <c r="B267" s="1">
        <v>42292</v>
      </c>
      <c r="C267" s="1">
        <v>42292</v>
      </c>
      <c r="D267" t="s">
        <v>677</v>
      </c>
      <c r="E267" t="s">
        <v>442</v>
      </c>
      <c r="F267" t="s">
        <v>443</v>
      </c>
      <c r="G267" t="s">
        <v>26</v>
      </c>
      <c r="H267" t="s">
        <v>27</v>
      </c>
      <c r="I267" t="s">
        <v>1197</v>
      </c>
      <c r="J267" t="s">
        <v>61</v>
      </c>
      <c r="K267" t="s">
        <v>62</v>
      </c>
      <c r="L267" t="s">
        <v>1198</v>
      </c>
      <c r="M267" t="s">
        <v>32</v>
      </c>
      <c r="N267" t="s">
        <v>51</v>
      </c>
      <c r="O267" t="s">
        <v>1199</v>
      </c>
      <c r="P267">
        <v>263.88</v>
      </c>
      <c r="Q267">
        <v>3</v>
      </c>
      <c r="R267">
        <v>42.880499999999998</v>
      </c>
      <c r="S267" s="3" t="s">
        <v>683</v>
      </c>
      <c r="T267">
        <v>2015</v>
      </c>
      <c r="U267" t="s">
        <v>133</v>
      </c>
      <c r="V267" s="2">
        <v>0.16250000000000001</v>
      </c>
    </row>
    <row r="268" spans="1:22" x14ac:dyDescent="0.25">
      <c r="A268" t="s">
        <v>1200</v>
      </c>
      <c r="B268" s="1">
        <v>42513</v>
      </c>
      <c r="C268" s="1">
        <v>42518</v>
      </c>
      <c r="D268" t="s">
        <v>23</v>
      </c>
      <c r="E268" t="s">
        <v>293</v>
      </c>
      <c r="F268" t="s">
        <v>294</v>
      </c>
      <c r="G268" t="s">
        <v>26</v>
      </c>
      <c r="H268" t="s">
        <v>27</v>
      </c>
      <c r="I268" t="s">
        <v>140</v>
      </c>
      <c r="J268" t="s">
        <v>78</v>
      </c>
      <c r="K268" t="s">
        <v>62</v>
      </c>
      <c r="L268" t="s">
        <v>1082</v>
      </c>
      <c r="M268" t="s">
        <v>32</v>
      </c>
      <c r="N268" t="s">
        <v>33</v>
      </c>
      <c r="O268" t="s">
        <v>1083</v>
      </c>
      <c r="P268">
        <v>1979.9280000000001</v>
      </c>
      <c r="Q268">
        <v>9</v>
      </c>
      <c r="R268">
        <v>148.49459999999999</v>
      </c>
      <c r="S268" s="3" t="s">
        <v>35</v>
      </c>
      <c r="T268">
        <v>2016</v>
      </c>
      <c r="U268" t="s">
        <v>527</v>
      </c>
      <c r="V268" s="2">
        <v>7.4999999999999997E-2</v>
      </c>
    </row>
    <row r="269" spans="1:22" x14ac:dyDescent="0.25">
      <c r="A269" t="s">
        <v>1201</v>
      </c>
      <c r="B269" s="1">
        <v>42899</v>
      </c>
      <c r="C269" s="1">
        <v>42902</v>
      </c>
      <c r="D269" t="s">
        <v>56</v>
      </c>
      <c r="E269" t="s">
        <v>448</v>
      </c>
      <c r="F269" t="s">
        <v>449</v>
      </c>
      <c r="G269" t="s">
        <v>70</v>
      </c>
      <c r="H269" t="s">
        <v>27</v>
      </c>
      <c r="I269" t="s">
        <v>140</v>
      </c>
      <c r="J269" t="s">
        <v>78</v>
      </c>
      <c r="K269" t="s">
        <v>62</v>
      </c>
      <c r="L269" t="s">
        <v>1202</v>
      </c>
      <c r="M269" t="s">
        <v>32</v>
      </c>
      <c r="N269" t="s">
        <v>33</v>
      </c>
      <c r="O269" t="s">
        <v>1203</v>
      </c>
      <c r="P269">
        <v>47.984000000000002</v>
      </c>
      <c r="Q269">
        <v>2</v>
      </c>
      <c r="R269">
        <v>5.9980000000000002</v>
      </c>
      <c r="S269" s="3" t="s">
        <v>172</v>
      </c>
      <c r="T269">
        <v>2017</v>
      </c>
      <c r="U269" t="s">
        <v>36</v>
      </c>
      <c r="V269" s="2">
        <v>0.125</v>
      </c>
    </row>
    <row r="270" spans="1:22" x14ac:dyDescent="0.25">
      <c r="A270" t="s">
        <v>1204</v>
      </c>
      <c r="B270" s="1">
        <v>42125</v>
      </c>
      <c r="C270" s="1">
        <v>42131</v>
      </c>
      <c r="D270" t="s">
        <v>23</v>
      </c>
      <c r="E270" t="s">
        <v>810</v>
      </c>
      <c r="F270" t="s">
        <v>811</v>
      </c>
      <c r="G270" t="s">
        <v>59</v>
      </c>
      <c r="H270" t="s">
        <v>27</v>
      </c>
      <c r="I270" t="s">
        <v>28</v>
      </c>
      <c r="J270" t="s">
        <v>29</v>
      </c>
      <c r="K270" t="s">
        <v>30</v>
      </c>
      <c r="L270" t="s">
        <v>1205</v>
      </c>
      <c r="M270" t="s">
        <v>32</v>
      </c>
      <c r="N270" t="s">
        <v>33</v>
      </c>
      <c r="O270" t="s">
        <v>1206</v>
      </c>
      <c r="P270">
        <v>88.751999999999995</v>
      </c>
      <c r="Q270">
        <v>3</v>
      </c>
      <c r="R270">
        <v>11.093999999999999</v>
      </c>
      <c r="S270" s="3" t="s">
        <v>107</v>
      </c>
      <c r="T270">
        <v>2015</v>
      </c>
      <c r="U270" t="s">
        <v>527</v>
      </c>
      <c r="V270" s="2">
        <v>0.125</v>
      </c>
    </row>
    <row r="271" spans="1:22" x14ac:dyDescent="0.25">
      <c r="A271" t="s">
        <v>1207</v>
      </c>
      <c r="B271" s="1">
        <v>42700</v>
      </c>
      <c r="C271" s="1">
        <v>42703</v>
      </c>
      <c r="D271" t="s">
        <v>56</v>
      </c>
      <c r="E271" t="s">
        <v>1208</v>
      </c>
      <c r="F271" t="s">
        <v>1209</v>
      </c>
      <c r="G271" t="s">
        <v>59</v>
      </c>
      <c r="H271" t="s">
        <v>27</v>
      </c>
      <c r="I271" t="s">
        <v>1210</v>
      </c>
      <c r="J271" t="s">
        <v>555</v>
      </c>
      <c r="K271" t="s">
        <v>155</v>
      </c>
      <c r="L271" t="s">
        <v>1211</v>
      </c>
      <c r="M271" t="s">
        <v>32</v>
      </c>
      <c r="N271" t="s">
        <v>215</v>
      </c>
      <c r="O271" t="s">
        <v>1212</v>
      </c>
      <c r="P271">
        <v>3040</v>
      </c>
      <c r="Q271">
        <v>8</v>
      </c>
      <c r="R271">
        <v>1459.2</v>
      </c>
      <c r="S271" s="3" t="s">
        <v>172</v>
      </c>
      <c r="T271">
        <v>2016</v>
      </c>
      <c r="U271" t="s">
        <v>118</v>
      </c>
      <c r="V271" s="2">
        <v>0.48</v>
      </c>
    </row>
    <row r="272" spans="1:22" x14ac:dyDescent="0.25">
      <c r="A272" t="s">
        <v>1213</v>
      </c>
      <c r="B272" s="1">
        <v>42608</v>
      </c>
      <c r="C272" s="1">
        <v>42610</v>
      </c>
      <c r="D272" t="s">
        <v>56</v>
      </c>
      <c r="E272" t="s">
        <v>75</v>
      </c>
      <c r="F272" t="s">
        <v>76</v>
      </c>
      <c r="G272" t="s">
        <v>59</v>
      </c>
      <c r="H272" t="s">
        <v>27</v>
      </c>
      <c r="I272" t="s">
        <v>911</v>
      </c>
      <c r="J272" t="s">
        <v>61</v>
      </c>
      <c r="K272" t="s">
        <v>62</v>
      </c>
      <c r="L272" t="s">
        <v>482</v>
      </c>
      <c r="M272" t="s">
        <v>32</v>
      </c>
      <c r="N272" t="s">
        <v>51</v>
      </c>
      <c r="O272" t="s">
        <v>483</v>
      </c>
      <c r="P272">
        <v>159.98400000000001</v>
      </c>
      <c r="Q272">
        <v>2</v>
      </c>
      <c r="R272">
        <v>43.995600000000003</v>
      </c>
      <c r="S272" s="3" t="s">
        <v>65</v>
      </c>
      <c r="T272">
        <v>2016</v>
      </c>
      <c r="U272" t="s">
        <v>46</v>
      </c>
      <c r="V272" s="2">
        <v>0.27500000000000002</v>
      </c>
    </row>
    <row r="273" spans="1:22" x14ac:dyDescent="0.25">
      <c r="A273" t="s">
        <v>1214</v>
      </c>
      <c r="B273" s="1">
        <v>41859</v>
      </c>
      <c r="C273" s="1">
        <v>41865</v>
      </c>
      <c r="D273" t="s">
        <v>23</v>
      </c>
      <c r="E273" t="s">
        <v>1215</v>
      </c>
      <c r="F273" t="s">
        <v>1216</v>
      </c>
      <c r="G273" t="s">
        <v>26</v>
      </c>
      <c r="H273" t="s">
        <v>27</v>
      </c>
      <c r="I273" t="s">
        <v>1217</v>
      </c>
      <c r="J273" t="s">
        <v>123</v>
      </c>
      <c r="K273" t="s">
        <v>30</v>
      </c>
      <c r="L273" t="s">
        <v>141</v>
      </c>
      <c r="M273" t="s">
        <v>32</v>
      </c>
      <c r="N273" t="s">
        <v>51</v>
      </c>
      <c r="O273" t="s">
        <v>142</v>
      </c>
      <c r="P273">
        <v>95.975999999999999</v>
      </c>
      <c r="Q273">
        <v>3</v>
      </c>
      <c r="R273">
        <v>-10.7973</v>
      </c>
      <c r="S273" s="3" t="s">
        <v>107</v>
      </c>
      <c r="T273">
        <v>2014</v>
      </c>
      <c r="U273" t="s">
        <v>46</v>
      </c>
      <c r="V273" s="2">
        <v>-0.1125</v>
      </c>
    </row>
    <row r="274" spans="1:22" x14ac:dyDescent="0.25">
      <c r="A274" t="s">
        <v>1218</v>
      </c>
      <c r="B274" s="1">
        <v>42140</v>
      </c>
      <c r="C274" s="1">
        <v>42140</v>
      </c>
      <c r="D274" t="s">
        <v>677</v>
      </c>
      <c r="E274" t="s">
        <v>849</v>
      </c>
      <c r="F274" t="s">
        <v>850</v>
      </c>
      <c r="G274" t="s">
        <v>70</v>
      </c>
      <c r="H274" t="s">
        <v>27</v>
      </c>
      <c r="I274" t="s">
        <v>460</v>
      </c>
      <c r="J274" t="s">
        <v>288</v>
      </c>
      <c r="K274" t="s">
        <v>155</v>
      </c>
      <c r="L274" t="s">
        <v>795</v>
      </c>
      <c r="M274" t="s">
        <v>32</v>
      </c>
      <c r="N274" t="s">
        <v>51</v>
      </c>
      <c r="O274" t="s">
        <v>796</v>
      </c>
      <c r="P274">
        <v>255.96799999999999</v>
      </c>
      <c r="Q274">
        <v>4</v>
      </c>
      <c r="R274">
        <v>31.995999999999999</v>
      </c>
      <c r="S274" s="3" t="s">
        <v>683</v>
      </c>
      <c r="T274">
        <v>2015</v>
      </c>
      <c r="U274" t="s">
        <v>527</v>
      </c>
      <c r="V274" s="2">
        <v>0.125</v>
      </c>
    </row>
    <row r="275" spans="1:22" x14ac:dyDescent="0.25">
      <c r="A275" t="s">
        <v>1219</v>
      </c>
      <c r="B275" s="1">
        <v>43058</v>
      </c>
      <c r="C275" s="1">
        <v>43059</v>
      </c>
      <c r="D275" t="s">
        <v>56</v>
      </c>
      <c r="E275" t="s">
        <v>1220</v>
      </c>
      <c r="F275" t="s">
        <v>1221</v>
      </c>
      <c r="G275" t="s">
        <v>26</v>
      </c>
      <c r="H275" t="s">
        <v>27</v>
      </c>
      <c r="I275" t="s">
        <v>1222</v>
      </c>
      <c r="J275" t="s">
        <v>29</v>
      </c>
      <c r="K275" t="s">
        <v>30</v>
      </c>
      <c r="L275" t="s">
        <v>518</v>
      </c>
      <c r="M275" t="s">
        <v>32</v>
      </c>
      <c r="N275" t="s">
        <v>33</v>
      </c>
      <c r="O275" t="s">
        <v>519</v>
      </c>
      <c r="P275">
        <v>31.968</v>
      </c>
      <c r="Q275">
        <v>4</v>
      </c>
      <c r="R275">
        <v>2.3976000000000002</v>
      </c>
      <c r="S275" s="3" t="s">
        <v>112</v>
      </c>
      <c r="T275">
        <v>2017</v>
      </c>
      <c r="U275" t="s">
        <v>118</v>
      </c>
      <c r="V275" s="2">
        <v>7.4999999999999997E-2</v>
      </c>
    </row>
    <row r="276" spans="1:22" x14ac:dyDescent="0.25">
      <c r="A276" t="s">
        <v>1223</v>
      </c>
      <c r="B276" s="1">
        <v>42657</v>
      </c>
      <c r="C276" s="1">
        <v>42661</v>
      </c>
      <c r="D276" t="s">
        <v>23</v>
      </c>
      <c r="E276" t="s">
        <v>1224</v>
      </c>
      <c r="F276" t="s">
        <v>1225</v>
      </c>
      <c r="G276" t="s">
        <v>59</v>
      </c>
      <c r="H276" t="s">
        <v>27</v>
      </c>
      <c r="I276" t="s">
        <v>481</v>
      </c>
      <c r="J276" t="s">
        <v>426</v>
      </c>
      <c r="K276" t="s">
        <v>30</v>
      </c>
      <c r="L276" t="s">
        <v>1226</v>
      </c>
      <c r="M276" t="s">
        <v>32</v>
      </c>
      <c r="N276" t="s">
        <v>51</v>
      </c>
      <c r="O276" t="s">
        <v>1227</v>
      </c>
      <c r="P276">
        <v>177</v>
      </c>
      <c r="Q276">
        <v>3</v>
      </c>
      <c r="R276">
        <v>30.09</v>
      </c>
      <c r="S276" s="3" t="s">
        <v>53</v>
      </c>
      <c r="T276">
        <v>2016</v>
      </c>
      <c r="U276" t="s">
        <v>133</v>
      </c>
      <c r="V276" s="2">
        <v>0.17</v>
      </c>
    </row>
    <row r="277" spans="1:22" x14ac:dyDescent="0.25">
      <c r="A277" t="s">
        <v>1228</v>
      </c>
      <c r="B277" s="1">
        <v>42311</v>
      </c>
      <c r="C277" s="1">
        <v>42315</v>
      </c>
      <c r="D277" t="s">
        <v>23</v>
      </c>
      <c r="E277" t="s">
        <v>1229</v>
      </c>
      <c r="F277" t="s">
        <v>1230</v>
      </c>
      <c r="G277" t="s">
        <v>70</v>
      </c>
      <c r="H277" t="s">
        <v>27</v>
      </c>
      <c r="I277" t="s">
        <v>28</v>
      </c>
      <c r="J277" t="s">
        <v>29</v>
      </c>
      <c r="K277" t="s">
        <v>30</v>
      </c>
      <c r="L277" t="s">
        <v>1231</v>
      </c>
      <c r="M277" t="s">
        <v>32</v>
      </c>
      <c r="N277" t="s">
        <v>33</v>
      </c>
      <c r="O277" t="s">
        <v>1232</v>
      </c>
      <c r="P277">
        <v>1212.848</v>
      </c>
      <c r="Q277">
        <v>7</v>
      </c>
      <c r="R277">
        <v>106.1242</v>
      </c>
      <c r="S277" s="3" t="s">
        <v>53</v>
      </c>
      <c r="T277">
        <v>2015</v>
      </c>
      <c r="U277" t="s">
        <v>118</v>
      </c>
      <c r="V277" s="2">
        <v>8.7499999999999994E-2</v>
      </c>
    </row>
    <row r="278" spans="1:22" x14ac:dyDescent="0.25">
      <c r="A278" t="s">
        <v>1228</v>
      </c>
      <c r="B278" s="1">
        <v>42311</v>
      </c>
      <c r="C278" s="1">
        <v>42315</v>
      </c>
      <c r="D278" t="s">
        <v>23</v>
      </c>
      <c r="E278" t="s">
        <v>1229</v>
      </c>
      <c r="F278" t="s">
        <v>1230</v>
      </c>
      <c r="G278" t="s">
        <v>70</v>
      </c>
      <c r="H278" t="s">
        <v>27</v>
      </c>
      <c r="I278" t="s">
        <v>28</v>
      </c>
      <c r="J278" t="s">
        <v>29</v>
      </c>
      <c r="K278" t="s">
        <v>30</v>
      </c>
      <c r="L278" t="s">
        <v>1233</v>
      </c>
      <c r="M278" t="s">
        <v>32</v>
      </c>
      <c r="N278" t="s">
        <v>51</v>
      </c>
      <c r="O278" t="s">
        <v>1234</v>
      </c>
      <c r="P278">
        <v>89.97</v>
      </c>
      <c r="Q278">
        <v>3</v>
      </c>
      <c r="R278">
        <v>37.787399999999998</v>
      </c>
      <c r="S278" s="3" t="s">
        <v>53</v>
      </c>
      <c r="T278">
        <v>2015</v>
      </c>
      <c r="U278" t="s">
        <v>118</v>
      </c>
      <c r="V278" s="2">
        <v>0.42</v>
      </c>
    </row>
    <row r="279" spans="1:22" x14ac:dyDescent="0.25">
      <c r="A279" t="s">
        <v>1235</v>
      </c>
      <c r="B279" s="1">
        <v>42698</v>
      </c>
      <c r="C279" s="1">
        <v>42705</v>
      </c>
      <c r="D279" t="s">
        <v>23</v>
      </c>
      <c r="E279" t="s">
        <v>1236</v>
      </c>
      <c r="F279" t="s">
        <v>1237</v>
      </c>
      <c r="G279" t="s">
        <v>70</v>
      </c>
      <c r="H279" t="s">
        <v>27</v>
      </c>
      <c r="I279" t="s">
        <v>28</v>
      </c>
      <c r="J279" t="s">
        <v>29</v>
      </c>
      <c r="K279" t="s">
        <v>30</v>
      </c>
      <c r="L279" t="s">
        <v>1238</v>
      </c>
      <c r="M279" t="s">
        <v>32</v>
      </c>
      <c r="N279" t="s">
        <v>33</v>
      </c>
      <c r="O279" t="s">
        <v>1239</v>
      </c>
      <c r="P279">
        <v>33.520000000000003</v>
      </c>
      <c r="Q279">
        <v>2</v>
      </c>
      <c r="R279">
        <v>3.3519999999999999</v>
      </c>
      <c r="S279" s="3" t="s">
        <v>132</v>
      </c>
      <c r="T279">
        <v>2016</v>
      </c>
      <c r="U279" t="s">
        <v>118</v>
      </c>
      <c r="V279" s="2">
        <v>0.1</v>
      </c>
    </row>
    <row r="280" spans="1:22" x14ac:dyDescent="0.25">
      <c r="A280" t="s">
        <v>1240</v>
      </c>
      <c r="B280" s="1">
        <v>42630</v>
      </c>
      <c r="C280" s="1">
        <v>42636</v>
      </c>
      <c r="D280" t="s">
        <v>23</v>
      </c>
      <c r="E280" t="s">
        <v>1241</v>
      </c>
      <c r="F280" t="s">
        <v>1242</v>
      </c>
      <c r="G280" t="s">
        <v>26</v>
      </c>
      <c r="H280" t="s">
        <v>27</v>
      </c>
      <c r="I280" t="s">
        <v>176</v>
      </c>
      <c r="J280" t="s">
        <v>1006</v>
      </c>
      <c r="K280" t="s">
        <v>155</v>
      </c>
      <c r="L280" t="s">
        <v>1243</v>
      </c>
      <c r="M280" t="s">
        <v>32</v>
      </c>
      <c r="N280" t="s">
        <v>215</v>
      </c>
      <c r="O280" t="s">
        <v>1244</v>
      </c>
      <c r="P280">
        <v>396</v>
      </c>
      <c r="Q280">
        <v>4</v>
      </c>
      <c r="R280">
        <v>190.08</v>
      </c>
      <c r="S280" s="3" t="s">
        <v>107</v>
      </c>
      <c r="T280">
        <v>2016</v>
      </c>
      <c r="U280" t="s">
        <v>81</v>
      </c>
      <c r="V280" s="2">
        <v>0.48</v>
      </c>
    </row>
    <row r="281" spans="1:22" x14ac:dyDescent="0.25">
      <c r="A281" t="s">
        <v>1245</v>
      </c>
      <c r="B281" s="1">
        <v>42993</v>
      </c>
      <c r="C281" s="1">
        <v>42995</v>
      </c>
      <c r="D281" t="s">
        <v>40</v>
      </c>
      <c r="E281" t="s">
        <v>1246</v>
      </c>
      <c r="F281" t="s">
        <v>1247</v>
      </c>
      <c r="G281" t="s">
        <v>26</v>
      </c>
      <c r="H281" t="s">
        <v>27</v>
      </c>
      <c r="I281" t="s">
        <v>1248</v>
      </c>
      <c r="J281" t="s">
        <v>1249</v>
      </c>
      <c r="K281" t="s">
        <v>95</v>
      </c>
      <c r="L281" t="s">
        <v>1065</v>
      </c>
      <c r="M281" t="s">
        <v>32</v>
      </c>
      <c r="N281" t="s">
        <v>33</v>
      </c>
      <c r="O281" t="s">
        <v>1066</v>
      </c>
      <c r="P281">
        <v>39.99</v>
      </c>
      <c r="Q281">
        <v>1</v>
      </c>
      <c r="R281">
        <v>11.597099999999999</v>
      </c>
      <c r="S281" s="3" t="s">
        <v>65</v>
      </c>
      <c r="T281">
        <v>2017</v>
      </c>
      <c r="U281" t="s">
        <v>81</v>
      </c>
      <c r="V281" s="2">
        <v>0.28999999999999998</v>
      </c>
    </row>
    <row r="282" spans="1:22" x14ac:dyDescent="0.25">
      <c r="A282" t="s">
        <v>1250</v>
      </c>
      <c r="B282" s="1">
        <v>41826</v>
      </c>
      <c r="C282" s="1">
        <v>41828</v>
      </c>
      <c r="D282" t="s">
        <v>56</v>
      </c>
      <c r="E282" t="s">
        <v>1251</v>
      </c>
      <c r="F282" t="s">
        <v>1252</v>
      </c>
      <c r="G282" t="s">
        <v>26</v>
      </c>
      <c r="H282" t="s">
        <v>27</v>
      </c>
      <c r="I282" t="s">
        <v>103</v>
      </c>
      <c r="J282" t="s">
        <v>104</v>
      </c>
      <c r="K282" t="s">
        <v>95</v>
      </c>
      <c r="L282" t="s">
        <v>1072</v>
      </c>
      <c r="M282" t="s">
        <v>32</v>
      </c>
      <c r="N282" t="s">
        <v>381</v>
      </c>
      <c r="O282" t="s">
        <v>1073</v>
      </c>
      <c r="P282">
        <v>559.99199999999996</v>
      </c>
      <c r="Q282">
        <v>1</v>
      </c>
      <c r="R282">
        <v>174.9975</v>
      </c>
      <c r="S282" s="3" t="s">
        <v>65</v>
      </c>
      <c r="T282">
        <v>2014</v>
      </c>
      <c r="U282" t="s">
        <v>332</v>
      </c>
      <c r="V282" s="2">
        <v>0.3125</v>
      </c>
    </row>
    <row r="283" spans="1:22" x14ac:dyDescent="0.25">
      <c r="A283" t="s">
        <v>1253</v>
      </c>
      <c r="B283" s="1">
        <v>42982</v>
      </c>
      <c r="C283" s="1">
        <v>42986</v>
      </c>
      <c r="D283" t="s">
        <v>23</v>
      </c>
      <c r="E283" t="s">
        <v>1254</v>
      </c>
      <c r="F283" t="s">
        <v>1255</v>
      </c>
      <c r="G283" t="s">
        <v>26</v>
      </c>
      <c r="H283" t="s">
        <v>27</v>
      </c>
      <c r="I283" t="s">
        <v>1256</v>
      </c>
      <c r="J283" t="s">
        <v>104</v>
      </c>
      <c r="K283" t="s">
        <v>95</v>
      </c>
      <c r="L283" t="s">
        <v>87</v>
      </c>
      <c r="M283" t="s">
        <v>32</v>
      </c>
      <c r="N283" t="s">
        <v>51</v>
      </c>
      <c r="O283" t="s">
        <v>88</v>
      </c>
      <c r="P283">
        <v>91.96</v>
      </c>
      <c r="Q283">
        <v>4</v>
      </c>
      <c r="R283">
        <v>39.5428</v>
      </c>
      <c r="S283" s="3" t="s">
        <v>53</v>
      </c>
      <c r="T283">
        <v>2017</v>
      </c>
      <c r="U283" t="s">
        <v>81</v>
      </c>
      <c r="V283" s="2">
        <v>0.43</v>
      </c>
    </row>
    <row r="284" spans="1:22" x14ac:dyDescent="0.25">
      <c r="A284" t="s">
        <v>1257</v>
      </c>
      <c r="B284" s="1">
        <v>42082</v>
      </c>
      <c r="C284" s="1">
        <v>42088</v>
      </c>
      <c r="D284" t="s">
        <v>23</v>
      </c>
      <c r="E284" t="s">
        <v>1258</v>
      </c>
      <c r="F284" t="s">
        <v>1259</v>
      </c>
      <c r="G284" t="s">
        <v>70</v>
      </c>
      <c r="H284" t="s">
        <v>27</v>
      </c>
      <c r="I284" t="s">
        <v>481</v>
      </c>
      <c r="J284" t="s">
        <v>426</v>
      </c>
      <c r="K284" t="s">
        <v>30</v>
      </c>
      <c r="L284" t="s">
        <v>1041</v>
      </c>
      <c r="M284" t="s">
        <v>32</v>
      </c>
      <c r="N284" t="s">
        <v>33</v>
      </c>
      <c r="O284" t="s">
        <v>1042</v>
      </c>
      <c r="P284">
        <v>453.57600000000002</v>
      </c>
      <c r="Q284">
        <v>3</v>
      </c>
      <c r="R284">
        <v>39.687899999999999</v>
      </c>
      <c r="S284" s="3" t="s">
        <v>107</v>
      </c>
      <c r="T284">
        <v>2015</v>
      </c>
      <c r="U284" t="s">
        <v>89</v>
      </c>
      <c r="V284" s="2">
        <v>8.7499999999999994E-2</v>
      </c>
    </row>
    <row r="285" spans="1:22" x14ac:dyDescent="0.25">
      <c r="A285" t="s">
        <v>1260</v>
      </c>
      <c r="B285" s="1">
        <v>42337</v>
      </c>
      <c r="C285" s="1">
        <v>42338</v>
      </c>
      <c r="D285" t="s">
        <v>56</v>
      </c>
      <c r="E285" t="s">
        <v>1261</v>
      </c>
      <c r="F285" t="s">
        <v>1262</v>
      </c>
      <c r="G285" t="s">
        <v>26</v>
      </c>
      <c r="H285" t="s">
        <v>27</v>
      </c>
      <c r="I285" t="s">
        <v>1263</v>
      </c>
      <c r="J285" t="s">
        <v>61</v>
      </c>
      <c r="K285" t="s">
        <v>62</v>
      </c>
      <c r="L285" t="s">
        <v>1264</v>
      </c>
      <c r="M285" t="s">
        <v>32</v>
      </c>
      <c r="N285" t="s">
        <v>51</v>
      </c>
      <c r="O285" t="s">
        <v>1265</v>
      </c>
      <c r="P285">
        <v>21.48</v>
      </c>
      <c r="Q285">
        <v>3</v>
      </c>
      <c r="R285">
        <v>-0.26850000000000002</v>
      </c>
      <c r="S285" s="3" t="s">
        <v>112</v>
      </c>
      <c r="T285">
        <v>2015</v>
      </c>
      <c r="U285" t="s">
        <v>118</v>
      </c>
      <c r="V285" s="2">
        <v>-1.2500000000000001E-2</v>
      </c>
    </row>
    <row r="286" spans="1:22" x14ac:dyDescent="0.25">
      <c r="A286" t="s">
        <v>1266</v>
      </c>
      <c r="B286" s="1">
        <v>41966</v>
      </c>
      <c r="C286" s="1">
        <v>41968</v>
      </c>
      <c r="D286" t="s">
        <v>56</v>
      </c>
      <c r="E286" t="s">
        <v>1267</v>
      </c>
      <c r="F286" t="s">
        <v>1268</v>
      </c>
      <c r="G286" t="s">
        <v>26</v>
      </c>
      <c r="H286" t="s">
        <v>27</v>
      </c>
      <c r="I286" t="s">
        <v>28</v>
      </c>
      <c r="J286" t="s">
        <v>29</v>
      </c>
      <c r="K286" t="s">
        <v>30</v>
      </c>
      <c r="L286" t="s">
        <v>1269</v>
      </c>
      <c r="M286" t="s">
        <v>32</v>
      </c>
      <c r="N286" t="s">
        <v>51</v>
      </c>
      <c r="O286" t="s">
        <v>1270</v>
      </c>
      <c r="P286">
        <v>29.99</v>
      </c>
      <c r="Q286">
        <v>1</v>
      </c>
      <c r="R286">
        <v>6.2979000000000003</v>
      </c>
      <c r="S286" s="3" t="s">
        <v>65</v>
      </c>
      <c r="T286">
        <v>2014</v>
      </c>
      <c r="U286" t="s">
        <v>118</v>
      </c>
      <c r="V286" s="2">
        <v>0.21</v>
      </c>
    </row>
    <row r="287" spans="1:22" x14ac:dyDescent="0.25">
      <c r="A287" t="s">
        <v>1271</v>
      </c>
      <c r="B287" s="1">
        <v>41988</v>
      </c>
      <c r="C287" s="1">
        <v>41991</v>
      </c>
      <c r="D287" t="s">
        <v>56</v>
      </c>
      <c r="E287" t="s">
        <v>1272</v>
      </c>
      <c r="F287" t="s">
        <v>1273</v>
      </c>
      <c r="G287" t="s">
        <v>26</v>
      </c>
      <c r="H287" t="s">
        <v>27</v>
      </c>
      <c r="I287" t="s">
        <v>1274</v>
      </c>
      <c r="J287" t="s">
        <v>61</v>
      </c>
      <c r="K287" t="s">
        <v>62</v>
      </c>
      <c r="L287" t="s">
        <v>1275</v>
      </c>
      <c r="M287" t="s">
        <v>32</v>
      </c>
      <c r="N287" t="s">
        <v>33</v>
      </c>
      <c r="O287" t="s">
        <v>1276</v>
      </c>
      <c r="P287">
        <v>40.68</v>
      </c>
      <c r="Q287">
        <v>3</v>
      </c>
      <c r="R287">
        <v>-9.1530000000000005</v>
      </c>
      <c r="S287" s="3" t="s">
        <v>172</v>
      </c>
      <c r="T287">
        <v>2014</v>
      </c>
      <c r="U287" t="s">
        <v>66</v>
      </c>
      <c r="V287" s="2">
        <v>-0.22500000000000001</v>
      </c>
    </row>
    <row r="288" spans="1:22" x14ac:dyDescent="0.25">
      <c r="A288" t="s">
        <v>1277</v>
      </c>
      <c r="B288" s="1">
        <v>42225</v>
      </c>
      <c r="C288" s="1">
        <v>42228</v>
      </c>
      <c r="D288" t="s">
        <v>56</v>
      </c>
      <c r="E288" t="s">
        <v>690</v>
      </c>
      <c r="F288" t="s">
        <v>691</v>
      </c>
      <c r="G288" t="s">
        <v>26</v>
      </c>
      <c r="H288" t="s">
        <v>27</v>
      </c>
      <c r="I288" t="s">
        <v>103</v>
      </c>
      <c r="J288" t="s">
        <v>104</v>
      </c>
      <c r="K288" t="s">
        <v>95</v>
      </c>
      <c r="L288" t="s">
        <v>427</v>
      </c>
      <c r="M288" t="s">
        <v>32</v>
      </c>
      <c r="N288" t="s">
        <v>33</v>
      </c>
      <c r="O288" t="s">
        <v>428</v>
      </c>
      <c r="P288">
        <v>307.98</v>
      </c>
      <c r="Q288">
        <v>2</v>
      </c>
      <c r="R288">
        <v>89.3142</v>
      </c>
      <c r="S288" s="3" t="s">
        <v>172</v>
      </c>
      <c r="T288">
        <v>2015</v>
      </c>
      <c r="U288" t="s">
        <v>46</v>
      </c>
      <c r="V288" s="2">
        <v>0.28999999999999998</v>
      </c>
    </row>
    <row r="289" spans="1:22" x14ac:dyDescent="0.25">
      <c r="A289" t="s">
        <v>1277</v>
      </c>
      <c r="B289" s="1">
        <v>42225</v>
      </c>
      <c r="C289" s="1">
        <v>42228</v>
      </c>
      <c r="D289" t="s">
        <v>56</v>
      </c>
      <c r="E289" t="s">
        <v>690</v>
      </c>
      <c r="F289" t="s">
        <v>691</v>
      </c>
      <c r="G289" t="s">
        <v>26</v>
      </c>
      <c r="H289" t="s">
        <v>27</v>
      </c>
      <c r="I289" t="s">
        <v>103</v>
      </c>
      <c r="J289" t="s">
        <v>104</v>
      </c>
      <c r="K289" t="s">
        <v>95</v>
      </c>
      <c r="L289" t="s">
        <v>556</v>
      </c>
      <c r="M289" t="s">
        <v>32</v>
      </c>
      <c r="N289" t="s">
        <v>33</v>
      </c>
      <c r="O289" t="s">
        <v>557</v>
      </c>
      <c r="P289">
        <v>979.95</v>
      </c>
      <c r="Q289">
        <v>5</v>
      </c>
      <c r="R289">
        <v>274.38600000000002</v>
      </c>
      <c r="S289" s="3" t="s">
        <v>172</v>
      </c>
      <c r="T289">
        <v>2015</v>
      </c>
      <c r="U289" t="s">
        <v>46</v>
      </c>
      <c r="V289" s="2">
        <v>0.28000000000000003</v>
      </c>
    </row>
    <row r="290" spans="1:22" x14ac:dyDescent="0.25">
      <c r="A290" t="s">
        <v>1277</v>
      </c>
      <c r="B290" s="1">
        <v>42225</v>
      </c>
      <c r="C290" s="1">
        <v>42228</v>
      </c>
      <c r="D290" t="s">
        <v>56</v>
      </c>
      <c r="E290" t="s">
        <v>690</v>
      </c>
      <c r="F290" t="s">
        <v>691</v>
      </c>
      <c r="G290" t="s">
        <v>26</v>
      </c>
      <c r="H290" t="s">
        <v>27</v>
      </c>
      <c r="I290" t="s">
        <v>103</v>
      </c>
      <c r="J290" t="s">
        <v>104</v>
      </c>
      <c r="K290" t="s">
        <v>95</v>
      </c>
      <c r="L290" t="s">
        <v>461</v>
      </c>
      <c r="M290" t="s">
        <v>32</v>
      </c>
      <c r="N290" t="s">
        <v>51</v>
      </c>
      <c r="O290" t="s">
        <v>462</v>
      </c>
      <c r="P290">
        <v>247.8</v>
      </c>
      <c r="Q290">
        <v>4</v>
      </c>
      <c r="R290">
        <v>34.692</v>
      </c>
      <c r="S290" s="3" t="s">
        <v>172</v>
      </c>
      <c r="T290">
        <v>2015</v>
      </c>
      <c r="U290" t="s">
        <v>46</v>
      </c>
      <c r="V290" s="2">
        <v>0.14000000000000001</v>
      </c>
    </row>
    <row r="291" spans="1:22" x14ac:dyDescent="0.25">
      <c r="A291" t="s">
        <v>1278</v>
      </c>
      <c r="B291" s="1">
        <v>42178</v>
      </c>
      <c r="C291" s="1">
        <v>42180</v>
      </c>
      <c r="D291" t="s">
        <v>40</v>
      </c>
      <c r="E291" t="s">
        <v>1279</v>
      </c>
      <c r="F291" t="s">
        <v>1280</v>
      </c>
      <c r="G291" t="s">
        <v>26</v>
      </c>
      <c r="H291" t="s">
        <v>27</v>
      </c>
      <c r="I291" t="s">
        <v>1281</v>
      </c>
      <c r="J291" t="s">
        <v>426</v>
      </c>
      <c r="K291" t="s">
        <v>30</v>
      </c>
      <c r="L291" t="s">
        <v>1282</v>
      </c>
      <c r="M291" t="s">
        <v>32</v>
      </c>
      <c r="N291" t="s">
        <v>33</v>
      </c>
      <c r="O291" t="s">
        <v>1283</v>
      </c>
      <c r="P291">
        <v>201.56800000000001</v>
      </c>
      <c r="Q291">
        <v>4</v>
      </c>
      <c r="R291">
        <v>22.676400000000001</v>
      </c>
      <c r="S291" s="3" t="s">
        <v>65</v>
      </c>
      <c r="T291">
        <v>2015</v>
      </c>
      <c r="U291" t="s">
        <v>36</v>
      </c>
      <c r="V291" s="2">
        <v>0.1125</v>
      </c>
    </row>
    <row r="292" spans="1:22" x14ac:dyDescent="0.25">
      <c r="A292" t="s">
        <v>1284</v>
      </c>
      <c r="B292" s="1">
        <v>42479</v>
      </c>
      <c r="C292" s="1">
        <v>42484</v>
      </c>
      <c r="D292" t="s">
        <v>40</v>
      </c>
      <c r="E292" t="s">
        <v>1285</v>
      </c>
      <c r="F292" t="s">
        <v>1286</v>
      </c>
      <c r="G292" t="s">
        <v>26</v>
      </c>
      <c r="H292" t="s">
        <v>27</v>
      </c>
      <c r="I292" t="s">
        <v>28</v>
      </c>
      <c r="J292" t="s">
        <v>29</v>
      </c>
      <c r="K292" t="s">
        <v>30</v>
      </c>
      <c r="L292" t="s">
        <v>1030</v>
      </c>
      <c r="M292" t="s">
        <v>32</v>
      </c>
      <c r="N292" t="s">
        <v>33</v>
      </c>
      <c r="O292" t="s">
        <v>1031</v>
      </c>
      <c r="P292">
        <v>39.96</v>
      </c>
      <c r="Q292">
        <v>5</v>
      </c>
      <c r="R292">
        <v>12.987</v>
      </c>
      <c r="S292" s="3" t="s">
        <v>35</v>
      </c>
      <c r="T292">
        <v>2016</v>
      </c>
      <c r="U292" t="s">
        <v>291</v>
      </c>
      <c r="V292" s="2">
        <v>0.32500000000000001</v>
      </c>
    </row>
    <row r="293" spans="1:22" x14ac:dyDescent="0.25">
      <c r="A293" t="s">
        <v>1287</v>
      </c>
      <c r="B293" s="1">
        <v>41785</v>
      </c>
      <c r="C293" s="1">
        <v>41789</v>
      </c>
      <c r="D293" t="s">
        <v>23</v>
      </c>
      <c r="E293" t="s">
        <v>1288</v>
      </c>
      <c r="F293" t="s">
        <v>1289</v>
      </c>
      <c r="G293" t="s">
        <v>59</v>
      </c>
      <c r="H293" t="s">
        <v>27</v>
      </c>
      <c r="I293" t="s">
        <v>28</v>
      </c>
      <c r="J293" t="s">
        <v>29</v>
      </c>
      <c r="K293" t="s">
        <v>30</v>
      </c>
      <c r="L293" t="s">
        <v>1290</v>
      </c>
      <c r="M293" t="s">
        <v>32</v>
      </c>
      <c r="N293" t="s">
        <v>33</v>
      </c>
      <c r="O293" t="s">
        <v>1291</v>
      </c>
      <c r="P293">
        <v>201.584</v>
      </c>
      <c r="Q293">
        <v>2</v>
      </c>
      <c r="R293">
        <v>20.1584</v>
      </c>
      <c r="S293" s="3" t="s">
        <v>53</v>
      </c>
      <c r="T293">
        <v>2014</v>
      </c>
      <c r="U293" t="s">
        <v>527</v>
      </c>
      <c r="V293" s="2">
        <v>0.1</v>
      </c>
    </row>
    <row r="294" spans="1:22" x14ac:dyDescent="0.25">
      <c r="A294" t="s">
        <v>1287</v>
      </c>
      <c r="B294" s="1">
        <v>41785</v>
      </c>
      <c r="C294" s="1">
        <v>41789</v>
      </c>
      <c r="D294" t="s">
        <v>23</v>
      </c>
      <c r="E294" t="s">
        <v>1288</v>
      </c>
      <c r="F294" t="s">
        <v>1289</v>
      </c>
      <c r="G294" t="s">
        <v>59</v>
      </c>
      <c r="H294" t="s">
        <v>27</v>
      </c>
      <c r="I294" t="s">
        <v>28</v>
      </c>
      <c r="J294" t="s">
        <v>29</v>
      </c>
      <c r="K294" t="s">
        <v>30</v>
      </c>
      <c r="L294" t="s">
        <v>124</v>
      </c>
      <c r="M294" t="s">
        <v>32</v>
      </c>
      <c r="N294" t="s">
        <v>33</v>
      </c>
      <c r="O294" t="s">
        <v>125</v>
      </c>
      <c r="P294">
        <v>83.983999999999995</v>
      </c>
      <c r="Q294">
        <v>2</v>
      </c>
      <c r="R294">
        <v>31.494</v>
      </c>
      <c r="S294" s="3" t="s">
        <v>53</v>
      </c>
      <c r="T294">
        <v>2014</v>
      </c>
      <c r="U294" t="s">
        <v>527</v>
      </c>
      <c r="V294" s="2">
        <v>0.375</v>
      </c>
    </row>
    <row r="295" spans="1:22" x14ac:dyDescent="0.25">
      <c r="A295" t="s">
        <v>1292</v>
      </c>
      <c r="B295" s="1">
        <v>42444</v>
      </c>
      <c r="C295" s="1">
        <v>42448</v>
      </c>
      <c r="D295" t="s">
        <v>23</v>
      </c>
      <c r="E295" t="s">
        <v>1293</v>
      </c>
      <c r="F295" t="s">
        <v>1294</v>
      </c>
      <c r="G295" t="s">
        <v>70</v>
      </c>
      <c r="H295" t="s">
        <v>27</v>
      </c>
      <c r="I295" t="s">
        <v>206</v>
      </c>
      <c r="J295" t="s">
        <v>207</v>
      </c>
      <c r="K295" t="s">
        <v>95</v>
      </c>
      <c r="L295" t="s">
        <v>1295</v>
      </c>
      <c r="M295" t="s">
        <v>32</v>
      </c>
      <c r="N295" t="s">
        <v>51</v>
      </c>
      <c r="O295" t="s">
        <v>1296</v>
      </c>
      <c r="P295">
        <v>83.975999999999999</v>
      </c>
      <c r="Q295">
        <v>3</v>
      </c>
      <c r="R295">
        <v>-13.646100000000001</v>
      </c>
      <c r="S295" s="3" t="s">
        <v>53</v>
      </c>
      <c r="T295">
        <v>2016</v>
      </c>
      <c r="U295" t="s">
        <v>89</v>
      </c>
      <c r="V295" s="2">
        <v>-0.16250000000000001</v>
      </c>
    </row>
    <row r="296" spans="1:22" x14ac:dyDescent="0.25">
      <c r="A296" t="s">
        <v>1297</v>
      </c>
      <c r="B296" s="1">
        <v>42924</v>
      </c>
      <c r="C296" s="1">
        <v>42931</v>
      </c>
      <c r="D296" t="s">
        <v>23</v>
      </c>
      <c r="E296" t="s">
        <v>1298</v>
      </c>
      <c r="F296" t="s">
        <v>1299</v>
      </c>
      <c r="G296" t="s">
        <v>26</v>
      </c>
      <c r="H296" t="s">
        <v>27</v>
      </c>
      <c r="I296" t="s">
        <v>1300</v>
      </c>
      <c r="J296" t="s">
        <v>426</v>
      </c>
      <c r="K296" t="s">
        <v>30</v>
      </c>
      <c r="L296" t="s">
        <v>1301</v>
      </c>
      <c r="M296" t="s">
        <v>32</v>
      </c>
      <c r="N296" t="s">
        <v>51</v>
      </c>
      <c r="O296" t="s">
        <v>1302</v>
      </c>
      <c r="P296">
        <v>50</v>
      </c>
      <c r="Q296">
        <v>2</v>
      </c>
      <c r="R296">
        <v>10.5</v>
      </c>
      <c r="S296" s="3" t="s">
        <v>132</v>
      </c>
      <c r="T296">
        <v>2017</v>
      </c>
      <c r="U296" t="s">
        <v>332</v>
      </c>
      <c r="V296" s="2">
        <v>0.21</v>
      </c>
    </row>
    <row r="297" spans="1:22" x14ac:dyDescent="0.25">
      <c r="A297" t="s">
        <v>1303</v>
      </c>
      <c r="B297" s="1">
        <v>42357</v>
      </c>
      <c r="C297" s="1">
        <v>42362</v>
      </c>
      <c r="D297" t="s">
        <v>23</v>
      </c>
      <c r="E297" t="s">
        <v>1304</v>
      </c>
      <c r="F297" t="s">
        <v>1305</v>
      </c>
      <c r="G297" t="s">
        <v>26</v>
      </c>
      <c r="H297" t="s">
        <v>27</v>
      </c>
      <c r="I297" t="s">
        <v>28</v>
      </c>
      <c r="J297" t="s">
        <v>29</v>
      </c>
      <c r="K297" t="s">
        <v>30</v>
      </c>
      <c r="L297" t="s">
        <v>1186</v>
      </c>
      <c r="M297" t="s">
        <v>32</v>
      </c>
      <c r="N297" t="s">
        <v>33</v>
      </c>
      <c r="O297" t="s">
        <v>1187</v>
      </c>
      <c r="P297">
        <v>675.96</v>
      </c>
      <c r="Q297">
        <v>5</v>
      </c>
      <c r="R297">
        <v>84.495000000000005</v>
      </c>
      <c r="S297" s="3" t="s">
        <v>35</v>
      </c>
      <c r="T297">
        <v>2015</v>
      </c>
      <c r="U297" t="s">
        <v>66</v>
      </c>
      <c r="V297" s="2">
        <v>0.125</v>
      </c>
    </row>
    <row r="298" spans="1:22" x14ac:dyDescent="0.25">
      <c r="A298" t="s">
        <v>1303</v>
      </c>
      <c r="B298" s="1">
        <v>42357</v>
      </c>
      <c r="C298" s="1">
        <v>42362</v>
      </c>
      <c r="D298" t="s">
        <v>23</v>
      </c>
      <c r="E298" t="s">
        <v>1304</v>
      </c>
      <c r="F298" t="s">
        <v>1305</v>
      </c>
      <c r="G298" t="s">
        <v>26</v>
      </c>
      <c r="H298" t="s">
        <v>27</v>
      </c>
      <c r="I298" t="s">
        <v>28</v>
      </c>
      <c r="J298" t="s">
        <v>29</v>
      </c>
      <c r="K298" t="s">
        <v>30</v>
      </c>
      <c r="L298" t="s">
        <v>841</v>
      </c>
      <c r="M298" t="s">
        <v>32</v>
      </c>
      <c r="N298" t="s">
        <v>51</v>
      </c>
      <c r="O298" t="s">
        <v>1306</v>
      </c>
      <c r="P298">
        <v>1265.8499999999999</v>
      </c>
      <c r="Q298">
        <v>3</v>
      </c>
      <c r="R298">
        <v>556.97400000000005</v>
      </c>
      <c r="S298" s="3" t="s">
        <v>35</v>
      </c>
      <c r="T298">
        <v>2015</v>
      </c>
      <c r="U298" t="s">
        <v>66</v>
      </c>
      <c r="V298" s="2">
        <v>0.44</v>
      </c>
    </row>
    <row r="299" spans="1:22" x14ac:dyDescent="0.25">
      <c r="A299" t="s">
        <v>1307</v>
      </c>
      <c r="B299" s="1">
        <v>42498</v>
      </c>
      <c r="C299" s="1">
        <v>42498</v>
      </c>
      <c r="D299" t="s">
        <v>677</v>
      </c>
      <c r="E299" t="s">
        <v>1308</v>
      </c>
      <c r="F299" t="s">
        <v>1309</v>
      </c>
      <c r="G299" t="s">
        <v>26</v>
      </c>
      <c r="H299" t="s">
        <v>27</v>
      </c>
      <c r="I299" t="s">
        <v>1310</v>
      </c>
      <c r="J299" t="s">
        <v>177</v>
      </c>
      <c r="K299" t="s">
        <v>95</v>
      </c>
      <c r="L299" t="s">
        <v>571</v>
      </c>
      <c r="M299" t="s">
        <v>32</v>
      </c>
      <c r="N299" t="s">
        <v>51</v>
      </c>
      <c r="O299" t="s">
        <v>572</v>
      </c>
      <c r="P299">
        <v>58.112000000000002</v>
      </c>
      <c r="Q299">
        <v>2</v>
      </c>
      <c r="R299">
        <v>7.2640000000000002</v>
      </c>
      <c r="S299" s="3" t="s">
        <v>683</v>
      </c>
      <c r="T299">
        <v>2016</v>
      </c>
      <c r="U299" t="s">
        <v>527</v>
      </c>
      <c r="V299" s="2">
        <v>0.125</v>
      </c>
    </row>
    <row r="300" spans="1:22" x14ac:dyDescent="0.25">
      <c r="A300" t="s">
        <v>1311</v>
      </c>
      <c r="B300" s="1">
        <v>41969</v>
      </c>
      <c r="C300" s="1">
        <v>41975</v>
      </c>
      <c r="D300" t="s">
        <v>23</v>
      </c>
      <c r="E300" t="s">
        <v>1312</v>
      </c>
      <c r="F300" t="s">
        <v>1313</v>
      </c>
      <c r="G300" t="s">
        <v>26</v>
      </c>
      <c r="H300" t="s">
        <v>27</v>
      </c>
      <c r="I300" t="s">
        <v>1314</v>
      </c>
      <c r="J300" t="s">
        <v>340</v>
      </c>
      <c r="K300" t="s">
        <v>30</v>
      </c>
      <c r="L300" t="s">
        <v>1315</v>
      </c>
      <c r="M300" t="s">
        <v>32</v>
      </c>
      <c r="N300" t="s">
        <v>33</v>
      </c>
      <c r="O300" t="s">
        <v>1316</v>
      </c>
      <c r="P300">
        <v>438.33600000000001</v>
      </c>
      <c r="Q300">
        <v>4</v>
      </c>
      <c r="R300">
        <v>-87.667199999999994</v>
      </c>
      <c r="S300" s="3" t="s">
        <v>107</v>
      </c>
      <c r="T300">
        <v>2014</v>
      </c>
      <c r="U300" t="s">
        <v>118</v>
      </c>
      <c r="V300" s="2">
        <v>-0.2</v>
      </c>
    </row>
    <row r="301" spans="1:22" x14ac:dyDescent="0.25">
      <c r="A301" t="s">
        <v>1317</v>
      </c>
      <c r="B301" s="1">
        <v>42082</v>
      </c>
      <c r="C301" s="1">
        <v>42083</v>
      </c>
      <c r="D301" t="s">
        <v>56</v>
      </c>
      <c r="E301" t="s">
        <v>1318</v>
      </c>
      <c r="F301" t="s">
        <v>1319</v>
      </c>
      <c r="G301" t="s">
        <v>59</v>
      </c>
      <c r="H301" t="s">
        <v>27</v>
      </c>
      <c r="I301" t="s">
        <v>481</v>
      </c>
      <c r="J301" t="s">
        <v>426</v>
      </c>
      <c r="K301" t="s">
        <v>30</v>
      </c>
      <c r="L301" t="s">
        <v>1320</v>
      </c>
      <c r="M301" t="s">
        <v>32</v>
      </c>
      <c r="N301" t="s">
        <v>381</v>
      </c>
      <c r="O301" t="s">
        <v>1321</v>
      </c>
      <c r="P301">
        <v>3149.93</v>
      </c>
      <c r="Q301">
        <v>7</v>
      </c>
      <c r="R301">
        <v>1480.4671000000001</v>
      </c>
      <c r="S301" s="3" t="s">
        <v>112</v>
      </c>
      <c r="T301">
        <v>2015</v>
      </c>
      <c r="U301" t="s">
        <v>89</v>
      </c>
      <c r="V301" s="2">
        <v>0.47</v>
      </c>
    </row>
    <row r="302" spans="1:22" x14ac:dyDescent="0.25">
      <c r="A302" t="s">
        <v>1322</v>
      </c>
      <c r="B302" s="1">
        <v>42309</v>
      </c>
      <c r="C302" s="1">
        <v>42311</v>
      </c>
      <c r="D302" t="s">
        <v>56</v>
      </c>
      <c r="E302" t="s">
        <v>1323</v>
      </c>
      <c r="F302" t="s">
        <v>1324</v>
      </c>
      <c r="G302" t="s">
        <v>70</v>
      </c>
      <c r="H302" t="s">
        <v>27</v>
      </c>
      <c r="I302" t="s">
        <v>206</v>
      </c>
      <c r="J302" t="s">
        <v>207</v>
      </c>
      <c r="K302" t="s">
        <v>95</v>
      </c>
      <c r="L302" t="s">
        <v>239</v>
      </c>
      <c r="M302" t="s">
        <v>32</v>
      </c>
      <c r="N302" t="s">
        <v>51</v>
      </c>
      <c r="O302" t="s">
        <v>240</v>
      </c>
      <c r="P302">
        <v>35.36</v>
      </c>
      <c r="Q302">
        <v>2</v>
      </c>
      <c r="R302">
        <v>-3.0939999999999999</v>
      </c>
      <c r="S302" s="3" t="s">
        <v>65</v>
      </c>
      <c r="T302">
        <v>2015</v>
      </c>
      <c r="U302" t="s">
        <v>118</v>
      </c>
      <c r="V302" s="2">
        <v>-8.7499999999999994E-2</v>
      </c>
    </row>
    <row r="303" spans="1:22" x14ac:dyDescent="0.25">
      <c r="A303" t="s">
        <v>1325</v>
      </c>
      <c r="B303" s="1">
        <v>42273</v>
      </c>
      <c r="C303" s="1">
        <v>42276</v>
      </c>
      <c r="D303" t="s">
        <v>40</v>
      </c>
      <c r="E303" t="s">
        <v>1326</v>
      </c>
      <c r="F303" t="s">
        <v>1327</v>
      </c>
      <c r="G303" t="s">
        <v>26</v>
      </c>
      <c r="H303" t="s">
        <v>27</v>
      </c>
      <c r="I303" t="s">
        <v>206</v>
      </c>
      <c r="J303" t="s">
        <v>207</v>
      </c>
      <c r="K303" t="s">
        <v>95</v>
      </c>
      <c r="L303" t="s">
        <v>1328</v>
      </c>
      <c r="M303" t="s">
        <v>32</v>
      </c>
      <c r="N303" t="s">
        <v>33</v>
      </c>
      <c r="O303" t="s">
        <v>1329</v>
      </c>
      <c r="P303">
        <v>45.893999999999998</v>
      </c>
      <c r="Q303">
        <v>1</v>
      </c>
      <c r="R303">
        <v>-9.1788000000000007</v>
      </c>
      <c r="S303" s="3" t="s">
        <v>172</v>
      </c>
      <c r="T303">
        <v>2015</v>
      </c>
      <c r="U303" t="s">
        <v>81</v>
      </c>
      <c r="V303" s="2">
        <v>-0.2</v>
      </c>
    </row>
    <row r="304" spans="1:22" x14ac:dyDescent="0.25">
      <c r="A304" t="s">
        <v>1330</v>
      </c>
      <c r="B304" s="1">
        <v>43057</v>
      </c>
      <c r="C304" s="1">
        <v>43060</v>
      </c>
      <c r="D304" t="s">
        <v>56</v>
      </c>
      <c r="E304" t="s">
        <v>1331</v>
      </c>
      <c r="F304" t="s">
        <v>1332</v>
      </c>
      <c r="G304" t="s">
        <v>26</v>
      </c>
      <c r="H304" t="s">
        <v>27</v>
      </c>
      <c r="I304" t="s">
        <v>481</v>
      </c>
      <c r="J304" t="s">
        <v>426</v>
      </c>
      <c r="K304" t="s">
        <v>30</v>
      </c>
      <c r="L304" t="s">
        <v>289</v>
      </c>
      <c r="M304" t="s">
        <v>32</v>
      </c>
      <c r="N304" t="s">
        <v>51</v>
      </c>
      <c r="O304" t="s">
        <v>550</v>
      </c>
      <c r="P304">
        <v>132.52000000000001</v>
      </c>
      <c r="Q304">
        <v>4</v>
      </c>
      <c r="R304">
        <v>54.333199999999998</v>
      </c>
      <c r="S304" s="3" t="s">
        <v>172</v>
      </c>
      <c r="T304">
        <v>2017</v>
      </c>
      <c r="U304" t="s">
        <v>118</v>
      </c>
      <c r="V304" s="2">
        <v>0.41</v>
      </c>
    </row>
    <row r="305" spans="1:22" x14ac:dyDescent="0.25">
      <c r="A305" t="s">
        <v>1333</v>
      </c>
      <c r="B305" s="1">
        <v>42755</v>
      </c>
      <c r="C305" s="1">
        <v>42761</v>
      </c>
      <c r="D305" t="s">
        <v>23</v>
      </c>
      <c r="E305" t="s">
        <v>1334</v>
      </c>
      <c r="F305" t="s">
        <v>1335</v>
      </c>
      <c r="G305" t="s">
        <v>26</v>
      </c>
      <c r="H305" t="s">
        <v>27</v>
      </c>
      <c r="I305" t="s">
        <v>28</v>
      </c>
      <c r="J305" t="s">
        <v>29</v>
      </c>
      <c r="K305" t="s">
        <v>30</v>
      </c>
      <c r="L305" t="s">
        <v>1336</v>
      </c>
      <c r="M305" t="s">
        <v>32</v>
      </c>
      <c r="N305" t="s">
        <v>33</v>
      </c>
      <c r="O305" t="s">
        <v>1337</v>
      </c>
      <c r="P305">
        <v>160.77600000000001</v>
      </c>
      <c r="Q305">
        <v>3</v>
      </c>
      <c r="R305">
        <v>10.048500000000001</v>
      </c>
      <c r="S305" s="3" t="s">
        <v>107</v>
      </c>
      <c r="T305">
        <v>2017</v>
      </c>
      <c r="U305" t="s">
        <v>54</v>
      </c>
      <c r="V305" s="2">
        <v>6.25E-2</v>
      </c>
    </row>
    <row r="306" spans="1:22" x14ac:dyDescent="0.25">
      <c r="A306" t="s">
        <v>1338</v>
      </c>
      <c r="B306" s="1">
        <v>42855</v>
      </c>
      <c r="C306" s="1">
        <v>42861</v>
      </c>
      <c r="D306" t="s">
        <v>23</v>
      </c>
      <c r="E306" t="s">
        <v>1114</v>
      </c>
      <c r="F306" t="s">
        <v>1115</v>
      </c>
      <c r="G306" t="s">
        <v>59</v>
      </c>
      <c r="H306" t="s">
        <v>27</v>
      </c>
      <c r="I306" t="s">
        <v>206</v>
      </c>
      <c r="J306" t="s">
        <v>207</v>
      </c>
      <c r="K306" t="s">
        <v>95</v>
      </c>
      <c r="L306" t="s">
        <v>1137</v>
      </c>
      <c r="M306" t="s">
        <v>32</v>
      </c>
      <c r="N306" t="s">
        <v>33</v>
      </c>
      <c r="O306" t="s">
        <v>1138</v>
      </c>
      <c r="P306">
        <v>677.58</v>
      </c>
      <c r="Q306">
        <v>5</v>
      </c>
      <c r="R306">
        <v>-158.102</v>
      </c>
      <c r="S306" s="3" t="s">
        <v>107</v>
      </c>
      <c r="T306">
        <v>2017</v>
      </c>
      <c r="U306" t="s">
        <v>291</v>
      </c>
      <c r="V306" s="2">
        <v>-0.233333333333333</v>
      </c>
    </row>
    <row r="307" spans="1:22" x14ac:dyDescent="0.25">
      <c r="A307" t="s">
        <v>1339</v>
      </c>
      <c r="B307" s="1">
        <v>42698</v>
      </c>
      <c r="C307" s="1">
        <v>42700</v>
      </c>
      <c r="D307" t="s">
        <v>40</v>
      </c>
      <c r="E307" t="s">
        <v>1340</v>
      </c>
      <c r="F307" t="s">
        <v>1341</v>
      </c>
      <c r="G307" t="s">
        <v>26</v>
      </c>
      <c r="H307" t="s">
        <v>27</v>
      </c>
      <c r="I307" t="s">
        <v>262</v>
      </c>
      <c r="J307" t="s">
        <v>61</v>
      </c>
      <c r="K307" t="s">
        <v>62</v>
      </c>
      <c r="L307" t="s">
        <v>841</v>
      </c>
      <c r="M307" t="s">
        <v>32</v>
      </c>
      <c r="N307" t="s">
        <v>51</v>
      </c>
      <c r="O307" t="s">
        <v>842</v>
      </c>
      <c r="P307">
        <v>297.57600000000002</v>
      </c>
      <c r="Q307">
        <v>3</v>
      </c>
      <c r="R307">
        <v>-7.4394</v>
      </c>
      <c r="S307" s="3" t="s">
        <v>65</v>
      </c>
      <c r="T307">
        <v>2016</v>
      </c>
      <c r="U307" t="s">
        <v>118</v>
      </c>
      <c r="V307" s="2">
        <v>-2.5000000000000001E-2</v>
      </c>
    </row>
    <row r="308" spans="1:22" x14ac:dyDescent="0.25">
      <c r="A308" t="s">
        <v>1339</v>
      </c>
      <c r="B308" s="1">
        <v>42698</v>
      </c>
      <c r="C308" s="1">
        <v>42700</v>
      </c>
      <c r="D308" t="s">
        <v>40</v>
      </c>
      <c r="E308" t="s">
        <v>1340</v>
      </c>
      <c r="F308" t="s">
        <v>1341</v>
      </c>
      <c r="G308" t="s">
        <v>26</v>
      </c>
      <c r="H308" t="s">
        <v>27</v>
      </c>
      <c r="I308" t="s">
        <v>262</v>
      </c>
      <c r="J308" t="s">
        <v>61</v>
      </c>
      <c r="K308" t="s">
        <v>62</v>
      </c>
      <c r="L308" t="s">
        <v>1342</v>
      </c>
      <c r="M308" t="s">
        <v>32</v>
      </c>
      <c r="N308" t="s">
        <v>51</v>
      </c>
      <c r="O308" t="s">
        <v>1343</v>
      </c>
      <c r="P308">
        <v>94.992000000000004</v>
      </c>
      <c r="Q308">
        <v>2</v>
      </c>
      <c r="R308">
        <v>-2.3748</v>
      </c>
      <c r="S308" s="3" t="s">
        <v>65</v>
      </c>
      <c r="T308">
        <v>2016</v>
      </c>
      <c r="U308" t="s">
        <v>118</v>
      </c>
      <c r="V308" s="2">
        <v>-2.5000000000000001E-2</v>
      </c>
    </row>
    <row r="309" spans="1:22" x14ac:dyDescent="0.25">
      <c r="A309" t="s">
        <v>1344</v>
      </c>
      <c r="B309" s="1">
        <v>43027</v>
      </c>
      <c r="C309" s="1">
        <v>43034</v>
      </c>
      <c r="D309" t="s">
        <v>23</v>
      </c>
      <c r="E309" t="s">
        <v>1279</v>
      </c>
      <c r="F309" t="s">
        <v>1280</v>
      </c>
      <c r="G309" t="s">
        <v>26</v>
      </c>
      <c r="H309" t="s">
        <v>27</v>
      </c>
      <c r="I309" t="s">
        <v>71</v>
      </c>
      <c r="J309" t="s">
        <v>61</v>
      </c>
      <c r="K309" t="s">
        <v>62</v>
      </c>
      <c r="L309" t="s">
        <v>1345</v>
      </c>
      <c r="M309" t="s">
        <v>32</v>
      </c>
      <c r="N309" t="s">
        <v>33</v>
      </c>
      <c r="O309" t="s">
        <v>1346</v>
      </c>
      <c r="P309">
        <v>16.68</v>
      </c>
      <c r="Q309">
        <v>3</v>
      </c>
      <c r="R309">
        <v>5.2125000000000004</v>
      </c>
      <c r="S309" s="3" t="s">
        <v>132</v>
      </c>
      <c r="T309">
        <v>2017</v>
      </c>
      <c r="U309" t="s">
        <v>133</v>
      </c>
      <c r="V309" s="2">
        <v>0.3125</v>
      </c>
    </row>
    <row r="310" spans="1:22" x14ac:dyDescent="0.25">
      <c r="A310" t="s">
        <v>1347</v>
      </c>
      <c r="B310" s="1">
        <v>42451</v>
      </c>
      <c r="C310" s="1">
        <v>42454</v>
      </c>
      <c r="D310" t="s">
        <v>56</v>
      </c>
      <c r="E310" t="s">
        <v>1348</v>
      </c>
      <c r="F310" t="s">
        <v>1349</v>
      </c>
      <c r="G310" t="s">
        <v>59</v>
      </c>
      <c r="H310" t="s">
        <v>27</v>
      </c>
      <c r="I310" t="s">
        <v>1350</v>
      </c>
      <c r="J310" t="s">
        <v>1351</v>
      </c>
      <c r="K310" t="s">
        <v>30</v>
      </c>
      <c r="L310" t="s">
        <v>995</v>
      </c>
      <c r="M310" t="s">
        <v>32</v>
      </c>
      <c r="N310" t="s">
        <v>51</v>
      </c>
      <c r="O310" t="s">
        <v>996</v>
      </c>
      <c r="P310">
        <v>58.58</v>
      </c>
      <c r="Q310">
        <v>2</v>
      </c>
      <c r="R310">
        <v>19.331399999999999</v>
      </c>
      <c r="S310" s="3" t="s">
        <v>172</v>
      </c>
      <c r="T310">
        <v>2016</v>
      </c>
      <c r="U310" t="s">
        <v>89</v>
      </c>
      <c r="V310" s="2">
        <v>0.33</v>
      </c>
    </row>
    <row r="311" spans="1:22" x14ac:dyDescent="0.25">
      <c r="A311" t="s">
        <v>1352</v>
      </c>
      <c r="B311" s="1">
        <v>42919</v>
      </c>
      <c r="C311" s="1">
        <v>42923</v>
      </c>
      <c r="D311" t="s">
        <v>23</v>
      </c>
      <c r="E311" t="s">
        <v>1353</v>
      </c>
      <c r="F311" t="s">
        <v>1354</v>
      </c>
      <c r="G311" t="s">
        <v>26</v>
      </c>
      <c r="H311" t="s">
        <v>27</v>
      </c>
      <c r="I311" t="s">
        <v>1355</v>
      </c>
      <c r="J311" t="s">
        <v>61</v>
      </c>
      <c r="K311" t="s">
        <v>62</v>
      </c>
      <c r="L311" t="s">
        <v>124</v>
      </c>
      <c r="M311" t="s">
        <v>32</v>
      </c>
      <c r="N311" t="s">
        <v>33</v>
      </c>
      <c r="O311" t="s">
        <v>125</v>
      </c>
      <c r="P311">
        <v>167.96799999999999</v>
      </c>
      <c r="Q311">
        <v>4</v>
      </c>
      <c r="R311">
        <v>62.988</v>
      </c>
      <c r="S311" s="3" t="s">
        <v>53</v>
      </c>
      <c r="T311">
        <v>2017</v>
      </c>
      <c r="U311" t="s">
        <v>332</v>
      </c>
      <c r="V311" s="2">
        <v>0.375</v>
      </c>
    </row>
    <row r="312" spans="1:22" x14ac:dyDescent="0.25">
      <c r="A312" t="s">
        <v>1356</v>
      </c>
      <c r="B312" s="1">
        <v>41889</v>
      </c>
      <c r="C312" s="1">
        <v>41895</v>
      </c>
      <c r="D312" t="s">
        <v>23</v>
      </c>
      <c r="E312" t="s">
        <v>312</v>
      </c>
      <c r="F312" t="s">
        <v>313</v>
      </c>
      <c r="G312" t="s">
        <v>59</v>
      </c>
      <c r="H312" t="s">
        <v>27</v>
      </c>
      <c r="I312" t="s">
        <v>206</v>
      </c>
      <c r="J312" t="s">
        <v>207</v>
      </c>
      <c r="K312" t="s">
        <v>95</v>
      </c>
      <c r="L312" t="s">
        <v>998</v>
      </c>
      <c r="M312" t="s">
        <v>32</v>
      </c>
      <c r="N312" t="s">
        <v>33</v>
      </c>
      <c r="O312" t="s">
        <v>999</v>
      </c>
      <c r="P312">
        <v>32.381999999999998</v>
      </c>
      <c r="Q312">
        <v>3</v>
      </c>
      <c r="R312">
        <v>4.3175999999999997</v>
      </c>
      <c r="S312" s="3" t="s">
        <v>107</v>
      </c>
      <c r="T312">
        <v>2014</v>
      </c>
      <c r="U312" t="s">
        <v>81</v>
      </c>
      <c r="V312" s="2">
        <v>0.133333333333333</v>
      </c>
    </row>
    <row r="313" spans="1:22" x14ac:dyDescent="0.25">
      <c r="A313" t="s">
        <v>1356</v>
      </c>
      <c r="B313" s="1">
        <v>41889</v>
      </c>
      <c r="C313" s="1">
        <v>41895</v>
      </c>
      <c r="D313" t="s">
        <v>23</v>
      </c>
      <c r="E313" t="s">
        <v>312</v>
      </c>
      <c r="F313" t="s">
        <v>313</v>
      </c>
      <c r="G313" t="s">
        <v>59</v>
      </c>
      <c r="H313" t="s">
        <v>27</v>
      </c>
      <c r="I313" t="s">
        <v>206</v>
      </c>
      <c r="J313" t="s">
        <v>207</v>
      </c>
      <c r="K313" t="s">
        <v>95</v>
      </c>
      <c r="L313" t="s">
        <v>1357</v>
      </c>
      <c r="M313" t="s">
        <v>32</v>
      </c>
      <c r="N313" t="s">
        <v>215</v>
      </c>
      <c r="O313" t="s">
        <v>1358</v>
      </c>
      <c r="P313">
        <v>399.54</v>
      </c>
      <c r="Q313">
        <v>4</v>
      </c>
      <c r="R313">
        <v>-559.35599999999999</v>
      </c>
      <c r="S313" s="3" t="s">
        <v>107</v>
      </c>
      <c r="T313">
        <v>2014</v>
      </c>
      <c r="U313" t="s">
        <v>81</v>
      </c>
      <c r="V313" s="2">
        <v>-1.4</v>
      </c>
    </row>
    <row r="314" spans="1:22" x14ac:dyDescent="0.25">
      <c r="A314" t="s">
        <v>1359</v>
      </c>
      <c r="B314" s="1">
        <v>42547</v>
      </c>
      <c r="C314" s="1">
        <v>42550</v>
      </c>
      <c r="D314" t="s">
        <v>40</v>
      </c>
      <c r="E314" t="s">
        <v>1131</v>
      </c>
      <c r="F314" t="s">
        <v>1132</v>
      </c>
      <c r="G314" t="s">
        <v>70</v>
      </c>
      <c r="H314" t="s">
        <v>27</v>
      </c>
      <c r="I314" t="s">
        <v>1355</v>
      </c>
      <c r="J314" t="s">
        <v>61</v>
      </c>
      <c r="K314" t="s">
        <v>62</v>
      </c>
      <c r="L314" t="s">
        <v>1360</v>
      </c>
      <c r="M314" t="s">
        <v>32</v>
      </c>
      <c r="N314" t="s">
        <v>51</v>
      </c>
      <c r="O314" t="s">
        <v>1361</v>
      </c>
      <c r="P314">
        <v>13.616</v>
      </c>
      <c r="Q314">
        <v>2</v>
      </c>
      <c r="R314">
        <v>3.5741999999999998</v>
      </c>
      <c r="S314" s="3" t="s">
        <v>172</v>
      </c>
      <c r="T314">
        <v>2016</v>
      </c>
      <c r="U314" t="s">
        <v>36</v>
      </c>
      <c r="V314" s="2">
        <v>0.26250000000000001</v>
      </c>
    </row>
    <row r="315" spans="1:22" x14ac:dyDescent="0.25">
      <c r="A315" t="s">
        <v>1362</v>
      </c>
      <c r="B315" s="1">
        <v>42272</v>
      </c>
      <c r="C315" s="1">
        <v>42275</v>
      </c>
      <c r="D315" t="s">
        <v>40</v>
      </c>
      <c r="E315" t="s">
        <v>898</v>
      </c>
      <c r="F315" t="s">
        <v>899</v>
      </c>
      <c r="G315" t="s">
        <v>70</v>
      </c>
      <c r="H315" t="s">
        <v>27</v>
      </c>
      <c r="I315" t="s">
        <v>1363</v>
      </c>
      <c r="J315" t="s">
        <v>794</v>
      </c>
      <c r="K315" t="s">
        <v>95</v>
      </c>
      <c r="L315" t="s">
        <v>1364</v>
      </c>
      <c r="M315" t="s">
        <v>32</v>
      </c>
      <c r="N315" t="s">
        <v>51</v>
      </c>
      <c r="O315" t="s">
        <v>1365</v>
      </c>
      <c r="P315">
        <v>63.96</v>
      </c>
      <c r="Q315">
        <v>4</v>
      </c>
      <c r="R315">
        <v>19.8276</v>
      </c>
      <c r="S315" s="3" t="s">
        <v>172</v>
      </c>
      <c r="T315">
        <v>2015</v>
      </c>
      <c r="U315" t="s">
        <v>81</v>
      </c>
      <c r="V315" s="2">
        <v>0.31</v>
      </c>
    </row>
    <row r="316" spans="1:22" x14ac:dyDescent="0.25">
      <c r="A316" t="s">
        <v>1362</v>
      </c>
      <c r="B316" s="1">
        <v>42272</v>
      </c>
      <c r="C316" s="1">
        <v>42275</v>
      </c>
      <c r="D316" t="s">
        <v>40</v>
      </c>
      <c r="E316" t="s">
        <v>898</v>
      </c>
      <c r="F316" t="s">
        <v>899</v>
      </c>
      <c r="G316" t="s">
        <v>70</v>
      </c>
      <c r="H316" t="s">
        <v>27</v>
      </c>
      <c r="I316" t="s">
        <v>1363</v>
      </c>
      <c r="J316" t="s">
        <v>794</v>
      </c>
      <c r="K316" t="s">
        <v>95</v>
      </c>
      <c r="L316" t="s">
        <v>124</v>
      </c>
      <c r="M316" t="s">
        <v>32</v>
      </c>
      <c r="N316" t="s">
        <v>33</v>
      </c>
      <c r="O316" t="s">
        <v>125</v>
      </c>
      <c r="P316">
        <v>104.98</v>
      </c>
      <c r="Q316">
        <v>2</v>
      </c>
      <c r="R316">
        <v>52.49</v>
      </c>
      <c r="S316" s="3" t="s">
        <v>172</v>
      </c>
      <c r="T316">
        <v>2015</v>
      </c>
      <c r="U316" t="s">
        <v>81</v>
      </c>
      <c r="V316" s="2">
        <v>0.5</v>
      </c>
    </row>
    <row r="317" spans="1:22" x14ac:dyDescent="0.25">
      <c r="A317" t="s">
        <v>1366</v>
      </c>
      <c r="B317" s="1">
        <v>43038</v>
      </c>
      <c r="C317" s="1">
        <v>43044</v>
      </c>
      <c r="D317" t="s">
        <v>23</v>
      </c>
      <c r="E317" t="s">
        <v>1367</v>
      </c>
      <c r="F317" t="s">
        <v>1368</v>
      </c>
      <c r="G317" t="s">
        <v>26</v>
      </c>
      <c r="H317" t="s">
        <v>27</v>
      </c>
      <c r="I317" t="s">
        <v>43</v>
      </c>
      <c r="J317" t="s">
        <v>29</v>
      </c>
      <c r="K317" t="s">
        <v>30</v>
      </c>
      <c r="L317" t="s">
        <v>1111</v>
      </c>
      <c r="M317" t="s">
        <v>32</v>
      </c>
      <c r="N317" t="s">
        <v>33</v>
      </c>
      <c r="O317" t="s">
        <v>1112</v>
      </c>
      <c r="P317">
        <v>148.47999999999999</v>
      </c>
      <c r="Q317">
        <v>2</v>
      </c>
      <c r="R317">
        <v>16.704000000000001</v>
      </c>
      <c r="S317" s="3" t="s">
        <v>107</v>
      </c>
      <c r="T317">
        <v>2017</v>
      </c>
      <c r="U317" t="s">
        <v>133</v>
      </c>
      <c r="V317" s="2">
        <v>0.1125</v>
      </c>
    </row>
    <row r="318" spans="1:22" x14ac:dyDescent="0.25">
      <c r="A318" t="s">
        <v>1369</v>
      </c>
      <c r="B318" s="1">
        <v>42358</v>
      </c>
      <c r="C318" s="1">
        <v>42363</v>
      </c>
      <c r="D318" t="s">
        <v>23</v>
      </c>
      <c r="E318" t="s">
        <v>1220</v>
      </c>
      <c r="F318" t="s">
        <v>1221</v>
      </c>
      <c r="G318" t="s">
        <v>26</v>
      </c>
      <c r="H318" t="s">
        <v>27</v>
      </c>
      <c r="I318" t="s">
        <v>140</v>
      </c>
      <c r="J318" t="s">
        <v>78</v>
      </c>
      <c r="K318" t="s">
        <v>62</v>
      </c>
      <c r="L318" t="s">
        <v>1012</v>
      </c>
      <c r="M318" t="s">
        <v>32</v>
      </c>
      <c r="N318" t="s">
        <v>33</v>
      </c>
      <c r="O318" t="s">
        <v>1013</v>
      </c>
      <c r="P318">
        <v>159.98400000000001</v>
      </c>
      <c r="Q318">
        <v>2</v>
      </c>
      <c r="R318">
        <v>11.998799999999999</v>
      </c>
      <c r="S318" s="3" t="s">
        <v>35</v>
      </c>
      <c r="T318">
        <v>2015</v>
      </c>
      <c r="U318" t="s">
        <v>66</v>
      </c>
      <c r="V318" s="2">
        <v>7.4999999999999997E-2</v>
      </c>
    </row>
    <row r="319" spans="1:22" x14ac:dyDescent="0.25">
      <c r="A319" t="s">
        <v>1369</v>
      </c>
      <c r="B319" s="1">
        <v>42358</v>
      </c>
      <c r="C319" s="1">
        <v>42363</v>
      </c>
      <c r="D319" t="s">
        <v>23</v>
      </c>
      <c r="E319" t="s">
        <v>1220</v>
      </c>
      <c r="F319" t="s">
        <v>1221</v>
      </c>
      <c r="G319" t="s">
        <v>26</v>
      </c>
      <c r="H319" t="s">
        <v>27</v>
      </c>
      <c r="I319" t="s">
        <v>140</v>
      </c>
      <c r="J319" t="s">
        <v>78</v>
      </c>
      <c r="K319" t="s">
        <v>62</v>
      </c>
      <c r="L319" t="s">
        <v>1370</v>
      </c>
      <c r="M319" t="s">
        <v>32</v>
      </c>
      <c r="N319" t="s">
        <v>51</v>
      </c>
      <c r="O319" t="s">
        <v>1371</v>
      </c>
      <c r="P319">
        <v>255.96799999999999</v>
      </c>
      <c r="Q319">
        <v>4</v>
      </c>
      <c r="R319">
        <v>51.193600000000004</v>
      </c>
      <c r="S319" s="3" t="s">
        <v>35</v>
      </c>
      <c r="T319">
        <v>2015</v>
      </c>
      <c r="U319" t="s">
        <v>66</v>
      </c>
      <c r="V319" s="2">
        <v>0.2</v>
      </c>
    </row>
    <row r="320" spans="1:22" x14ac:dyDescent="0.25">
      <c r="A320" t="s">
        <v>1372</v>
      </c>
      <c r="B320" s="1">
        <v>42407</v>
      </c>
      <c r="C320" s="1">
        <v>42407</v>
      </c>
      <c r="D320" t="s">
        <v>677</v>
      </c>
      <c r="E320" t="s">
        <v>1373</v>
      </c>
      <c r="F320" t="s">
        <v>1374</v>
      </c>
      <c r="G320" t="s">
        <v>26</v>
      </c>
      <c r="H320" t="s">
        <v>27</v>
      </c>
      <c r="I320" t="s">
        <v>946</v>
      </c>
      <c r="J320" t="s">
        <v>693</v>
      </c>
      <c r="K320" t="s">
        <v>155</v>
      </c>
      <c r="L320" t="s">
        <v>1301</v>
      </c>
      <c r="M320" t="s">
        <v>32</v>
      </c>
      <c r="N320" t="s">
        <v>51</v>
      </c>
      <c r="O320" t="s">
        <v>1302</v>
      </c>
      <c r="P320">
        <v>100</v>
      </c>
      <c r="Q320">
        <v>4</v>
      </c>
      <c r="R320">
        <v>21</v>
      </c>
      <c r="S320" s="3" t="s">
        <v>683</v>
      </c>
      <c r="T320">
        <v>2016</v>
      </c>
      <c r="U320" t="s">
        <v>180</v>
      </c>
      <c r="V320" s="2">
        <v>0.21</v>
      </c>
    </row>
    <row r="321" spans="1:22" x14ac:dyDescent="0.25">
      <c r="A321" t="s">
        <v>1375</v>
      </c>
      <c r="B321" s="1">
        <v>42945</v>
      </c>
      <c r="C321" s="1">
        <v>42948</v>
      </c>
      <c r="D321" t="s">
        <v>40</v>
      </c>
      <c r="E321" t="s">
        <v>432</v>
      </c>
      <c r="F321" t="s">
        <v>433</v>
      </c>
      <c r="G321" t="s">
        <v>26</v>
      </c>
      <c r="H321" t="s">
        <v>27</v>
      </c>
      <c r="I321" t="s">
        <v>460</v>
      </c>
      <c r="J321" t="s">
        <v>154</v>
      </c>
      <c r="K321" t="s">
        <v>155</v>
      </c>
      <c r="L321" t="s">
        <v>1077</v>
      </c>
      <c r="M321" t="s">
        <v>32</v>
      </c>
      <c r="N321" t="s">
        <v>33</v>
      </c>
      <c r="O321" t="s">
        <v>1078</v>
      </c>
      <c r="P321">
        <v>22</v>
      </c>
      <c r="Q321">
        <v>5</v>
      </c>
      <c r="R321">
        <v>1.375</v>
      </c>
      <c r="S321" s="3" t="s">
        <v>172</v>
      </c>
      <c r="T321">
        <v>2017</v>
      </c>
      <c r="U321" t="s">
        <v>332</v>
      </c>
      <c r="V321" s="2">
        <v>6.25E-2</v>
      </c>
    </row>
    <row r="322" spans="1:22" x14ac:dyDescent="0.25">
      <c r="A322" t="s">
        <v>1376</v>
      </c>
      <c r="B322" s="1">
        <v>42250</v>
      </c>
      <c r="C322" s="1">
        <v>42256</v>
      </c>
      <c r="D322" t="s">
        <v>23</v>
      </c>
      <c r="E322" t="s">
        <v>1377</v>
      </c>
      <c r="F322" t="s">
        <v>1378</v>
      </c>
      <c r="G322" t="s">
        <v>59</v>
      </c>
      <c r="H322" t="s">
        <v>27</v>
      </c>
      <c r="I322" t="s">
        <v>43</v>
      </c>
      <c r="J322" t="s">
        <v>29</v>
      </c>
      <c r="K322" t="s">
        <v>30</v>
      </c>
      <c r="L322" t="s">
        <v>1264</v>
      </c>
      <c r="M322" t="s">
        <v>32</v>
      </c>
      <c r="N322" t="s">
        <v>51</v>
      </c>
      <c r="O322" t="s">
        <v>1265</v>
      </c>
      <c r="P322">
        <v>17.899999999999999</v>
      </c>
      <c r="Q322">
        <v>2</v>
      </c>
      <c r="R322">
        <v>3.4009999999999998</v>
      </c>
      <c r="S322" s="3" t="s">
        <v>107</v>
      </c>
      <c r="T322">
        <v>2015</v>
      </c>
      <c r="U322" t="s">
        <v>81</v>
      </c>
      <c r="V322" s="2">
        <v>0.19</v>
      </c>
    </row>
    <row r="323" spans="1:22" x14ac:dyDescent="0.25">
      <c r="A323" t="s">
        <v>1376</v>
      </c>
      <c r="B323" s="1">
        <v>42250</v>
      </c>
      <c r="C323" s="1">
        <v>42256</v>
      </c>
      <c r="D323" t="s">
        <v>23</v>
      </c>
      <c r="E323" t="s">
        <v>1377</v>
      </c>
      <c r="F323" t="s">
        <v>1378</v>
      </c>
      <c r="G323" t="s">
        <v>59</v>
      </c>
      <c r="H323" t="s">
        <v>27</v>
      </c>
      <c r="I323" t="s">
        <v>43</v>
      </c>
      <c r="J323" t="s">
        <v>29</v>
      </c>
      <c r="K323" t="s">
        <v>30</v>
      </c>
      <c r="L323" t="s">
        <v>1379</v>
      </c>
      <c r="M323" t="s">
        <v>32</v>
      </c>
      <c r="N323" t="s">
        <v>51</v>
      </c>
      <c r="O323" t="s">
        <v>1380</v>
      </c>
      <c r="P323">
        <v>129.44999999999999</v>
      </c>
      <c r="Q323">
        <v>5</v>
      </c>
      <c r="R323">
        <v>46.601999999999997</v>
      </c>
      <c r="S323" s="3" t="s">
        <v>107</v>
      </c>
      <c r="T323">
        <v>2015</v>
      </c>
      <c r="U323" t="s">
        <v>81</v>
      </c>
      <c r="V323" s="2">
        <v>0.36</v>
      </c>
    </row>
    <row r="324" spans="1:22" x14ac:dyDescent="0.25">
      <c r="A324" t="s">
        <v>1381</v>
      </c>
      <c r="B324" s="1">
        <v>43038</v>
      </c>
      <c r="C324" s="1">
        <v>43042</v>
      </c>
      <c r="D324" t="s">
        <v>23</v>
      </c>
      <c r="E324" t="s">
        <v>1272</v>
      </c>
      <c r="F324" t="s">
        <v>1273</v>
      </c>
      <c r="G324" t="s">
        <v>26</v>
      </c>
      <c r="H324" t="s">
        <v>27</v>
      </c>
      <c r="I324" t="s">
        <v>206</v>
      </c>
      <c r="J324" t="s">
        <v>207</v>
      </c>
      <c r="K324" t="s">
        <v>95</v>
      </c>
      <c r="L324" t="s">
        <v>654</v>
      </c>
      <c r="M324" t="s">
        <v>32</v>
      </c>
      <c r="N324" t="s">
        <v>51</v>
      </c>
      <c r="O324" t="s">
        <v>655</v>
      </c>
      <c r="P324">
        <v>442.4</v>
      </c>
      <c r="Q324">
        <v>7</v>
      </c>
      <c r="R324">
        <v>-55.3</v>
      </c>
      <c r="S324" s="3" t="s">
        <v>53</v>
      </c>
      <c r="T324">
        <v>2017</v>
      </c>
      <c r="U324" t="s">
        <v>133</v>
      </c>
      <c r="V324" s="2">
        <v>-0.125</v>
      </c>
    </row>
    <row r="325" spans="1:22" x14ac:dyDescent="0.25">
      <c r="A325" t="s">
        <v>1382</v>
      </c>
      <c r="B325" s="1">
        <v>42346</v>
      </c>
      <c r="C325" s="1">
        <v>42349</v>
      </c>
      <c r="D325" t="s">
        <v>40</v>
      </c>
      <c r="E325" t="s">
        <v>1383</v>
      </c>
      <c r="F325" t="s">
        <v>1384</v>
      </c>
      <c r="G325" t="s">
        <v>70</v>
      </c>
      <c r="H325" t="s">
        <v>27</v>
      </c>
      <c r="I325" t="s">
        <v>570</v>
      </c>
      <c r="J325" t="s">
        <v>61</v>
      </c>
      <c r="K325" t="s">
        <v>62</v>
      </c>
      <c r="L325" t="s">
        <v>1385</v>
      </c>
      <c r="M325" t="s">
        <v>32</v>
      </c>
      <c r="N325" t="s">
        <v>33</v>
      </c>
      <c r="O325" t="s">
        <v>1386</v>
      </c>
      <c r="P325">
        <v>1718.4</v>
      </c>
      <c r="Q325">
        <v>6</v>
      </c>
      <c r="R325">
        <v>150.36000000000001</v>
      </c>
      <c r="S325" s="3" t="s">
        <v>172</v>
      </c>
      <c r="T325">
        <v>2015</v>
      </c>
      <c r="U325" t="s">
        <v>66</v>
      </c>
      <c r="V325" s="2">
        <v>8.7499999999999994E-2</v>
      </c>
    </row>
    <row r="326" spans="1:22" x14ac:dyDescent="0.25">
      <c r="A326" t="s">
        <v>1387</v>
      </c>
      <c r="B326" s="1">
        <v>41770</v>
      </c>
      <c r="C326" s="1">
        <v>41776</v>
      </c>
      <c r="D326" t="s">
        <v>23</v>
      </c>
      <c r="E326" t="s">
        <v>1388</v>
      </c>
      <c r="F326" t="s">
        <v>1389</v>
      </c>
      <c r="G326" t="s">
        <v>26</v>
      </c>
      <c r="H326" t="s">
        <v>27</v>
      </c>
      <c r="I326" t="s">
        <v>71</v>
      </c>
      <c r="J326" t="s">
        <v>61</v>
      </c>
      <c r="K326" t="s">
        <v>62</v>
      </c>
      <c r="L326" t="s">
        <v>995</v>
      </c>
      <c r="M326" t="s">
        <v>32</v>
      </c>
      <c r="N326" t="s">
        <v>51</v>
      </c>
      <c r="O326" t="s">
        <v>996</v>
      </c>
      <c r="P326">
        <v>46.863999999999997</v>
      </c>
      <c r="Q326">
        <v>2</v>
      </c>
      <c r="R326">
        <v>7.6154000000000002</v>
      </c>
      <c r="S326" s="3" t="s">
        <v>107</v>
      </c>
      <c r="T326">
        <v>2014</v>
      </c>
      <c r="U326" t="s">
        <v>527</v>
      </c>
      <c r="V326" s="2">
        <v>0.16250000000000001</v>
      </c>
    </row>
    <row r="327" spans="1:22" x14ac:dyDescent="0.25">
      <c r="A327" t="s">
        <v>1390</v>
      </c>
      <c r="B327" s="1">
        <v>42701</v>
      </c>
      <c r="C327" s="1">
        <v>42703</v>
      </c>
      <c r="D327" t="s">
        <v>40</v>
      </c>
      <c r="E327" t="s">
        <v>1391</v>
      </c>
      <c r="F327" t="s">
        <v>1392</v>
      </c>
      <c r="G327" t="s">
        <v>59</v>
      </c>
      <c r="H327" t="s">
        <v>27</v>
      </c>
      <c r="I327" t="s">
        <v>140</v>
      </c>
      <c r="J327" t="s">
        <v>78</v>
      </c>
      <c r="K327" t="s">
        <v>62</v>
      </c>
      <c r="L327" t="s">
        <v>263</v>
      </c>
      <c r="M327" t="s">
        <v>32</v>
      </c>
      <c r="N327" t="s">
        <v>51</v>
      </c>
      <c r="O327" t="s">
        <v>264</v>
      </c>
      <c r="P327">
        <v>62.4</v>
      </c>
      <c r="Q327">
        <v>6</v>
      </c>
      <c r="R327">
        <v>19.5</v>
      </c>
      <c r="S327" s="3" t="s">
        <v>65</v>
      </c>
      <c r="T327">
        <v>2016</v>
      </c>
      <c r="U327" t="s">
        <v>118</v>
      </c>
      <c r="V327" s="2">
        <v>0.3125</v>
      </c>
    </row>
    <row r="328" spans="1:22" x14ac:dyDescent="0.25">
      <c r="A328" t="s">
        <v>1393</v>
      </c>
      <c r="B328" s="1">
        <v>42685</v>
      </c>
      <c r="C328" s="1">
        <v>42690</v>
      </c>
      <c r="D328" t="s">
        <v>23</v>
      </c>
      <c r="E328" t="s">
        <v>1394</v>
      </c>
      <c r="F328" t="s">
        <v>1395</v>
      </c>
      <c r="G328" t="s">
        <v>26</v>
      </c>
      <c r="H328" t="s">
        <v>27</v>
      </c>
      <c r="I328" t="s">
        <v>103</v>
      </c>
      <c r="J328" t="s">
        <v>104</v>
      </c>
      <c r="K328" t="s">
        <v>95</v>
      </c>
      <c r="L328" t="s">
        <v>972</v>
      </c>
      <c r="M328" t="s">
        <v>32</v>
      </c>
      <c r="N328" t="s">
        <v>51</v>
      </c>
      <c r="O328" t="s">
        <v>973</v>
      </c>
      <c r="P328">
        <v>59.97</v>
      </c>
      <c r="Q328">
        <v>3</v>
      </c>
      <c r="R328">
        <v>14.9925</v>
      </c>
      <c r="S328" s="3" t="s">
        <v>35</v>
      </c>
      <c r="T328">
        <v>2016</v>
      </c>
      <c r="U328" t="s">
        <v>118</v>
      </c>
      <c r="V328" s="2">
        <v>0.25</v>
      </c>
    </row>
    <row r="329" spans="1:22" x14ac:dyDescent="0.25">
      <c r="A329" t="s">
        <v>1396</v>
      </c>
      <c r="B329" s="1">
        <v>43000</v>
      </c>
      <c r="C329" s="1">
        <v>43004</v>
      </c>
      <c r="D329" t="s">
        <v>23</v>
      </c>
      <c r="E329" t="s">
        <v>1397</v>
      </c>
      <c r="F329" t="s">
        <v>1398</v>
      </c>
      <c r="G329" t="s">
        <v>59</v>
      </c>
      <c r="H329" t="s">
        <v>27</v>
      </c>
      <c r="I329" t="s">
        <v>872</v>
      </c>
      <c r="J329" t="s">
        <v>185</v>
      </c>
      <c r="K329" t="s">
        <v>62</v>
      </c>
      <c r="L329" t="s">
        <v>1161</v>
      </c>
      <c r="M329" t="s">
        <v>32</v>
      </c>
      <c r="N329" t="s">
        <v>51</v>
      </c>
      <c r="O329" t="s">
        <v>1162</v>
      </c>
      <c r="P329">
        <v>98.16</v>
      </c>
      <c r="Q329">
        <v>6</v>
      </c>
      <c r="R329">
        <v>9.8160000000000007</v>
      </c>
      <c r="S329" s="3" t="s">
        <v>53</v>
      </c>
      <c r="T329">
        <v>2017</v>
      </c>
      <c r="U329" t="s">
        <v>81</v>
      </c>
      <c r="V329" s="2">
        <v>0.1</v>
      </c>
    </row>
    <row r="330" spans="1:22" x14ac:dyDescent="0.25">
      <c r="A330" t="s">
        <v>1396</v>
      </c>
      <c r="B330" s="1">
        <v>43000</v>
      </c>
      <c r="C330" s="1">
        <v>43004</v>
      </c>
      <c r="D330" t="s">
        <v>23</v>
      </c>
      <c r="E330" t="s">
        <v>1397</v>
      </c>
      <c r="F330" t="s">
        <v>1398</v>
      </c>
      <c r="G330" t="s">
        <v>59</v>
      </c>
      <c r="H330" t="s">
        <v>27</v>
      </c>
      <c r="I330" t="s">
        <v>872</v>
      </c>
      <c r="J330" t="s">
        <v>185</v>
      </c>
      <c r="K330" t="s">
        <v>62</v>
      </c>
      <c r="L330" t="s">
        <v>1399</v>
      </c>
      <c r="M330" t="s">
        <v>32</v>
      </c>
      <c r="N330" t="s">
        <v>33</v>
      </c>
      <c r="O330" t="s">
        <v>1400</v>
      </c>
      <c r="P330">
        <v>86.97</v>
      </c>
      <c r="Q330">
        <v>3</v>
      </c>
      <c r="R330">
        <v>25.221299999999999</v>
      </c>
      <c r="S330" s="3" t="s">
        <v>53</v>
      </c>
      <c r="T330">
        <v>2017</v>
      </c>
      <c r="U330" t="s">
        <v>81</v>
      </c>
      <c r="V330" s="2">
        <v>0.28999999999999998</v>
      </c>
    </row>
    <row r="331" spans="1:22" x14ac:dyDescent="0.25">
      <c r="A331" t="s">
        <v>1401</v>
      </c>
      <c r="B331" s="1">
        <v>42050</v>
      </c>
      <c r="C331" s="1">
        <v>42054</v>
      </c>
      <c r="D331" t="s">
        <v>23</v>
      </c>
      <c r="E331" t="s">
        <v>1402</v>
      </c>
      <c r="F331" t="s">
        <v>1403</v>
      </c>
      <c r="G331" t="s">
        <v>59</v>
      </c>
      <c r="H331" t="s">
        <v>27</v>
      </c>
      <c r="I331" t="s">
        <v>1404</v>
      </c>
      <c r="J331" t="s">
        <v>185</v>
      </c>
      <c r="K331" t="s">
        <v>62</v>
      </c>
      <c r="L331" t="s">
        <v>987</v>
      </c>
      <c r="M331" t="s">
        <v>32</v>
      </c>
      <c r="N331" t="s">
        <v>33</v>
      </c>
      <c r="O331" t="s">
        <v>988</v>
      </c>
      <c r="P331">
        <v>134.97</v>
      </c>
      <c r="Q331">
        <v>3</v>
      </c>
      <c r="R331">
        <v>64.785600000000002</v>
      </c>
      <c r="S331" s="3" t="s">
        <v>53</v>
      </c>
      <c r="T331">
        <v>2015</v>
      </c>
      <c r="U331" t="s">
        <v>180</v>
      </c>
      <c r="V331" s="2">
        <v>0.48</v>
      </c>
    </row>
    <row r="332" spans="1:22" x14ac:dyDescent="0.25">
      <c r="A332" t="s">
        <v>1401</v>
      </c>
      <c r="B332" s="1">
        <v>42050</v>
      </c>
      <c r="C332" s="1">
        <v>42054</v>
      </c>
      <c r="D332" t="s">
        <v>23</v>
      </c>
      <c r="E332" t="s">
        <v>1402</v>
      </c>
      <c r="F332" t="s">
        <v>1403</v>
      </c>
      <c r="G332" t="s">
        <v>59</v>
      </c>
      <c r="H332" t="s">
        <v>27</v>
      </c>
      <c r="I332" t="s">
        <v>1404</v>
      </c>
      <c r="J332" t="s">
        <v>185</v>
      </c>
      <c r="K332" t="s">
        <v>62</v>
      </c>
      <c r="L332" t="s">
        <v>906</v>
      </c>
      <c r="M332" t="s">
        <v>32</v>
      </c>
      <c r="N332" t="s">
        <v>33</v>
      </c>
      <c r="O332" t="s">
        <v>907</v>
      </c>
      <c r="P332">
        <v>699.98</v>
      </c>
      <c r="Q332">
        <v>2</v>
      </c>
      <c r="R332">
        <v>195.99440000000001</v>
      </c>
      <c r="S332" s="3" t="s">
        <v>53</v>
      </c>
      <c r="T332">
        <v>2015</v>
      </c>
      <c r="U332" t="s">
        <v>180</v>
      </c>
      <c r="V332" s="2">
        <v>0.28000000000000003</v>
      </c>
    </row>
    <row r="333" spans="1:22" x14ac:dyDescent="0.25">
      <c r="A333" t="s">
        <v>1401</v>
      </c>
      <c r="B333" s="1">
        <v>42050</v>
      </c>
      <c r="C333" s="1">
        <v>42054</v>
      </c>
      <c r="D333" t="s">
        <v>23</v>
      </c>
      <c r="E333" t="s">
        <v>1402</v>
      </c>
      <c r="F333" t="s">
        <v>1403</v>
      </c>
      <c r="G333" t="s">
        <v>59</v>
      </c>
      <c r="H333" t="s">
        <v>27</v>
      </c>
      <c r="I333" t="s">
        <v>1404</v>
      </c>
      <c r="J333" t="s">
        <v>185</v>
      </c>
      <c r="K333" t="s">
        <v>62</v>
      </c>
      <c r="L333" t="s">
        <v>1405</v>
      </c>
      <c r="M333" t="s">
        <v>32</v>
      </c>
      <c r="N333" t="s">
        <v>51</v>
      </c>
      <c r="O333" t="s">
        <v>1406</v>
      </c>
      <c r="P333">
        <v>139.94999999999999</v>
      </c>
      <c r="Q333">
        <v>5</v>
      </c>
      <c r="R333">
        <v>26.590499999999999</v>
      </c>
      <c r="S333" s="3" t="s">
        <v>53</v>
      </c>
      <c r="T333">
        <v>2015</v>
      </c>
      <c r="U333" t="s">
        <v>180</v>
      </c>
      <c r="V333" s="2">
        <v>0.19</v>
      </c>
    </row>
    <row r="334" spans="1:22" x14ac:dyDescent="0.25">
      <c r="A334" t="s">
        <v>1407</v>
      </c>
      <c r="B334" s="1">
        <v>42974</v>
      </c>
      <c r="C334" s="1">
        <v>42977</v>
      </c>
      <c r="D334" t="s">
        <v>56</v>
      </c>
      <c r="E334" t="s">
        <v>1408</v>
      </c>
      <c r="F334" t="s">
        <v>1409</v>
      </c>
      <c r="G334" t="s">
        <v>70</v>
      </c>
      <c r="H334" t="s">
        <v>27</v>
      </c>
      <c r="I334" t="s">
        <v>103</v>
      </c>
      <c r="J334" t="s">
        <v>104</v>
      </c>
      <c r="K334" t="s">
        <v>95</v>
      </c>
      <c r="L334" t="s">
        <v>1410</v>
      </c>
      <c r="M334" t="s">
        <v>32</v>
      </c>
      <c r="N334" t="s">
        <v>33</v>
      </c>
      <c r="O334" t="s">
        <v>1411</v>
      </c>
      <c r="P334">
        <v>347.97</v>
      </c>
      <c r="Q334">
        <v>3</v>
      </c>
      <c r="R334">
        <v>100.9113</v>
      </c>
      <c r="S334" s="3" t="s">
        <v>172</v>
      </c>
      <c r="T334">
        <v>2017</v>
      </c>
      <c r="U334" t="s">
        <v>46</v>
      </c>
      <c r="V334" s="2">
        <v>0.28999999999999998</v>
      </c>
    </row>
    <row r="335" spans="1:22" x14ac:dyDescent="0.25">
      <c r="A335" t="s">
        <v>1412</v>
      </c>
      <c r="B335" s="1">
        <v>43000</v>
      </c>
      <c r="C335" s="1">
        <v>43004</v>
      </c>
      <c r="D335" t="s">
        <v>40</v>
      </c>
      <c r="E335" t="s">
        <v>891</v>
      </c>
      <c r="F335" t="s">
        <v>892</v>
      </c>
      <c r="G335" t="s">
        <v>26</v>
      </c>
      <c r="H335" t="s">
        <v>27</v>
      </c>
      <c r="I335" t="s">
        <v>206</v>
      </c>
      <c r="J335" t="s">
        <v>207</v>
      </c>
      <c r="K335" t="s">
        <v>95</v>
      </c>
      <c r="L335" t="s">
        <v>1413</v>
      </c>
      <c r="M335" t="s">
        <v>32</v>
      </c>
      <c r="N335" t="s">
        <v>51</v>
      </c>
      <c r="O335" t="s">
        <v>1414</v>
      </c>
      <c r="P335">
        <v>79.983999999999995</v>
      </c>
      <c r="Q335">
        <v>2</v>
      </c>
      <c r="R335">
        <v>22.9954</v>
      </c>
      <c r="S335" s="3" t="s">
        <v>53</v>
      </c>
      <c r="T335">
        <v>2017</v>
      </c>
      <c r="U335" t="s">
        <v>81</v>
      </c>
      <c r="V335" s="2">
        <v>0.28749999999999998</v>
      </c>
    </row>
    <row r="336" spans="1:22" x14ac:dyDescent="0.25">
      <c r="A336" t="s">
        <v>1415</v>
      </c>
      <c r="B336" s="1">
        <v>42729</v>
      </c>
      <c r="C336" s="1">
        <v>42732</v>
      </c>
      <c r="D336" t="s">
        <v>56</v>
      </c>
      <c r="E336" t="s">
        <v>362</v>
      </c>
      <c r="F336" t="s">
        <v>363</v>
      </c>
      <c r="G336" t="s">
        <v>59</v>
      </c>
      <c r="H336" t="s">
        <v>27</v>
      </c>
      <c r="I336" t="s">
        <v>28</v>
      </c>
      <c r="J336" t="s">
        <v>29</v>
      </c>
      <c r="K336" t="s">
        <v>30</v>
      </c>
      <c r="L336" t="s">
        <v>1060</v>
      </c>
      <c r="M336" t="s">
        <v>32</v>
      </c>
      <c r="N336" t="s">
        <v>33</v>
      </c>
      <c r="O336" t="s">
        <v>1061</v>
      </c>
      <c r="P336">
        <v>2575.944</v>
      </c>
      <c r="Q336">
        <v>7</v>
      </c>
      <c r="R336">
        <v>257.59440000000001</v>
      </c>
      <c r="S336" s="3" t="s">
        <v>172</v>
      </c>
      <c r="T336">
        <v>2016</v>
      </c>
      <c r="U336" t="s">
        <v>66</v>
      </c>
      <c r="V336" s="2">
        <v>0.1</v>
      </c>
    </row>
    <row r="337" spans="1:22" x14ac:dyDescent="0.25">
      <c r="A337" t="s">
        <v>1415</v>
      </c>
      <c r="B337" s="1">
        <v>42729</v>
      </c>
      <c r="C337" s="1">
        <v>42732</v>
      </c>
      <c r="D337" t="s">
        <v>56</v>
      </c>
      <c r="E337" t="s">
        <v>362</v>
      </c>
      <c r="F337" t="s">
        <v>363</v>
      </c>
      <c r="G337" t="s">
        <v>59</v>
      </c>
      <c r="H337" t="s">
        <v>27</v>
      </c>
      <c r="I337" t="s">
        <v>28</v>
      </c>
      <c r="J337" t="s">
        <v>29</v>
      </c>
      <c r="K337" t="s">
        <v>30</v>
      </c>
      <c r="L337" t="s">
        <v>571</v>
      </c>
      <c r="M337" t="s">
        <v>32</v>
      </c>
      <c r="N337" t="s">
        <v>51</v>
      </c>
      <c r="O337" t="s">
        <v>572</v>
      </c>
      <c r="P337">
        <v>254.24</v>
      </c>
      <c r="Q337">
        <v>7</v>
      </c>
      <c r="R337">
        <v>76.272000000000006</v>
      </c>
      <c r="S337" s="3" t="s">
        <v>172</v>
      </c>
      <c r="T337">
        <v>2016</v>
      </c>
      <c r="U337" t="s">
        <v>66</v>
      </c>
      <c r="V337" s="2">
        <v>0.3</v>
      </c>
    </row>
    <row r="338" spans="1:22" x14ac:dyDescent="0.25">
      <c r="A338" t="s">
        <v>1416</v>
      </c>
      <c r="B338" s="1">
        <v>42411</v>
      </c>
      <c r="C338" s="1">
        <v>42413</v>
      </c>
      <c r="D338" t="s">
        <v>56</v>
      </c>
      <c r="E338" t="s">
        <v>1417</v>
      </c>
      <c r="F338" t="s">
        <v>1418</v>
      </c>
      <c r="G338" t="s">
        <v>59</v>
      </c>
      <c r="H338" t="s">
        <v>27</v>
      </c>
      <c r="I338" t="s">
        <v>1419</v>
      </c>
      <c r="J338" t="s">
        <v>200</v>
      </c>
      <c r="K338" t="s">
        <v>62</v>
      </c>
      <c r="L338" t="s">
        <v>1420</v>
      </c>
      <c r="M338" t="s">
        <v>32</v>
      </c>
      <c r="N338" t="s">
        <v>33</v>
      </c>
      <c r="O338" t="s">
        <v>1421</v>
      </c>
      <c r="P338">
        <v>69.930000000000007</v>
      </c>
      <c r="Q338">
        <v>7</v>
      </c>
      <c r="R338">
        <v>0.69930000000000003</v>
      </c>
      <c r="S338" s="3" t="s">
        <v>65</v>
      </c>
      <c r="T338">
        <v>2016</v>
      </c>
      <c r="U338" t="s">
        <v>180</v>
      </c>
      <c r="V338" s="2">
        <v>0.01</v>
      </c>
    </row>
    <row r="339" spans="1:22" x14ac:dyDescent="0.25">
      <c r="A339" t="s">
        <v>1422</v>
      </c>
      <c r="B339" s="1">
        <v>42408</v>
      </c>
      <c r="C339" s="1">
        <v>42411</v>
      </c>
      <c r="D339" t="s">
        <v>40</v>
      </c>
      <c r="E339" t="s">
        <v>1423</v>
      </c>
      <c r="F339" t="s">
        <v>1424</v>
      </c>
      <c r="G339" t="s">
        <v>70</v>
      </c>
      <c r="H339" t="s">
        <v>27</v>
      </c>
      <c r="I339" t="s">
        <v>1425</v>
      </c>
      <c r="J339" t="s">
        <v>154</v>
      </c>
      <c r="K339" t="s">
        <v>155</v>
      </c>
      <c r="L339" t="s">
        <v>1426</v>
      </c>
      <c r="M339" t="s">
        <v>32</v>
      </c>
      <c r="N339" t="s">
        <v>33</v>
      </c>
      <c r="O339" t="s">
        <v>1427</v>
      </c>
      <c r="P339">
        <v>1127.9760000000001</v>
      </c>
      <c r="Q339">
        <v>3</v>
      </c>
      <c r="R339">
        <v>126.8973</v>
      </c>
      <c r="S339" s="3" t="s">
        <v>172</v>
      </c>
      <c r="T339">
        <v>2016</v>
      </c>
      <c r="U339" t="s">
        <v>180</v>
      </c>
      <c r="V339" s="2">
        <v>0.1125</v>
      </c>
    </row>
    <row r="340" spans="1:22" x14ac:dyDescent="0.25">
      <c r="A340" t="s">
        <v>1428</v>
      </c>
      <c r="B340" s="1">
        <v>41777</v>
      </c>
      <c r="C340" s="1">
        <v>41783</v>
      </c>
      <c r="D340" t="s">
        <v>23</v>
      </c>
      <c r="E340" t="s">
        <v>1429</v>
      </c>
      <c r="F340" t="s">
        <v>1430</v>
      </c>
      <c r="G340" t="s">
        <v>26</v>
      </c>
      <c r="H340" t="s">
        <v>27</v>
      </c>
      <c r="I340" t="s">
        <v>1310</v>
      </c>
      <c r="J340" t="s">
        <v>177</v>
      </c>
      <c r="K340" t="s">
        <v>95</v>
      </c>
      <c r="L340" t="s">
        <v>1431</v>
      </c>
      <c r="M340" t="s">
        <v>32</v>
      </c>
      <c r="N340" t="s">
        <v>33</v>
      </c>
      <c r="O340" t="s">
        <v>1432</v>
      </c>
      <c r="P340">
        <v>779.79600000000005</v>
      </c>
      <c r="Q340">
        <v>2</v>
      </c>
      <c r="R340">
        <v>-168.95580000000001</v>
      </c>
      <c r="S340" s="3" t="s">
        <v>107</v>
      </c>
      <c r="T340">
        <v>2014</v>
      </c>
      <c r="U340" t="s">
        <v>527</v>
      </c>
      <c r="V340" s="2">
        <v>-0.21666666666666701</v>
      </c>
    </row>
    <row r="341" spans="1:22" x14ac:dyDescent="0.25">
      <c r="A341" t="s">
        <v>1433</v>
      </c>
      <c r="B341" s="1">
        <v>43029</v>
      </c>
      <c r="C341" s="1">
        <v>43029</v>
      </c>
      <c r="D341" t="s">
        <v>677</v>
      </c>
      <c r="E341" t="s">
        <v>1434</v>
      </c>
      <c r="F341" t="s">
        <v>1435</v>
      </c>
      <c r="G341" t="s">
        <v>70</v>
      </c>
      <c r="H341" t="s">
        <v>27</v>
      </c>
      <c r="I341" t="s">
        <v>1436</v>
      </c>
      <c r="J341" t="s">
        <v>200</v>
      </c>
      <c r="K341" t="s">
        <v>62</v>
      </c>
      <c r="L341" t="s">
        <v>1437</v>
      </c>
      <c r="M341" t="s">
        <v>32</v>
      </c>
      <c r="N341" t="s">
        <v>33</v>
      </c>
      <c r="O341" t="s">
        <v>1438</v>
      </c>
      <c r="P341">
        <v>1439.92</v>
      </c>
      <c r="Q341">
        <v>8</v>
      </c>
      <c r="R341">
        <v>374.37920000000003</v>
      </c>
      <c r="S341" s="3" t="s">
        <v>683</v>
      </c>
      <c r="T341">
        <v>2017</v>
      </c>
      <c r="U341" t="s">
        <v>133</v>
      </c>
      <c r="V341" s="2">
        <v>0.26</v>
      </c>
    </row>
    <row r="342" spans="1:22" x14ac:dyDescent="0.25">
      <c r="A342" t="s">
        <v>1439</v>
      </c>
      <c r="B342" s="1">
        <v>42948</v>
      </c>
      <c r="C342" s="1">
        <v>42954</v>
      </c>
      <c r="D342" t="s">
        <v>23</v>
      </c>
      <c r="E342" t="s">
        <v>1140</v>
      </c>
      <c r="F342" t="s">
        <v>1141</v>
      </c>
      <c r="G342" t="s">
        <v>59</v>
      </c>
      <c r="H342" t="s">
        <v>27</v>
      </c>
      <c r="I342" t="s">
        <v>715</v>
      </c>
      <c r="J342" t="s">
        <v>61</v>
      </c>
      <c r="K342" t="s">
        <v>62</v>
      </c>
      <c r="L342" t="s">
        <v>1440</v>
      </c>
      <c r="M342" t="s">
        <v>32</v>
      </c>
      <c r="N342" t="s">
        <v>215</v>
      </c>
      <c r="O342" t="s">
        <v>1441</v>
      </c>
      <c r="P342">
        <v>1439.982</v>
      </c>
      <c r="Q342">
        <v>3</v>
      </c>
      <c r="R342">
        <v>-263.99669999999998</v>
      </c>
      <c r="S342" s="3" t="s">
        <v>107</v>
      </c>
      <c r="T342">
        <v>2017</v>
      </c>
      <c r="U342" t="s">
        <v>46</v>
      </c>
      <c r="V342" s="2">
        <v>-0.18333333333333299</v>
      </c>
    </row>
    <row r="343" spans="1:22" x14ac:dyDescent="0.25">
      <c r="A343" t="s">
        <v>1442</v>
      </c>
      <c r="B343" s="1">
        <v>42945</v>
      </c>
      <c r="C343" s="1">
        <v>42949</v>
      </c>
      <c r="D343" t="s">
        <v>23</v>
      </c>
      <c r="E343" t="s">
        <v>1443</v>
      </c>
      <c r="F343" t="s">
        <v>1444</v>
      </c>
      <c r="G343" t="s">
        <v>26</v>
      </c>
      <c r="H343" t="s">
        <v>27</v>
      </c>
      <c r="I343" t="s">
        <v>481</v>
      </c>
      <c r="J343" t="s">
        <v>426</v>
      </c>
      <c r="K343" t="s">
        <v>30</v>
      </c>
      <c r="L343" t="s">
        <v>50</v>
      </c>
      <c r="M343" t="s">
        <v>32</v>
      </c>
      <c r="N343" t="s">
        <v>51</v>
      </c>
      <c r="O343" t="s">
        <v>52</v>
      </c>
      <c r="P343">
        <v>90.57</v>
      </c>
      <c r="Q343">
        <v>3</v>
      </c>
      <c r="R343">
        <v>11.774100000000001</v>
      </c>
      <c r="S343" s="3" t="s">
        <v>53</v>
      </c>
      <c r="T343">
        <v>2017</v>
      </c>
      <c r="U343" t="s">
        <v>332</v>
      </c>
      <c r="V343" s="2">
        <v>0.13</v>
      </c>
    </row>
    <row r="344" spans="1:22" x14ac:dyDescent="0.25">
      <c r="A344" t="s">
        <v>1445</v>
      </c>
      <c r="B344" s="1">
        <v>42205</v>
      </c>
      <c r="C344" s="1">
        <v>42210</v>
      </c>
      <c r="D344" t="s">
        <v>40</v>
      </c>
      <c r="E344" t="s">
        <v>1446</v>
      </c>
      <c r="F344" t="s">
        <v>1447</v>
      </c>
      <c r="G344" t="s">
        <v>26</v>
      </c>
      <c r="H344" t="s">
        <v>27</v>
      </c>
      <c r="I344" t="s">
        <v>1448</v>
      </c>
      <c r="J344" t="s">
        <v>669</v>
      </c>
      <c r="K344" t="s">
        <v>62</v>
      </c>
      <c r="L344" t="s">
        <v>697</v>
      </c>
      <c r="M344" t="s">
        <v>32</v>
      </c>
      <c r="N344" t="s">
        <v>51</v>
      </c>
      <c r="O344" t="s">
        <v>698</v>
      </c>
      <c r="P344">
        <v>831.2</v>
      </c>
      <c r="Q344">
        <v>5</v>
      </c>
      <c r="R344">
        <v>124.68</v>
      </c>
      <c r="S344" s="3" t="s">
        <v>35</v>
      </c>
      <c r="T344">
        <v>2015</v>
      </c>
      <c r="U344" t="s">
        <v>332</v>
      </c>
      <c r="V344" s="2">
        <v>0.15</v>
      </c>
    </row>
    <row r="345" spans="1:22" x14ac:dyDescent="0.25">
      <c r="A345" t="s">
        <v>1449</v>
      </c>
      <c r="B345" s="1">
        <v>42250</v>
      </c>
      <c r="C345" s="1">
        <v>42252</v>
      </c>
      <c r="D345" t="s">
        <v>56</v>
      </c>
      <c r="E345" t="s">
        <v>810</v>
      </c>
      <c r="F345" t="s">
        <v>811</v>
      </c>
      <c r="G345" t="s">
        <v>59</v>
      </c>
      <c r="H345" t="s">
        <v>27</v>
      </c>
      <c r="I345" t="s">
        <v>1450</v>
      </c>
      <c r="J345" t="s">
        <v>1451</v>
      </c>
      <c r="K345" t="s">
        <v>95</v>
      </c>
      <c r="L345" t="s">
        <v>1452</v>
      </c>
      <c r="M345" t="s">
        <v>32</v>
      </c>
      <c r="N345" t="s">
        <v>33</v>
      </c>
      <c r="O345" t="s">
        <v>1453</v>
      </c>
      <c r="P345">
        <v>100.49</v>
      </c>
      <c r="Q345">
        <v>1</v>
      </c>
      <c r="R345">
        <v>25.122499999999999</v>
      </c>
      <c r="S345" s="3" t="s">
        <v>65</v>
      </c>
      <c r="T345">
        <v>2015</v>
      </c>
      <c r="U345" t="s">
        <v>81</v>
      </c>
      <c r="V345" s="2">
        <v>0.25</v>
      </c>
    </row>
    <row r="346" spans="1:22" x14ac:dyDescent="0.25">
      <c r="A346" t="s">
        <v>1454</v>
      </c>
      <c r="B346" s="1">
        <v>42820</v>
      </c>
      <c r="C346" s="1">
        <v>42821</v>
      </c>
      <c r="D346" t="s">
        <v>56</v>
      </c>
      <c r="E346" t="s">
        <v>1455</v>
      </c>
      <c r="F346" t="s">
        <v>1456</v>
      </c>
      <c r="G346" t="s">
        <v>26</v>
      </c>
      <c r="H346" t="s">
        <v>27</v>
      </c>
      <c r="I346" t="s">
        <v>103</v>
      </c>
      <c r="J346" t="s">
        <v>104</v>
      </c>
      <c r="K346" t="s">
        <v>95</v>
      </c>
      <c r="L346" t="s">
        <v>232</v>
      </c>
      <c r="M346" t="s">
        <v>32</v>
      </c>
      <c r="N346" t="s">
        <v>33</v>
      </c>
      <c r="O346" t="s">
        <v>233</v>
      </c>
      <c r="P346">
        <v>119.96</v>
      </c>
      <c r="Q346">
        <v>4</v>
      </c>
      <c r="R346">
        <v>33.588799999999999</v>
      </c>
      <c r="S346" s="3" t="s">
        <v>112</v>
      </c>
      <c r="T346">
        <v>2017</v>
      </c>
      <c r="U346" t="s">
        <v>89</v>
      </c>
      <c r="V346" s="2">
        <v>0.28000000000000003</v>
      </c>
    </row>
    <row r="347" spans="1:22" x14ac:dyDescent="0.25">
      <c r="A347" t="s">
        <v>1457</v>
      </c>
      <c r="B347" s="1">
        <v>43051</v>
      </c>
      <c r="C347" s="1">
        <v>43051</v>
      </c>
      <c r="D347" t="s">
        <v>677</v>
      </c>
      <c r="E347" t="s">
        <v>629</v>
      </c>
      <c r="F347" t="s">
        <v>630</v>
      </c>
      <c r="G347" t="s">
        <v>59</v>
      </c>
      <c r="H347" t="s">
        <v>27</v>
      </c>
      <c r="I347" t="s">
        <v>1458</v>
      </c>
      <c r="J347" t="s">
        <v>177</v>
      </c>
      <c r="K347" t="s">
        <v>95</v>
      </c>
      <c r="L347" t="s">
        <v>1459</v>
      </c>
      <c r="M347" t="s">
        <v>32</v>
      </c>
      <c r="N347" t="s">
        <v>33</v>
      </c>
      <c r="O347" t="s">
        <v>1460</v>
      </c>
      <c r="P347">
        <v>370.78199999999998</v>
      </c>
      <c r="Q347">
        <v>3</v>
      </c>
      <c r="R347">
        <v>-92.695499999999996</v>
      </c>
      <c r="S347" s="3" t="s">
        <v>683</v>
      </c>
      <c r="T347">
        <v>2017</v>
      </c>
      <c r="U347" t="s">
        <v>118</v>
      </c>
      <c r="V347" s="2">
        <v>-0.25</v>
      </c>
    </row>
    <row r="348" spans="1:22" x14ac:dyDescent="0.25">
      <c r="A348" t="s">
        <v>1461</v>
      </c>
      <c r="B348" s="1">
        <v>42819</v>
      </c>
      <c r="C348" s="1">
        <v>42823</v>
      </c>
      <c r="D348" t="s">
        <v>23</v>
      </c>
      <c r="E348" t="s">
        <v>1462</v>
      </c>
      <c r="F348" t="s">
        <v>1463</v>
      </c>
      <c r="G348" t="s">
        <v>26</v>
      </c>
      <c r="H348" t="s">
        <v>27</v>
      </c>
      <c r="I348" t="s">
        <v>213</v>
      </c>
      <c r="J348" t="s">
        <v>61</v>
      </c>
      <c r="K348" t="s">
        <v>62</v>
      </c>
      <c r="L348" t="s">
        <v>556</v>
      </c>
      <c r="M348" t="s">
        <v>32</v>
      </c>
      <c r="N348" t="s">
        <v>33</v>
      </c>
      <c r="O348" t="s">
        <v>557</v>
      </c>
      <c r="P348">
        <v>470.37599999999998</v>
      </c>
      <c r="Q348">
        <v>3</v>
      </c>
      <c r="R348">
        <v>47.037599999999998</v>
      </c>
      <c r="S348" s="3" t="s">
        <v>53</v>
      </c>
      <c r="T348">
        <v>2017</v>
      </c>
      <c r="U348" t="s">
        <v>89</v>
      </c>
      <c r="V348" s="2">
        <v>0.1</v>
      </c>
    </row>
    <row r="349" spans="1:22" x14ac:dyDescent="0.25">
      <c r="A349" t="s">
        <v>1464</v>
      </c>
      <c r="B349" s="1">
        <v>43098</v>
      </c>
      <c r="C349" s="1">
        <v>43102</v>
      </c>
      <c r="D349" t="s">
        <v>23</v>
      </c>
      <c r="E349" t="s">
        <v>1304</v>
      </c>
      <c r="F349" t="s">
        <v>1305</v>
      </c>
      <c r="G349" t="s">
        <v>26</v>
      </c>
      <c r="H349" t="s">
        <v>27</v>
      </c>
      <c r="I349" t="s">
        <v>28</v>
      </c>
      <c r="J349" t="s">
        <v>29</v>
      </c>
      <c r="K349" t="s">
        <v>30</v>
      </c>
      <c r="L349" t="s">
        <v>276</v>
      </c>
      <c r="M349" t="s">
        <v>32</v>
      </c>
      <c r="N349" t="s">
        <v>33</v>
      </c>
      <c r="O349" t="s">
        <v>277</v>
      </c>
      <c r="P349">
        <v>302.37599999999998</v>
      </c>
      <c r="Q349">
        <v>3</v>
      </c>
      <c r="R349">
        <v>22.6782</v>
      </c>
      <c r="S349" s="3" t="s">
        <v>53</v>
      </c>
      <c r="T349">
        <v>2017</v>
      </c>
      <c r="U349" t="s">
        <v>66</v>
      </c>
      <c r="V349" s="2">
        <v>7.4999999999999997E-2</v>
      </c>
    </row>
    <row r="350" spans="1:22" x14ac:dyDescent="0.25">
      <c r="A350" t="s">
        <v>1465</v>
      </c>
      <c r="B350" s="1">
        <v>42602</v>
      </c>
      <c r="C350" s="1">
        <v>42605</v>
      </c>
      <c r="D350" t="s">
        <v>56</v>
      </c>
      <c r="E350" t="s">
        <v>1466</v>
      </c>
      <c r="F350" t="s">
        <v>1467</v>
      </c>
      <c r="G350" t="s">
        <v>70</v>
      </c>
      <c r="H350" t="s">
        <v>27</v>
      </c>
      <c r="I350" t="s">
        <v>851</v>
      </c>
      <c r="J350" t="s">
        <v>256</v>
      </c>
      <c r="K350" t="s">
        <v>62</v>
      </c>
      <c r="L350" t="s">
        <v>1468</v>
      </c>
      <c r="M350" t="s">
        <v>32</v>
      </c>
      <c r="N350" t="s">
        <v>33</v>
      </c>
      <c r="O350" t="s">
        <v>1469</v>
      </c>
      <c r="P350">
        <v>14.78</v>
      </c>
      <c r="Q350">
        <v>2</v>
      </c>
      <c r="R350">
        <v>3.9906000000000001</v>
      </c>
      <c r="S350" s="3" t="s">
        <v>172</v>
      </c>
      <c r="T350">
        <v>2016</v>
      </c>
      <c r="U350" t="s">
        <v>46</v>
      </c>
      <c r="V350" s="2">
        <v>0.27</v>
      </c>
    </row>
    <row r="351" spans="1:22" x14ac:dyDescent="0.25">
      <c r="A351" t="s">
        <v>1470</v>
      </c>
      <c r="B351" s="1">
        <v>43029</v>
      </c>
      <c r="C351" s="1">
        <v>43030</v>
      </c>
      <c r="D351" t="s">
        <v>56</v>
      </c>
      <c r="E351" t="s">
        <v>1471</v>
      </c>
      <c r="F351" t="s">
        <v>1472</v>
      </c>
      <c r="G351" t="s">
        <v>59</v>
      </c>
      <c r="H351" t="s">
        <v>27</v>
      </c>
      <c r="I351" t="s">
        <v>946</v>
      </c>
      <c r="J351" t="s">
        <v>340</v>
      </c>
      <c r="K351" t="s">
        <v>30</v>
      </c>
      <c r="L351" t="s">
        <v>1124</v>
      </c>
      <c r="M351" t="s">
        <v>32</v>
      </c>
      <c r="N351" t="s">
        <v>51</v>
      </c>
      <c r="O351" t="s">
        <v>1125</v>
      </c>
      <c r="P351">
        <v>28.4</v>
      </c>
      <c r="Q351">
        <v>2</v>
      </c>
      <c r="R351">
        <v>6.7450000000000001</v>
      </c>
      <c r="S351" s="3" t="s">
        <v>112</v>
      </c>
      <c r="T351">
        <v>2017</v>
      </c>
      <c r="U351" t="s">
        <v>133</v>
      </c>
      <c r="V351" s="2">
        <v>0.23749999999999999</v>
      </c>
    </row>
    <row r="352" spans="1:22" x14ac:dyDescent="0.25">
      <c r="A352" t="s">
        <v>1473</v>
      </c>
      <c r="B352" s="1">
        <v>42689</v>
      </c>
      <c r="C352" s="1">
        <v>42696</v>
      </c>
      <c r="D352" t="s">
        <v>23</v>
      </c>
      <c r="E352" t="s">
        <v>1474</v>
      </c>
      <c r="F352" t="s">
        <v>1475</v>
      </c>
      <c r="G352" t="s">
        <v>59</v>
      </c>
      <c r="H352" t="s">
        <v>27</v>
      </c>
      <c r="I352" t="s">
        <v>28</v>
      </c>
      <c r="J352" t="s">
        <v>29</v>
      </c>
      <c r="K352" t="s">
        <v>30</v>
      </c>
      <c r="L352" t="s">
        <v>289</v>
      </c>
      <c r="M352" t="s">
        <v>32</v>
      </c>
      <c r="N352" t="s">
        <v>51</v>
      </c>
      <c r="O352" t="s">
        <v>550</v>
      </c>
      <c r="P352">
        <v>99.39</v>
      </c>
      <c r="Q352">
        <v>3</v>
      </c>
      <c r="R352">
        <v>40.749899999999997</v>
      </c>
      <c r="S352" s="3" t="s">
        <v>132</v>
      </c>
      <c r="T352">
        <v>2016</v>
      </c>
      <c r="U352" t="s">
        <v>118</v>
      </c>
      <c r="V352" s="2">
        <v>0.41</v>
      </c>
    </row>
    <row r="353" spans="1:22" x14ac:dyDescent="0.25">
      <c r="A353" t="s">
        <v>1476</v>
      </c>
      <c r="B353" s="1">
        <v>42919</v>
      </c>
      <c r="C353" s="1">
        <v>42922</v>
      </c>
      <c r="D353" t="s">
        <v>40</v>
      </c>
      <c r="E353" t="s">
        <v>1477</v>
      </c>
      <c r="F353" t="s">
        <v>1478</v>
      </c>
      <c r="G353" t="s">
        <v>59</v>
      </c>
      <c r="H353" t="s">
        <v>27</v>
      </c>
      <c r="I353" t="s">
        <v>71</v>
      </c>
      <c r="J353" t="s">
        <v>61</v>
      </c>
      <c r="K353" t="s">
        <v>62</v>
      </c>
      <c r="L353" t="s">
        <v>1479</v>
      </c>
      <c r="M353" t="s">
        <v>32</v>
      </c>
      <c r="N353" t="s">
        <v>215</v>
      </c>
      <c r="O353" t="s">
        <v>1480</v>
      </c>
      <c r="P353">
        <v>597.13199999999995</v>
      </c>
      <c r="Q353">
        <v>3</v>
      </c>
      <c r="R353">
        <v>49.761000000000003</v>
      </c>
      <c r="S353" s="3" t="s">
        <v>172</v>
      </c>
      <c r="T353">
        <v>2017</v>
      </c>
      <c r="U353" t="s">
        <v>332</v>
      </c>
      <c r="V353" s="2">
        <v>8.3333333333333398E-2</v>
      </c>
    </row>
    <row r="354" spans="1:22" x14ac:dyDescent="0.25">
      <c r="A354" t="s">
        <v>1481</v>
      </c>
      <c r="B354" s="1">
        <v>41654</v>
      </c>
      <c r="C354" s="1">
        <v>41656</v>
      </c>
      <c r="D354" t="s">
        <v>56</v>
      </c>
      <c r="E354" t="s">
        <v>1482</v>
      </c>
      <c r="F354" t="s">
        <v>1483</v>
      </c>
      <c r="G354" t="s">
        <v>26</v>
      </c>
      <c r="H354" t="s">
        <v>27</v>
      </c>
      <c r="I354" t="s">
        <v>1005</v>
      </c>
      <c r="J354" t="s">
        <v>1006</v>
      </c>
      <c r="K354" t="s">
        <v>155</v>
      </c>
      <c r="L354" t="s">
        <v>330</v>
      </c>
      <c r="M354" t="s">
        <v>32</v>
      </c>
      <c r="N354" t="s">
        <v>51</v>
      </c>
      <c r="O354" t="s">
        <v>331</v>
      </c>
      <c r="P354">
        <v>149.94999999999999</v>
      </c>
      <c r="Q354">
        <v>5</v>
      </c>
      <c r="R354">
        <v>65.977999999999994</v>
      </c>
      <c r="S354" s="3" t="s">
        <v>65</v>
      </c>
      <c r="T354">
        <v>2014</v>
      </c>
      <c r="U354" t="s">
        <v>54</v>
      </c>
      <c r="V354" s="2">
        <v>0.44</v>
      </c>
    </row>
    <row r="355" spans="1:22" x14ac:dyDescent="0.25">
      <c r="A355" t="s">
        <v>1484</v>
      </c>
      <c r="B355" s="1">
        <v>42307</v>
      </c>
      <c r="C355" s="1">
        <v>42309</v>
      </c>
      <c r="D355" t="s">
        <v>40</v>
      </c>
      <c r="E355" t="s">
        <v>1423</v>
      </c>
      <c r="F355" t="s">
        <v>1424</v>
      </c>
      <c r="G355" t="s">
        <v>70</v>
      </c>
      <c r="H355" t="s">
        <v>27</v>
      </c>
      <c r="I355" t="s">
        <v>851</v>
      </c>
      <c r="J355" t="s">
        <v>256</v>
      </c>
      <c r="K355" t="s">
        <v>62</v>
      </c>
      <c r="L355" t="s">
        <v>1485</v>
      </c>
      <c r="M355" t="s">
        <v>32</v>
      </c>
      <c r="N355" t="s">
        <v>33</v>
      </c>
      <c r="O355" t="s">
        <v>1486</v>
      </c>
      <c r="P355">
        <v>299.89999999999998</v>
      </c>
      <c r="Q355">
        <v>2</v>
      </c>
      <c r="R355">
        <v>74.974999999999994</v>
      </c>
      <c r="S355" s="3" t="s">
        <v>65</v>
      </c>
      <c r="T355">
        <v>2015</v>
      </c>
      <c r="U355" t="s">
        <v>133</v>
      </c>
      <c r="V355" s="2">
        <v>0.25</v>
      </c>
    </row>
    <row r="356" spans="1:22" x14ac:dyDescent="0.25">
      <c r="A356" t="s">
        <v>1487</v>
      </c>
      <c r="B356" s="1">
        <v>42559</v>
      </c>
      <c r="C356" s="1">
        <v>42561</v>
      </c>
      <c r="D356" t="s">
        <v>40</v>
      </c>
      <c r="E356" t="s">
        <v>1488</v>
      </c>
      <c r="F356" t="s">
        <v>1489</v>
      </c>
      <c r="G356" t="s">
        <v>59</v>
      </c>
      <c r="H356" t="s">
        <v>27</v>
      </c>
      <c r="I356" t="s">
        <v>1490</v>
      </c>
      <c r="J356" t="s">
        <v>61</v>
      </c>
      <c r="K356" t="s">
        <v>62</v>
      </c>
      <c r="L356" t="s">
        <v>1491</v>
      </c>
      <c r="M356" t="s">
        <v>32</v>
      </c>
      <c r="N356" t="s">
        <v>33</v>
      </c>
      <c r="O356" t="s">
        <v>1492</v>
      </c>
      <c r="P356">
        <v>863.64</v>
      </c>
      <c r="Q356">
        <v>9</v>
      </c>
      <c r="R356">
        <v>107.955</v>
      </c>
      <c r="S356" s="3" t="s">
        <v>65</v>
      </c>
      <c r="T356">
        <v>2016</v>
      </c>
      <c r="U356" t="s">
        <v>332</v>
      </c>
      <c r="V356" s="2">
        <v>0.125</v>
      </c>
    </row>
    <row r="357" spans="1:22" x14ac:dyDescent="0.25">
      <c r="A357" t="s">
        <v>1493</v>
      </c>
      <c r="B357" s="1">
        <v>42803</v>
      </c>
      <c r="C357" s="1">
        <v>42807</v>
      </c>
      <c r="D357" t="s">
        <v>23</v>
      </c>
      <c r="E357" t="s">
        <v>985</v>
      </c>
      <c r="F357" t="s">
        <v>986</v>
      </c>
      <c r="G357" t="s">
        <v>59</v>
      </c>
      <c r="H357" t="s">
        <v>27</v>
      </c>
      <c r="I357" t="s">
        <v>43</v>
      </c>
      <c r="J357" t="s">
        <v>29</v>
      </c>
      <c r="K357" t="s">
        <v>30</v>
      </c>
      <c r="L357" t="s">
        <v>365</v>
      </c>
      <c r="M357" t="s">
        <v>32</v>
      </c>
      <c r="N357" t="s">
        <v>51</v>
      </c>
      <c r="O357" t="s">
        <v>366</v>
      </c>
      <c r="P357">
        <v>199.98</v>
      </c>
      <c r="Q357">
        <v>2</v>
      </c>
      <c r="R357">
        <v>69.992999999999995</v>
      </c>
      <c r="S357" s="3" t="s">
        <v>53</v>
      </c>
      <c r="T357">
        <v>2017</v>
      </c>
      <c r="U357" t="s">
        <v>89</v>
      </c>
      <c r="V357" s="2">
        <v>0.35</v>
      </c>
    </row>
    <row r="358" spans="1:22" x14ac:dyDescent="0.25">
      <c r="A358" t="s">
        <v>1494</v>
      </c>
      <c r="B358" s="1">
        <v>42530</v>
      </c>
      <c r="C358" s="1">
        <v>42536</v>
      </c>
      <c r="D358" t="s">
        <v>23</v>
      </c>
      <c r="E358" t="s">
        <v>1495</v>
      </c>
      <c r="F358" t="s">
        <v>1496</v>
      </c>
      <c r="G358" t="s">
        <v>26</v>
      </c>
      <c r="H358" t="s">
        <v>27</v>
      </c>
      <c r="I358" t="s">
        <v>28</v>
      </c>
      <c r="J358" t="s">
        <v>29</v>
      </c>
      <c r="K358" t="s">
        <v>30</v>
      </c>
      <c r="L358" t="s">
        <v>1497</v>
      </c>
      <c r="M358" t="s">
        <v>32</v>
      </c>
      <c r="N358" t="s">
        <v>33</v>
      </c>
      <c r="O358" t="s">
        <v>1498</v>
      </c>
      <c r="P358">
        <v>177.48</v>
      </c>
      <c r="Q358">
        <v>3</v>
      </c>
      <c r="R358">
        <v>19.9665</v>
      </c>
      <c r="S358" s="3" t="s">
        <v>107</v>
      </c>
      <c r="T358">
        <v>2016</v>
      </c>
      <c r="U358" t="s">
        <v>36</v>
      </c>
      <c r="V358" s="2">
        <v>0.1125</v>
      </c>
    </row>
    <row r="359" spans="1:22" x14ac:dyDescent="0.25">
      <c r="A359" t="s">
        <v>1499</v>
      </c>
      <c r="B359" s="1">
        <v>42810</v>
      </c>
      <c r="C359" s="1">
        <v>42812</v>
      </c>
      <c r="D359" t="s">
        <v>40</v>
      </c>
      <c r="E359" t="s">
        <v>1323</v>
      </c>
      <c r="F359" t="s">
        <v>1324</v>
      </c>
      <c r="G359" t="s">
        <v>70</v>
      </c>
      <c r="H359" t="s">
        <v>27</v>
      </c>
      <c r="I359" t="s">
        <v>481</v>
      </c>
      <c r="J359" t="s">
        <v>426</v>
      </c>
      <c r="K359" t="s">
        <v>30</v>
      </c>
      <c r="L359" t="s">
        <v>1082</v>
      </c>
      <c r="M359" t="s">
        <v>32</v>
      </c>
      <c r="N359" t="s">
        <v>33</v>
      </c>
      <c r="O359" t="s">
        <v>1083</v>
      </c>
      <c r="P359">
        <v>659.976</v>
      </c>
      <c r="Q359">
        <v>3</v>
      </c>
      <c r="R359">
        <v>49.498199999999997</v>
      </c>
      <c r="S359" s="3" t="s">
        <v>65</v>
      </c>
      <c r="T359">
        <v>2017</v>
      </c>
      <c r="U359" t="s">
        <v>89</v>
      </c>
      <c r="V359" s="2">
        <v>7.4999999999999997E-2</v>
      </c>
    </row>
    <row r="360" spans="1:22" x14ac:dyDescent="0.25">
      <c r="A360" t="s">
        <v>1500</v>
      </c>
      <c r="B360" s="1">
        <v>42701</v>
      </c>
      <c r="C360" s="1">
        <v>42703</v>
      </c>
      <c r="D360" t="s">
        <v>40</v>
      </c>
      <c r="E360" t="s">
        <v>307</v>
      </c>
      <c r="F360" t="s">
        <v>308</v>
      </c>
      <c r="G360" t="s">
        <v>26</v>
      </c>
      <c r="H360" t="s">
        <v>27</v>
      </c>
      <c r="I360" t="s">
        <v>193</v>
      </c>
      <c r="J360" t="s">
        <v>123</v>
      </c>
      <c r="K360" t="s">
        <v>30</v>
      </c>
      <c r="L360" t="s">
        <v>1501</v>
      </c>
      <c r="M360" t="s">
        <v>32</v>
      </c>
      <c r="N360" t="s">
        <v>33</v>
      </c>
      <c r="O360" t="s">
        <v>1502</v>
      </c>
      <c r="P360">
        <v>271.99200000000002</v>
      </c>
      <c r="Q360">
        <v>1</v>
      </c>
      <c r="R360">
        <v>23.799299999999999</v>
      </c>
      <c r="S360" s="3" t="s">
        <v>65</v>
      </c>
      <c r="T360">
        <v>2016</v>
      </c>
      <c r="U360" t="s">
        <v>118</v>
      </c>
      <c r="V360" s="2">
        <v>8.7499999999999994E-2</v>
      </c>
    </row>
    <row r="361" spans="1:22" x14ac:dyDescent="0.25">
      <c r="A361" t="s">
        <v>1503</v>
      </c>
      <c r="B361" s="1">
        <v>43066</v>
      </c>
      <c r="C361" s="1">
        <v>43072</v>
      </c>
      <c r="D361" t="s">
        <v>23</v>
      </c>
      <c r="E361" t="s">
        <v>985</v>
      </c>
      <c r="F361" t="s">
        <v>986</v>
      </c>
      <c r="G361" t="s">
        <v>59</v>
      </c>
      <c r="H361" t="s">
        <v>27</v>
      </c>
      <c r="I361" t="s">
        <v>43</v>
      </c>
      <c r="J361" t="s">
        <v>29</v>
      </c>
      <c r="K361" t="s">
        <v>30</v>
      </c>
      <c r="L361" t="s">
        <v>1504</v>
      </c>
      <c r="M361" t="s">
        <v>32</v>
      </c>
      <c r="N361" t="s">
        <v>51</v>
      </c>
      <c r="O361" t="s">
        <v>1505</v>
      </c>
      <c r="P361">
        <v>166.16</v>
      </c>
      <c r="Q361">
        <v>8</v>
      </c>
      <c r="R361">
        <v>59.817599999999999</v>
      </c>
      <c r="S361" s="3" t="s">
        <v>107</v>
      </c>
      <c r="T361">
        <v>2017</v>
      </c>
      <c r="U361" t="s">
        <v>118</v>
      </c>
      <c r="V361" s="2">
        <v>0.36</v>
      </c>
    </row>
    <row r="362" spans="1:22" x14ac:dyDescent="0.25">
      <c r="A362" t="s">
        <v>1506</v>
      </c>
      <c r="B362" s="1">
        <v>42541</v>
      </c>
      <c r="C362" s="1">
        <v>42547</v>
      </c>
      <c r="D362" t="s">
        <v>23</v>
      </c>
      <c r="E362" t="s">
        <v>1507</v>
      </c>
      <c r="F362" t="s">
        <v>1508</v>
      </c>
      <c r="G362" t="s">
        <v>59</v>
      </c>
      <c r="H362" t="s">
        <v>27</v>
      </c>
      <c r="I362" t="s">
        <v>1509</v>
      </c>
      <c r="J362" t="s">
        <v>61</v>
      </c>
      <c r="K362" t="s">
        <v>62</v>
      </c>
      <c r="L362" t="s">
        <v>1233</v>
      </c>
      <c r="M362" t="s">
        <v>32</v>
      </c>
      <c r="N362" t="s">
        <v>51</v>
      </c>
      <c r="O362" t="s">
        <v>1234</v>
      </c>
      <c r="P362">
        <v>95.968000000000004</v>
      </c>
      <c r="Q362">
        <v>4</v>
      </c>
      <c r="R362">
        <v>26.391200000000001</v>
      </c>
      <c r="S362" s="3" t="s">
        <v>107</v>
      </c>
      <c r="T362">
        <v>2016</v>
      </c>
      <c r="U362" t="s">
        <v>36</v>
      </c>
      <c r="V362" s="2">
        <v>0.27500000000000002</v>
      </c>
    </row>
    <row r="363" spans="1:22" x14ac:dyDescent="0.25">
      <c r="A363" t="s">
        <v>1510</v>
      </c>
      <c r="B363" s="1">
        <v>42980</v>
      </c>
      <c r="C363" s="1">
        <v>42984</v>
      </c>
      <c r="D363" t="s">
        <v>23</v>
      </c>
      <c r="E363" t="s">
        <v>1511</v>
      </c>
      <c r="F363" t="s">
        <v>1512</v>
      </c>
      <c r="G363" t="s">
        <v>59</v>
      </c>
      <c r="H363" t="s">
        <v>27</v>
      </c>
      <c r="I363" t="s">
        <v>103</v>
      </c>
      <c r="J363" t="s">
        <v>104</v>
      </c>
      <c r="K363" t="s">
        <v>95</v>
      </c>
      <c r="L363" t="s">
        <v>951</v>
      </c>
      <c r="M363" t="s">
        <v>32</v>
      </c>
      <c r="N363" t="s">
        <v>33</v>
      </c>
      <c r="O363" t="s">
        <v>952</v>
      </c>
      <c r="P363">
        <v>197.97</v>
      </c>
      <c r="Q363">
        <v>3</v>
      </c>
      <c r="R363">
        <v>57.411299999999997</v>
      </c>
      <c r="S363" s="3" t="s">
        <v>53</v>
      </c>
      <c r="T363">
        <v>2017</v>
      </c>
      <c r="U363" t="s">
        <v>81</v>
      </c>
      <c r="V363" s="2">
        <v>0.28999999999999998</v>
      </c>
    </row>
    <row r="364" spans="1:22" x14ac:dyDescent="0.25">
      <c r="A364" t="s">
        <v>1510</v>
      </c>
      <c r="B364" s="1">
        <v>42980</v>
      </c>
      <c r="C364" s="1">
        <v>42984</v>
      </c>
      <c r="D364" t="s">
        <v>23</v>
      </c>
      <c r="E364" t="s">
        <v>1511</v>
      </c>
      <c r="F364" t="s">
        <v>1512</v>
      </c>
      <c r="G364" t="s">
        <v>59</v>
      </c>
      <c r="H364" t="s">
        <v>27</v>
      </c>
      <c r="I364" t="s">
        <v>103</v>
      </c>
      <c r="J364" t="s">
        <v>104</v>
      </c>
      <c r="K364" t="s">
        <v>95</v>
      </c>
      <c r="L364" t="s">
        <v>1513</v>
      </c>
      <c r="M364" t="s">
        <v>32</v>
      </c>
      <c r="N364" t="s">
        <v>51</v>
      </c>
      <c r="O364" t="s">
        <v>1514</v>
      </c>
      <c r="P364">
        <v>238</v>
      </c>
      <c r="Q364">
        <v>2</v>
      </c>
      <c r="R364">
        <v>38.08</v>
      </c>
      <c r="S364" s="3" t="s">
        <v>53</v>
      </c>
      <c r="T364">
        <v>2017</v>
      </c>
      <c r="U364" t="s">
        <v>81</v>
      </c>
      <c r="V364" s="2">
        <v>0.16</v>
      </c>
    </row>
    <row r="365" spans="1:22" x14ac:dyDescent="0.25">
      <c r="A365" t="s">
        <v>1510</v>
      </c>
      <c r="B365" s="1">
        <v>42980</v>
      </c>
      <c r="C365" s="1">
        <v>42984</v>
      </c>
      <c r="D365" t="s">
        <v>23</v>
      </c>
      <c r="E365" t="s">
        <v>1511</v>
      </c>
      <c r="F365" t="s">
        <v>1512</v>
      </c>
      <c r="G365" t="s">
        <v>59</v>
      </c>
      <c r="H365" t="s">
        <v>27</v>
      </c>
      <c r="I365" t="s">
        <v>103</v>
      </c>
      <c r="J365" t="s">
        <v>104</v>
      </c>
      <c r="K365" t="s">
        <v>95</v>
      </c>
      <c r="L365" t="s">
        <v>271</v>
      </c>
      <c r="M365" t="s">
        <v>32</v>
      </c>
      <c r="N365" t="s">
        <v>51</v>
      </c>
      <c r="O365" t="s">
        <v>272</v>
      </c>
      <c r="P365">
        <v>167.97</v>
      </c>
      <c r="Q365">
        <v>3</v>
      </c>
      <c r="R365">
        <v>40.312800000000003</v>
      </c>
      <c r="S365" s="3" t="s">
        <v>53</v>
      </c>
      <c r="T365">
        <v>2017</v>
      </c>
      <c r="U365" t="s">
        <v>81</v>
      </c>
      <c r="V365" s="2">
        <v>0.24</v>
      </c>
    </row>
    <row r="366" spans="1:22" x14ac:dyDescent="0.25">
      <c r="A366" t="s">
        <v>1515</v>
      </c>
      <c r="B366" s="1">
        <v>42988</v>
      </c>
      <c r="C366" s="1">
        <v>42993</v>
      </c>
      <c r="D366" t="s">
        <v>40</v>
      </c>
      <c r="E366" t="s">
        <v>1516</v>
      </c>
      <c r="F366" t="s">
        <v>1517</v>
      </c>
      <c r="G366" t="s">
        <v>26</v>
      </c>
      <c r="H366" t="s">
        <v>27</v>
      </c>
      <c r="I366" t="s">
        <v>946</v>
      </c>
      <c r="J366" t="s">
        <v>532</v>
      </c>
      <c r="K366" t="s">
        <v>62</v>
      </c>
      <c r="L366" t="s">
        <v>1342</v>
      </c>
      <c r="M366" t="s">
        <v>32</v>
      </c>
      <c r="N366" t="s">
        <v>51</v>
      </c>
      <c r="O366" t="s">
        <v>1343</v>
      </c>
      <c r="P366">
        <v>296.85000000000002</v>
      </c>
      <c r="Q366">
        <v>5</v>
      </c>
      <c r="R366">
        <v>53.433</v>
      </c>
      <c r="S366" s="3" t="s">
        <v>35</v>
      </c>
      <c r="T366">
        <v>2017</v>
      </c>
      <c r="U366" t="s">
        <v>81</v>
      </c>
      <c r="V366" s="2">
        <v>0.18</v>
      </c>
    </row>
    <row r="367" spans="1:22" x14ac:dyDescent="0.25">
      <c r="A367" t="s">
        <v>1515</v>
      </c>
      <c r="B367" s="1">
        <v>42988</v>
      </c>
      <c r="C367" s="1">
        <v>42993</v>
      </c>
      <c r="D367" t="s">
        <v>40</v>
      </c>
      <c r="E367" t="s">
        <v>1516</v>
      </c>
      <c r="F367" t="s">
        <v>1517</v>
      </c>
      <c r="G367" t="s">
        <v>26</v>
      </c>
      <c r="H367" t="s">
        <v>27</v>
      </c>
      <c r="I367" t="s">
        <v>946</v>
      </c>
      <c r="J367" t="s">
        <v>532</v>
      </c>
      <c r="K367" t="s">
        <v>62</v>
      </c>
      <c r="L367" t="s">
        <v>1518</v>
      </c>
      <c r="M367" t="s">
        <v>32</v>
      </c>
      <c r="N367" t="s">
        <v>51</v>
      </c>
      <c r="O367" t="s">
        <v>1519</v>
      </c>
      <c r="P367">
        <v>112.8</v>
      </c>
      <c r="Q367">
        <v>6</v>
      </c>
      <c r="R367">
        <v>6.7679999999999998</v>
      </c>
      <c r="S367" s="3" t="s">
        <v>35</v>
      </c>
      <c r="T367">
        <v>2017</v>
      </c>
      <c r="U367" t="s">
        <v>81</v>
      </c>
      <c r="V367" s="2">
        <v>0.06</v>
      </c>
    </row>
    <row r="368" spans="1:22" x14ac:dyDescent="0.25">
      <c r="A368" t="s">
        <v>1520</v>
      </c>
      <c r="B368" s="1">
        <v>43090</v>
      </c>
      <c r="C368" s="1">
        <v>43097</v>
      </c>
      <c r="D368" t="s">
        <v>23</v>
      </c>
      <c r="E368" t="s">
        <v>543</v>
      </c>
      <c r="F368" t="s">
        <v>544</v>
      </c>
      <c r="G368" t="s">
        <v>26</v>
      </c>
      <c r="H368" t="s">
        <v>27</v>
      </c>
      <c r="I368" t="s">
        <v>1521</v>
      </c>
      <c r="J368" t="s">
        <v>794</v>
      </c>
      <c r="K368" t="s">
        <v>95</v>
      </c>
      <c r="L368" t="s">
        <v>638</v>
      </c>
      <c r="M368" t="s">
        <v>32</v>
      </c>
      <c r="N368" t="s">
        <v>33</v>
      </c>
      <c r="O368" t="s">
        <v>639</v>
      </c>
      <c r="P368">
        <v>281.97000000000003</v>
      </c>
      <c r="Q368">
        <v>3</v>
      </c>
      <c r="R368">
        <v>78.951599999999999</v>
      </c>
      <c r="S368" s="3" t="s">
        <v>132</v>
      </c>
      <c r="T368">
        <v>2017</v>
      </c>
      <c r="U368" t="s">
        <v>66</v>
      </c>
      <c r="V368" s="2">
        <v>0.28000000000000003</v>
      </c>
    </row>
    <row r="369" spans="1:22" x14ac:dyDescent="0.25">
      <c r="A369" t="s">
        <v>1522</v>
      </c>
      <c r="B369" s="1">
        <v>43001</v>
      </c>
      <c r="C369" s="1">
        <v>43007</v>
      </c>
      <c r="D369" t="s">
        <v>23</v>
      </c>
      <c r="E369" t="s">
        <v>1523</v>
      </c>
      <c r="F369" t="s">
        <v>1524</v>
      </c>
      <c r="G369" t="s">
        <v>26</v>
      </c>
      <c r="H369" t="s">
        <v>27</v>
      </c>
      <c r="I369" t="s">
        <v>1419</v>
      </c>
      <c r="J369" t="s">
        <v>200</v>
      </c>
      <c r="K369" t="s">
        <v>62</v>
      </c>
      <c r="L369" t="s">
        <v>223</v>
      </c>
      <c r="M369" t="s">
        <v>32</v>
      </c>
      <c r="N369" t="s">
        <v>51</v>
      </c>
      <c r="O369" t="s">
        <v>224</v>
      </c>
      <c r="P369">
        <v>291.95999999999998</v>
      </c>
      <c r="Q369">
        <v>4</v>
      </c>
      <c r="R369">
        <v>102.18600000000001</v>
      </c>
      <c r="S369" s="3" t="s">
        <v>107</v>
      </c>
      <c r="T369">
        <v>2017</v>
      </c>
      <c r="U369" t="s">
        <v>81</v>
      </c>
      <c r="V369" s="2">
        <v>0.35</v>
      </c>
    </row>
    <row r="370" spans="1:22" x14ac:dyDescent="0.25">
      <c r="A370" t="s">
        <v>1525</v>
      </c>
      <c r="B370" s="1">
        <v>42861</v>
      </c>
      <c r="C370" s="1">
        <v>42866</v>
      </c>
      <c r="D370" t="s">
        <v>23</v>
      </c>
      <c r="E370" t="s">
        <v>1526</v>
      </c>
      <c r="F370" t="s">
        <v>1527</v>
      </c>
      <c r="G370" t="s">
        <v>70</v>
      </c>
      <c r="H370" t="s">
        <v>27</v>
      </c>
      <c r="I370" t="s">
        <v>140</v>
      </c>
      <c r="J370" t="s">
        <v>78</v>
      </c>
      <c r="K370" t="s">
        <v>62</v>
      </c>
      <c r="L370" t="s">
        <v>223</v>
      </c>
      <c r="M370" t="s">
        <v>32</v>
      </c>
      <c r="N370" t="s">
        <v>51</v>
      </c>
      <c r="O370" t="s">
        <v>224</v>
      </c>
      <c r="P370">
        <v>408.74400000000003</v>
      </c>
      <c r="Q370">
        <v>7</v>
      </c>
      <c r="R370">
        <v>76.639499999999998</v>
      </c>
      <c r="S370" s="3" t="s">
        <v>35</v>
      </c>
      <c r="T370">
        <v>2017</v>
      </c>
      <c r="U370" t="s">
        <v>527</v>
      </c>
      <c r="V370" s="2">
        <v>0.1875</v>
      </c>
    </row>
    <row r="371" spans="1:22" x14ac:dyDescent="0.25">
      <c r="A371" t="s">
        <v>1528</v>
      </c>
      <c r="B371" s="1">
        <v>41987</v>
      </c>
      <c r="C371" s="1">
        <v>41992</v>
      </c>
      <c r="D371" t="s">
        <v>23</v>
      </c>
      <c r="E371" t="s">
        <v>1529</v>
      </c>
      <c r="F371" t="s">
        <v>1530</v>
      </c>
      <c r="G371" t="s">
        <v>26</v>
      </c>
      <c r="H371" t="s">
        <v>27</v>
      </c>
      <c r="I371" t="s">
        <v>140</v>
      </c>
      <c r="J371" t="s">
        <v>78</v>
      </c>
      <c r="K371" t="s">
        <v>62</v>
      </c>
      <c r="L371" t="s">
        <v>1531</v>
      </c>
      <c r="M371" t="s">
        <v>32</v>
      </c>
      <c r="N371" t="s">
        <v>51</v>
      </c>
      <c r="O371" t="s">
        <v>1532</v>
      </c>
      <c r="P371">
        <v>35.015999999999998</v>
      </c>
      <c r="Q371">
        <v>3</v>
      </c>
      <c r="R371">
        <v>-2.1884999999999999</v>
      </c>
      <c r="S371" s="3" t="s">
        <v>35</v>
      </c>
      <c r="T371">
        <v>2014</v>
      </c>
      <c r="U371" t="s">
        <v>66</v>
      </c>
      <c r="V371" s="2">
        <v>-6.25E-2</v>
      </c>
    </row>
    <row r="372" spans="1:22" x14ac:dyDescent="0.25">
      <c r="A372" t="s">
        <v>1533</v>
      </c>
      <c r="B372" s="1">
        <v>41930</v>
      </c>
      <c r="C372" s="1">
        <v>41932</v>
      </c>
      <c r="D372" t="s">
        <v>40</v>
      </c>
      <c r="E372" t="s">
        <v>1534</v>
      </c>
      <c r="F372" t="s">
        <v>1535</v>
      </c>
      <c r="G372" t="s">
        <v>59</v>
      </c>
      <c r="H372" t="s">
        <v>27</v>
      </c>
      <c r="I372" t="s">
        <v>554</v>
      </c>
      <c r="J372" t="s">
        <v>555</v>
      </c>
      <c r="K372" t="s">
        <v>155</v>
      </c>
      <c r="L372" t="s">
        <v>1536</v>
      </c>
      <c r="M372" t="s">
        <v>32</v>
      </c>
      <c r="N372" t="s">
        <v>33</v>
      </c>
      <c r="O372" t="s">
        <v>1537</v>
      </c>
      <c r="P372">
        <v>1394.95</v>
      </c>
      <c r="Q372">
        <v>5</v>
      </c>
      <c r="R372">
        <v>362.68700000000001</v>
      </c>
      <c r="S372" s="3" t="s">
        <v>65</v>
      </c>
      <c r="T372">
        <v>2014</v>
      </c>
      <c r="U372" t="s">
        <v>133</v>
      </c>
      <c r="V372" s="2">
        <v>0.26</v>
      </c>
    </row>
    <row r="373" spans="1:22" x14ac:dyDescent="0.25">
      <c r="A373" t="s">
        <v>1538</v>
      </c>
      <c r="B373" s="1">
        <v>41976</v>
      </c>
      <c r="C373" s="1">
        <v>41982</v>
      </c>
      <c r="D373" t="s">
        <v>23</v>
      </c>
      <c r="E373" t="s">
        <v>1539</v>
      </c>
      <c r="F373" t="s">
        <v>1540</v>
      </c>
      <c r="G373" t="s">
        <v>26</v>
      </c>
      <c r="H373" t="s">
        <v>27</v>
      </c>
      <c r="I373" t="s">
        <v>1541</v>
      </c>
      <c r="J373" t="s">
        <v>200</v>
      </c>
      <c r="K373" t="s">
        <v>62</v>
      </c>
      <c r="L373" t="s">
        <v>1542</v>
      </c>
      <c r="M373" t="s">
        <v>32</v>
      </c>
      <c r="N373" t="s">
        <v>33</v>
      </c>
      <c r="O373" t="s">
        <v>1543</v>
      </c>
      <c r="P373">
        <v>479.96</v>
      </c>
      <c r="Q373">
        <v>4</v>
      </c>
      <c r="R373">
        <v>134.3888</v>
      </c>
      <c r="S373" s="3" t="s">
        <v>107</v>
      </c>
      <c r="T373">
        <v>2014</v>
      </c>
      <c r="U373" t="s">
        <v>66</v>
      </c>
      <c r="V373" s="2">
        <v>0.28000000000000003</v>
      </c>
    </row>
    <row r="374" spans="1:22" x14ac:dyDescent="0.25">
      <c r="A374" t="s">
        <v>1544</v>
      </c>
      <c r="B374" s="1">
        <v>42576</v>
      </c>
      <c r="C374" s="1">
        <v>42578</v>
      </c>
      <c r="D374" t="s">
        <v>56</v>
      </c>
      <c r="E374" t="s">
        <v>1545</v>
      </c>
      <c r="F374" t="s">
        <v>1546</v>
      </c>
      <c r="G374" t="s">
        <v>26</v>
      </c>
      <c r="H374" t="s">
        <v>27</v>
      </c>
      <c r="I374" t="s">
        <v>176</v>
      </c>
      <c r="J374" t="s">
        <v>177</v>
      </c>
      <c r="K374" t="s">
        <v>95</v>
      </c>
      <c r="L374" t="s">
        <v>380</v>
      </c>
      <c r="M374" t="s">
        <v>32</v>
      </c>
      <c r="N374" t="s">
        <v>381</v>
      </c>
      <c r="O374" t="s">
        <v>382</v>
      </c>
      <c r="P374">
        <v>1439.9760000000001</v>
      </c>
      <c r="Q374">
        <v>4</v>
      </c>
      <c r="R374">
        <v>191.99680000000001</v>
      </c>
      <c r="S374" s="3" t="s">
        <v>65</v>
      </c>
      <c r="T374">
        <v>2016</v>
      </c>
      <c r="U374" t="s">
        <v>332</v>
      </c>
      <c r="V374" s="2">
        <v>0.133333333333333</v>
      </c>
    </row>
    <row r="375" spans="1:22" x14ac:dyDescent="0.25">
      <c r="A375" t="s">
        <v>1547</v>
      </c>
      <c r="B375" s="1">
        <v>41676</v>
      </c>
      <c r="C375" s="1">
        <v>41679</v>
      </c>
      <c r="D375" t="s">
        <v>56</v>
      </c>
      <c r="E375" t="s">
        <v>1548</v>
      </c>
      <c r="F375" t="s">
        <v>1549</v>
      </c>
      <c r="G375" t="s">
        <v>59</v>
      </c>
      <c r="H375" t="s">
        <v>27</v>
      </c>
      <c r="I375" t="s">
        <v>1550</v>
      </c>
      <c r="J375" t="s">
        <v>693</v>
      </c>
      <c r="K375" t="s">
        <v>155</v>
      </c>
      <c r="L375" t="s">
        <v>370</v>
      </c>
      <c r="M375" t="s">
        <v>32</v>
      </c>
      <c r="N375" t="s">
        <v>33</v>
      </c>
      <c r="O375" t="s">
        <v>371</v>
      </c>
      <c r="P375">
        <v>161.61000000000001</v>
      </c>
      <c r="Q375">
        <v>1</v>
      </c>
      <c r="R375">
        <v>42.018599999999999</v>
      </c>
      <c r="S375" s="3" t="s">
        <v>172</v>
      </c>
      <c r="T375">
        <v>2014</v>
      </c>
      <c r="U375" t="s">
        <v>180</v>
      </c>
      <c r="V375" s="2">
        <v>0.26</v>
      </c>
    </row>
    <row r="376" spans="1:22" x14ac:dyDescent="0.25">
      <c r="A376" t="s">
        <v>1547</v>
      </c>
      <c r="B376" s="1">
        <v>41676</v>
      </c>
      <c r="C376" s="1">
        <v>41679</v>
      </c>
      <c r="D376" t="s">
        <v>56</v>
      </c>
      <c r="E376" t="s">
        <v>1548</v>
      </c>
      <c r="F376" t="s">
        <v>1549</v>
      </c>
      <c r="G376" t="s">
        <v>59</v>
      </c>
      <c r="H376" t="s">
        <v>27</v>
      </c>
      <c r="I376" t="s">
        <v>1550</v>
      </c>
      <c r="J376" t="s">
        <v>693</v>
      </c>
      <c r="K376" t="s">
        <v>155</v>
      </c>
      <c r="L376" t="s">
        <v>1399</v>
      </c>
      <c r="M376" t="s">
        <v>32</v>
      </c>
      <c r="N376" t="s">
        <v>33</v>
      </c>
      <c r="O376" t="s">
        <v>1400</v>
      </c>
      <c r="P376">
        <v>144.94999999999999</v>
      </c>
      <c r="Q376">
        <v>5</v>
      </c>
      <c r="R376">
        <v>42.035499999999999</v>
      </c>
      <c r="S376" s="3" t="s">
        <v>172</v>
      </c>
      <c r="T376">
        <v>2014</v>
      </c>
      <c r="U376" t="s">
        <v>180</v>
      </c>
      <c r="V376" s="2">
        <v>0.28999999999999998</v>
      </c>
    </row>
    <row r="377" spans="1:22" x14ac:dyDescent="0.25">
      <c r="A377" t="s">
        <v>1551</v>
      </c>
      <c r="B377" s="1">
        <v>42836</v>
      </c>
      <c r="C377" s="1">
        <v>42843</v>
      </c>
      <c r="D377" t="s">
        <v>23</v>
      </c>
      <c r="E377" t="s">
        <v>1552</v>
      </c>
      <c r="F377" t="s">
        <v>1553</v>
      </c>
      <c r="G377" t="s">
        <v>26</v>
      </c>
      <c r="H377" t="s">
        <v>27</v>
      </c>
      <c r="I377" t="s">
        <v>911</v>
      </c>
      <c r="J377" t="s">
        <v>29</v>
      </c>
      <c r="K377" t="s">
        <v>30</v>
      </c>
      <c r="L377" t="s">
        <v>141</v>
      </c>
      <c r="M377" t="s">
        <v>32</v>
      </c>
      <c r="N377" t="s">
        <v>51</v>
      </c>
      <c r="O377" t="s">
        <v>142</v>
      </c>
      <c r="P377">
        <v>199.95</v>
      </c>
      <c r="Q377">
        <v>5</v>
      </c>
      <c r="R377">
        <v>21.994499999999999</v>
      </c>
      <c r="S377" s="3" t="s">
        <v>132</v>
      </c>
      <c r="T377">
        <v>2017</v>
      </c>
      <c r="U377" t="s">
        <v>291</v>
      </c>
      <c r="V377" s="2">
        <v>0.11</v>
      </c>
    </row>
    <row r="378" spans="1:22" x14ac:dyDescent="0.25">
      <c r="A378" t="s">
        <v>1554</v>
      </c>
      <c r="B378" s="1">
        <v>42004</v>
      </c>
      <c r="C378" s="1">
        <v>42008</v>
      </c>
      <c r="D378" t="s">
        <v>23</v>
      </c>
      <c r="E378" t="s">
        <v>1555</v>
      </c>
      <c r="F378" t="s">
        <v>1556</v>
      </c>
      <c r="G378" t="s">
        <v>59</v>
      </c>
      <c r="H378" t="s">
        <v>27</v>
      </c>
      <c r="I378" t="s">
        <v>1557</v>
      </c>
      <c r="J378" t="s">
        <v>532</v>
      </c>
      <c r="K378" t="s">
        <v>62</v>
      </c>
      <c r="L378" t="s">
        <v>309</v>
      </c>
      <c r="M378" t="s">
        <v>32</v>
      </c>
      <c r="N378" t="s">
        <v>51</v>
      </c>
      <c r="O378" t="s">
        <v>310</v>
      </c>
      <c r="P378">
        <v>47.53</v>
      </c>
      <c r="Q378">
        <v>7</v>
      </c>
      <c r="R378">
        <v>16.1602</v>
      </c>
      <c r="S378" s="3" t="s">
        <v>53</v>
      </c>
      <c r="T378">
        <v>2014</v>
      </c>
      <c r="U378" t="s">
        <v>66</v>
      </c>
      <c r="V378" s="2">
        <v>0.34</v>
      </c>
    </row>
    <row r="379" spans="1:22" x14ac:dyDescent="0.25">
      <c r="A379" t="s">
        <v>1558</v>
      </c>
      <c r="B379" s="1">
        <v>42349</v>
      </c>
      <c r="C379" s="1">
        <v>42349</v>
      </c>
      <c r="D379" t="s">
        <v>677</v>
      </c>
      <c r="E379" t="s">
        <v>1559</v>
      </c>
      <c r="F379" t="s">
        <v>1560</v>
      </c>
      <c r="G379" t="s">
        <v>26</v>
      </c>
      <c r="H379" t="s">
        <v>27</v>
      </c>
      <c r="I379" t="s">
        <v>71</v>
      </c>
      <c r="J379" t="s">
        <v>61</v>
      </c>
      <c r="K379" t="s">
        <v>62</v>
      </c>
      <c r="L379" t="s">
        <v>710</v>
      </c>
      <c r="M379" t="s">
        <v>32</v>
      </c>
      <c r="N379" t="s">
        <v>51</v>
      </c>
      <c r="O379" t="s">
        <v>711</v>
      </c>
      <c r="P379">
        <v>159.98400000000001</v>
      </c>
      <c r="Q379">
        <v>2</v>
      </c>
      <c r="R379">
        <v>35.996400000000001</v>
      </c>
      <c r="S379" s="3" t="s">
        <v>683</v>
      </c>
      <c r="T379">
        <v>2015</v>
      </c>
      <c r="U379" t="s">
        <v>66</v>
      </c>
      <c r="V379" s="2">
        <v>0.22500000000000001</v>
      </c>
    </row>
    <row r="380" spans="1:22" x14ac:dyDescent="0.25">
      <c r="A380" t="s">
        <v>1561</v>
      </c>
      <c r="B380" s="1">
        <v>42568</v>
      </c>
      <c r="C380" s="1">
        <v>42572</v>
      </c>
      <c r="D380" t="s">
        <v>23</v>
      </c>
      <c r="E380" t="s">
        <v>1562</v>
      </c>
      <c r="F380" t="s">
        <v>1563</v>
      </c>
      <c r="G380" t="s">
        <v>59</v>
      </c>
      <c r="H380" t="s">
        <v>27</v>
      </c>
      <c r="I380" t="s">
        <v>1564</v>
      </c>
      <c r="J380" t="s">
        <v>794</v>
      </c>
      <c r="K380" t="s">
        <v>95</v>
      </c>
      <c r="L380" t="s">
        <v>334</v>
      </c>
      <c r="M380" t="s">
        <v>32</v>
      </c>
      <c r="N380" t="s">
        <v>33</v>
      </c>
      <c r="O380" t="s">
        <v>335</v>
      </c>
      <c r="P380">
        <v>597</v>
      </c>
      <c r="Q380">
        <v>3</v>
      </c>
      <c r="R380">
        <v>280.58999999999997</v>
      </c>
      <c r="S380" s="3" t="s">
        <v>53</v>
      </c>
      <c r="T380">
        <v>2016</v>
      </c>
      <c r="U380" t="s">
        <v>332</v>
      </c>
      <c r="V380" s="2">
        <v>0.47</v>
      </c>
    </row>
    <row r="381" spans="1:22" x14ac:dyDescent="0.25">
      <c r="A381" t="s">
        <v>1565</v>
      </c>
      <c r="B381" s="1">
        <v>43091</v>
      </c>
      <c r="C381" s="1">
        <v>43094</v>
      </c>
      <c r="D381" t="s">
        <v>56</v>
      </c>
      <c r="E381" t="s">
        <v>1566</v>
      </c>
      <c r="F381" t="s">
        <v>1567</v>
      </c>
      <c r="G381" t="s">
        <v>26</v>
      </c>
      <c r="H381" t="s">
        <v>27</v>
      </c>
      <c r="I381" t="s">
        <v>851</v>
      </c>
      <c r="J381" t="s">
        <v>256</v>
      </c>
      <c r="K381" t="s">
        <v>62</v>
      </c>
      <c r="L381" t="s">
        <v>1568</v>
      </c>
      <c r="M381" t="s">
        <v>32</v>
      </c>
      <c r="N381" t="s">
        <v>51</v>
      </c>
      <c r="O381" t="s">
        <v>1569</v>
      </c>
      <c r="P381">
        <v>199.95</v>
      </c>
      <c r="Q381">
        <v>5</v>
      </c>
      <c r="R381">
        <v>63.984000000000002</v>
      </c>
      <c r="S381" s="3" t="s">
        <v>172</v>
      </c>
      <c r="T381">
        <v>2017</v>
      </c>
      <c r="U381" t="s">
        <v>66</v>
      </c>
      <c r="V381" s="2">
        <v>0.32</v>
      </c>
    </row>
    <row r="382" spans="1:22" x14ac:dyDescent="0.25">
      <c r="A382" t="s">
        <v>1565</v>
      </c>
      <c r="B382" s="1">
        <v>43091</v>
      </c>
      <c r="C382" s="1">
        <v>43094</v>
      </c>
      <c r="D382" t="s">
        <v>56</v>
      </c>
      <c r="E382" t="s">
        <v>1566</v>
      </c>
      <c r="F382" t="s">
        <v>1567</v>
      </c>
      <c r="G382" t="s">
        <v>26</v>
      </c>
      <c r="H382" t="s">
        <v>27</v>
      </c>
      <c r="I382" t="s">
        <v>851</v>
      </c>
      <c r="J382" t="s">
        <v>256</v>
      </c>
      <c r="K382" t="s">
        <v>62</v>
      </c>
      <c r="L382" t="s">
        <v>164</v>
      </c>
      <c r="M382" t="s">
        <v>32</v>
      </c>
      <c r="N382" t="s">
        <v>51</v>
      </c>
      <c r="O382" t="s">
        <v>165</v>
      </c>
      <c r="P382">
        <v>84.99</v>
      </c>
      <c r="Q382">
        <v>1</v>
      </c>
      <c r="R382">
        <v>30.596399999999999</v>
      </c>
      <c r="S382" s="3" t="s">
        <v>172</v>
      </c>
      <c r="T382">
        <v>2017</v>
      </c>
      <c r="U382" t="s">
        <v>66</v>
      </c>
      <c r="V382" s="2">
        <v>0.36</v>
      </c>
    </row>
    <row r="383" spans="1:22" x14ac:dyDescent="0.25">
      <c r="A383" t="s">
        <v>1570</v>
      </c>
      <c r="B383" s="1">
        <v>41943</v>
      </c>
      <c r="C383" s="1">
        <v>41947</v>
      </c>
      <c r="D383" t="s">
        <v>23</v>
      </c>
      <c r="E383" t="s">
        <v>1391</v>
      </c>
      <c r="F383" t="s">
        <v>1392</v>
      </c>
      <c r="G383" t="s">
        <v>59</v>
      </c>
      <c r="H383" t="s">
        <v>27</v>
      </c>
      <c r="I383" t="s">
        <v>28</v>
      </c>
      <c r="J383" t="s">
        <v>29</v>
      </c>
      <c r="K383" t="s">
        <v>30</v>
      </c>
      <c r="L383" t="s">
        <v>1405</v>
      </c>
      <c r="M383" t="s">
        <v>32</v>
      </c>
      <c r="N383" t="s">
        <v>51</v>
      </c>
      <c r="O383" t="s">
        <v>1406</v>
      </c>
      <c r="P383">
        <v>251.91</v>
      </c>
      <c r="Q383">
        <v>9</v>
      </c>
      <c r="R383">
        <v>47.862900000000003</v>
      </c>
      <c r="S383" s="3" t="s">
        <v>53</v>
      </c>
      <c r="T383">
        <v>2014</v>
      </c>
      <c r="U383" t="s">
        <v>133</v>
      </c>
      <c r="V383" s="2">
        <v>0.19</v>
      </c>
    </row>
    <row r="384" spans="1:22" x14ac:dyDescent="0.25">
      <c r="A384" t="s">
        <v>1571</v>
      </c>
      <c r="B384" s="1">
        <v>42107</v>
      </c>
      <c r="C384" s="1">
        <v>42113</v>
      </c>
      <c r="D384" t="s">
        <v>23</v>
      </c>
      <c r="E384" t="s">
        <v>592</v>
      </c>
      <c r="F384" t="s">
        <v>593</v>
      </c>
      <c r="G384" t="s">
        <v>26</v>
      </c>
      <c r="H384" t="s">
        <v>27</v>
      </c>
      <c r="I384" t="s">
        <v>1572</v>
      </c>
      <c r="J384" t="s">
        <v>29</v>
      </c>
      <c r="K384" t="s">
        <v>30</v>
      </c>
      <c r="L384" t="s">
        <v>1573</v>
      </c>
      <c r="M384" t="s">
        <v>32</v>
      </c>
      <c r="N384" t="s">
        <v>51</v>
      </c>
      <c r="O384" t="s">
        <v>1574</v>
      </c>
      <c r="P384">
        <v>199.96</v>
      </c>
      <c r="Q384">
        <v>4</v>
      </c>
      <c r="R384">
        <v>69.986000000000004</v>
      </c>
      <c r="S384" s="3" t="s">
        <v>107</v>
      </c>
      <c r="T384">
        <v>2015</v>
      </c>
      <c r="U384" t="s">
        <v>291</v>
      </c>
      <c r="V384" s="2">
        <v>0.35</v>
      </c>
    </row>
    <row r="385" spans="1:22" x14ac:dyDescent="0.25">
      <c r="A385" t="s">
        <v>1575</v>
      </c>
      <c r="B385" s="1">
        <v>43046</v>
      </c>
      <c r="C385" s="1">
        <v>43051</v>
      </c>
      <c r="D385" t="s">
        <v>40</v>
      </c>
      <c r="E385" t="s">
        <v>1576</v>
      </c>
      <c r="F385" t="s">
        <v>1577</v>
      </c>
      <c r="G385" t="s">
        <v>70</v>
      </c>
      <c r="H385" t="s">
        <v>27</v>
      </c>
      <c r="I385" t="s">
        <v>324</v>
      </c>
      <c r="J385" t="s">
        <v>29</v>
      </c>
      <c r="K385" t="s">
        <v>30</v>
      </c>
      <c r="L385" t="s">
        <v>1578</v>
      </c>
      <c r="M385" t="s">
        <v>32</v>
      </c>
      <c r="N385" t="s">
        <v>51</v>
      </c>
      <c r="O385" t="s">
        <v>1579</v>
      </c>
      <c r="P385">
        <v>59.97</v>
      </c>
      <c r="Q385">
        <v>3</v>
      </c>
      <c r="R385">
        <v>13.793100000000001</v>
      </c>
      <c r="S385" s="3" t="s">
        <v>35</v>
      </c>
      <c r="T385">
        <v>2017</v>
      </c>
      <c r="U385" t="s">
        <v>118</v>
      </c>
      <c r="V385" s="2">
        <v>0.23</v>
      </c>
    </row>
    <row r="386" spans="1:22" x14ac:dyDescent="0.25">
      <c r="A386" t="s">
        <v>1575</v>
      </c>
      <c r="B386" s="1">
        <v>43046</v>
      </c>
      <c r="C386" s="1">
        <v>43051</v>
      </c>
      <c r="D386" t="s">
        <v>40</v>
      </c>
      <c r="E386" t="s">
        <v>1576</v>
      </c>
      <c r="F386" t="s">
        <v>1577</v>
      </c>
      <c r="G386" t="s">
        <v>70</v>
      </c>
      <c r="H386" t="s">
        <v>27</v>
      </c>
      <c r="I386" t="s">
        <v>324</v>
      </c>
      <c r="J386" t="s">
        <v>29</v>
      </c>
      <c r="K386" t="s">
        <v>30</v>
      </c>
      <c r="L386" t="s">
        <v>1580</v>
      </c>
      <c r="M386" t="s">
        <v>32</v>
      </c>
      <c r="N386" t="s">
        <v>33</v>
      </c>
      <c r="O386" t="s">
        <v>1581</v>
      </c>
      <c r="P386">
        <v>761.54399999999998</v>
      </c>
      <c r="Q386">
        <v>7</v>
      </c>
      <c r="R386">
        <v>66.635099999999994</v>
      </c>
      <c r="S386" s="3" t="s">
        <v>35</v>
      </c>
      <c r="T386">
        <v>2017</v>
      </c>
      <c r="U386" t="s">
        <v>118</v>
      </c>
      <c r="V386" s="2">
        <v>8.7499999999999994E-2</v>
      </c>
    </row>
    <row r="387" spans="1:22" x14ac:dyDescent="0.25">
      <c r="A387" t="s">
        <v>1582</v>
      </c>
      <c r="B387" s="1">
        <v>42362</v>
      </c>
      <c r="C387" s="1">
        <v>42367</v>
      </c>
      <c r="D387" t="s">
        <v>23</v>
      </c>
      <c r="E387" t="s">
        <v>1583</v>
      </c>
      <c r="F387" t="s">
        <v>1584</v>
      </c>
      <c r="G387" t="s">
        <v>26</v>
      </c>
      <c r="H387" t="s">
        <v>27</v>
      </c>
      <c r="I387" t="s">
        <v>893</v>
      </c>
      <c r="J387" t="s">
        <v>123</v>
      </c>
      <c r="K387" t="s">
        <v>30</v>
      </c>
      <c r="L387" t="s">
        <v>716</v>
      </c>
      <c r="M387" t="s">
        <v>32</v>
      </c>
      <c r="N387" t="s">
        <v>33</v>
      </c>
      <c r="O387" t="s">
        <v>717</v>
      </c>
      <c r="P387">
        <v>111.98399999999999</v>
      </c>
      <c r="Q387">
        <v>2</v>
      </c>
      <c r="R387">
        <v>11.198399999999999</v>
      </c>
      <c r="S387" s="3" t="s">
        <v>35</v>
      </c>
      <c r="T387">
        <v>2015</v>
      </c>
      <c r="U387" t="s">
        <v>66</v>
      </c>
      <c r="V387" s="2">
        <v>0.1</v>
      </c>
    </row>
    <row r="388" spans="1:22" x14ac:dyDescent="0.25">
      <c r="A388" t="s">
        <v>1585</v>
      </c>
      <c r="B388" s="1">
        <v>42985</v>
      </c>
      <c r="C388" s="1">
        <v>42990</v>
      </c>
      <c r="D388" t="s">
        <v>23</v>
      </c>
      <c r="E388" t="s">
        <v>1586</v>
      </c>
      <c r="F388" t="s">
        <v>1587</v>
      </c>
      <c r="G388" t="s">
        <v>26</v>
      </c>
      <c r="H388" t="s">
        <v>27</v>
      </c>
      <c r="I388" t="s">
        <v>339</v>
      </c>
      <c r="J388" t="s">
        <v>340</v>
      </c>
      <c r="K388" t="s">
        <v>30</v>
      </c>
      <c r="L388" t="s">
        <v>1413</v>
      </c>
      <c r="M388" t="s">
        <v>32</v>
      </c>
      <c r="N388" t="s">
        <v>51</v>
      </c>
      <c r="O388" t="s">
        <v>1414</v>
      </c>
      <c r="P388">
        <v>279.94400000000002</v>
      </c>
      <c r="Q388">
        <v>7</v>
      </c>
      <c r="R388">
        <v>80.483900000000006</v>
      </c>
      <c r="S388" s="3" t="s">
        <v>35</v>
      </c>
      <c r="T388">
        <v>2017</v>
      </c>
      <c r="U388" t="s">
        <v>81</v>
      </c>
      <c r="V388" s="2">
        <v>0.28749999999999998</v>
      </c>
    </row>
    <row r="389" spans="1:22" x14ac:dyDescent="0.25">
      <c r="A389" t="s">
        <v>1588</v>
      </c>
      <c r="B389" s="1">
        <v>42818</v>
      </c>
      <c r="C389" s="1">
        <v>42822</v>
      </c>
      <c r="D389" t="s">
        <v>40</v>
      </c>
      <c r="E389" t="s">
        <v>870</v>
      </c>
      <c r="F389" t="s">
        <v>871</v>
      </c>
      <c r="G389" t="s">
        <v>59</v>
      </c>
      <c r="H389" t="s">
        <v>27</v>
      </c>
      <c r="I389" t="s">
        <v>103</v>
      </c>
      <c r="J389" t="s">
        <v>104</v>
      </c>
      <c r="K389" t="s">
        <v>95</v>
      </c>
      <c r="L389" t="s">
        <v>263</v>
      </c>
      <c r="M389" t="s">
        <v>32</v>
      </c>
      <c r="N389" t="s">
        <v>51</v>
      </c>
      <c r="O389" t="s">
        <v>264</v>
      </c>
      <c r="P389">
        <v>26</v>
      </c>
      <c r="Q389">
        <v>2</v>
      </c>
      <c r="R389">
        <v>11.7</v>
      </c>
      <c r="S389" s="3" t="s">
        <v>53</v>
      </c>
      <c r="T389">
        <v>2017</v>
      </c>
      <c r="U389" t="s">
        <v>89</v>
      </c>
      <c r="V389" s="2">
        <v>0.45</v>
      </c>
    </row>
    <row r="390" spans="1:22" x14ac:dyDescent="0.25">
      <c r="A390" t="s">
        <v>1589</v>
      </c>
      <c r="B390" s="1">
        <v>42308</v>
      </c>
      <c r="C390" s="1">
        <v>42308</v>
      </c>
      <c r="D390" t="s">
        <v>677</v>
      </c>
      <c r="E390" t="s">
        <v>1590</v>
      </c>
      <c r="F390" t="s">
        <v>1591</v>
      </c>
      <c r="G390" t="s">
        <v>26</v>
      </c>
      <c r="H390" t="s">
        <v>27</v>
      </c>
      <c r="I390" t="s">
        <v>1592</v>
      </c>
      <c r="J390" t="s">
        <v>29</v>
      </c>
      <c r="K390" t="s">
        <v>30</v>
      </c>
      <c r="L390" t="s">
        <v>1593</v>
      </c>
      <c r="M390" t="s">
        <v>32</v>
      </c>
      <c r="N390" t="s">
        <v>33</v>
      </c>
      <c r="O390" t="s">
        <v>1594</v>
      </c>
      <c r="P390">
        <v>1295.8399999999999</v>
      </c>
      <c r="Q390">
        <v>4</v>
      </c>
      <c r="R390">
        <v>145.78200000000001</v>
      </c>
      <c r="S390" s="3" t="s">
        <v>683</v>
      </c>
      <c r="T390">
        <v>2015</v>
      </c>
      <c r="U390" t="s">
        <v>133</v>
      </c>
      <c r="V390" s="2">
        <v>0.1125</v>
      </c>
    </row>
    <row r="391" spans="1:22" x14ac:dyDescent="0.25">
      <c r="A391" t="s">
        <v>1595</v>
      </c>
      <c r="B391" s="1">
        <v>43070</v>
      </c>
      <c r="C391" s="1">
        <v>43074</v>
      </c>
      <c r="D391" t="s">
        <v>23</v>
      </c>
      <c r="E391" t="s">
        <v>1596</v>
      </c>
      <c r="F391" t="s">
        <v>1597</v>
      </c>
      <c r="G391" t="s">
        <v>70</v>
      </c>
      <c r="H391" t="s">
        <v>27</v>
      </c>
      <c r="I391" t="s">
        <v>206</v>
      </c>
      <c r="J391" t="s">
        <v>207</v>
      </c>
      <c r="K391" t="s">
        <v>95</v>
      </c>
      <c r="L391" t="s">
        <v>1598</v>
      </c>
      <c r="M391" t="s">
        <v>32</v>
      </c>
      <c r="N391" t="s">
        <v>33</v>
      </c>
      <c r="O391" t="s">
        <v>1599</v>
      </c>
      <c r="P391">
        <v>62.957999999999998</v>
      </c>
      <c r="Q391">
        <v>7</v>
      </c>
      <c r="R391">
        <v>9.4436999999999998</v>
      </c>
      <c r="S391" s="3" t="s">
        <v>53</v>
      </c>
      <c r="T391">
        <v>2017</v>
      </c>
      <c r="U391" t="s">
        <v>66</v>
      </c>
      <c r="V391" s="2">
        <v>0.15</v>
      </c>
    </row>
    <row r="392" spans="1:22" x14ac:dyDescent="0.25">
      <c r="A392" t="s">
        <v>1600</v>
      </c>
      <c r="B392" s="1">
        <v>41813</v>
      </c>
      <c r="C392" s="1">
        <v>41818</v>
      </c>
      <c r="D392" t="s">
        <v>23</v>
      </c>
      <c r="E392" t="s">
        <v>1601</v>
      </c>
      <c r="F392" t="s">
        <v>1602</v>
      </c>
      <c r="G392" t="s">
        <v>26</v>
      </c>
      <c r="H392" t="s">
        <v>27</v>
      </c>
      <c r="I392" t="s">
        <v>206</v>
      </c>
      <c r="J392" t="s">
        <v>207</v>
      </c>
      <c r="K392" t="s">
        <v>95</v>
      </c>
      <c r="L392" t="s">
        <v>434</v>
      </c>
      <c r="M392" t="s">
        <v>32</v>
      </c>
      <c r="N392" t="s">
        <v>51</v>
      </c>
      <c r="O392" t="s">
        <v>435</v>
      </c>
      <c r="P392">
        <v>86.376000000000005</v>
      </c>
      <c r="Q392">
        <v>3</v>
      </c>
      <c r="R392">
        <v>1.0797000000000001</v>
      </c>
      <c r="S392" s="3" t="s">
        <v>35</v>
      </c>
      <c r="T392">
        <v>2014</v>
      </c>
      <c r="U392" t="s">
        <v>36</v>
      </c>
      <c r="V392" s="2">
        <v>1.2500000000000001E-2</v>
      </c>
    </row>
    <row r="393" spans="1:22" x14ac:dyDescent="0.25">
      <c r="A393" t="s">
        <v>1603</v>
      </c>
      <c r="B393" s="1">
        <v>42338</v>
      </c>
      <c r="C393" s="1">
        <v>42342</v>
      </c>
      <c r="D393" t="s">
        <v>23</v>
      </c>
      <c r="E393" t="s">
        <v>1604</v>
      </c>
      <c r="F393" t="s">
        <v>1605</v>
      </c>
      <c r="G393" t="s">
        <v>26</v>
      </c>
      <c r="H393" t="s">
        <v>27</v>
      </c>
      <c r="I393" t="s">
        <v>206</v>
      </c>
      <c r="J393" t="s">
        <v>207</v>
      </c>
      <c r="K393" t="s">
        <v>95</v>
      </c>
      <c r="L393" t="s">
        <v>1606</v>
      </c>
      <c r="M393" t="s">
        <v>32</v>
      </c>
      <c r="N393" t="s">
        <v>33</v>
      </c>
      <c r="O393" t="s">
        <v>1607</v>
      </c>
      <c r="P393">
        <v>94.92</v>
      </c>
      <c r="Q393">
        <v>4</v>
      </c>
      <c r="R393">
        <v>15.82</v>
      </c>
      <c r="S393" s="3" t="s">
        <v>53</v>
      </c>
      <c r="T393">
        <v>2015</v>
      </c>
      <c r="U393" t="s">
        <v>118</v>
      </c>
      <c r="V393" s="2">
        <v>0.16666666666666699</v>
      </c>
    </row>
    <row r="394" spans="1:22" x14ac:dyDescent="0.25">
      <c r="A394" t="s">
        <v>1608</v>
      </c>
      <c r="B394" s="1">
        <v>42614</v>
      </c>
      <c r="C394" s="1">
        <v>42618</v>
      </c>
      <c r="D394" t="s">
        <v>23</v>
      </c>
      <c r="E394" t="s">
        <v>415</v>
      </c>
      <c r="F394" t="s">
        <v>416</v>
      </c>
      <c r="G394" t="s">
        <v>59</v>
      </c>
      <c r="H394" t="s">
        <v>27</v>
      </c>
      <c r="I394" t="s">
        <v>206</v>
      </c>
      <c r="J394" t="s">
        <v>207</v>
      </c>
      <c r="K394" t="s">
        <v>95</v>
      </c>
      <c r="L394" t="s">
        <v>178</v>
      </c>
      <c r="M394" t="s">
        <v>32</v>
      </c>
      <c r="N394" t="s">
        <v>33</v>
      </c>
      <c r="O394" t="s">
        <v>179</v>
      </c>
      <c r="P394">
        <v>23.988</v>
      </c>
      <c r="Q394">
        <v>2</v>
      </c>
      <c r="R394">
        <v>-4.7976000000000001</v>
      </c>
      <c r="S394" s="3" t="s">
        <v>53</v>
      </c>
      <c r="T394">
        <v>2016</v>
      </c>
      <c r="U394" t="s">
        <v>81</v>
      </c>
      <c r="V394" s="2">
        <v>-0.2</v>
      </c>
    </row>
    <row r="395" spans="1:22" x14ac:dyDescent="0.25">
      <c r="A395" t="s">
        <v>1609</v>
      </c>
      <c r="B395" s="1">
        <v>42825</v>
      </c>
      <c r="C395" s="1">
        <v>42830</v>
      </c>
      <c r="D395" t="s">
        <v>23</v>
      </c>
      <c r="E395" t="s">
        <v>409</v>
      </c>
      <c r="F395" t="s">
        <v>410</v>
      </c>
      <c r="G395" t="s">
        <v>26</v>
      </c>
      <c r="H395" t="s">
        <v>27</v>
      </c>
      <c r="I395" t="s">
        <v>103</v>
      </c>
      <c r="J395" t="s">
        <v>104</v>
      </c>
      <c r="K395" t="s">
        <v>95</v>
      </c>
      <c r="L395" t="s">
        <v>1610</v>
      </c>
      <c r="M395" t="s">
        <v>32</v>
      </c>
      <c r="N395" t="s">
        <v>33</v>
      </c>
      <c r="O395" t="s">
        <v>1611</v>
      </c>
      <c r="P395">
        <v>84.95</v>
      </c>
      <c r="Q395">
        <v>5</v>
      </c>
      <c r="R395">
        <v>22.087</v>
      </c>
      <c r="S395" s="3" t="s">
        <v>35</v>
      </c>
      <c r="T395">
        <v>2017</v>
      </c>
      <c r="U395" t="s">
        <v>89</v>
      </c>
      <c r="V395" s="2">
        <v>0.26</v>
      </c>
    </row>
    <row r="396" spans="1:22" x14ac:dyDescent="0.25">
      <c r="A396" t="s">
        <v>1612</v>
      </c>
      <c r="B396" s="1">
        <v>41967</v>
      </c>
      <c r="C396" s="1">
        <v>41972</v>
      </c>
      <c r="D396" t="s">
        <v>40</v>
      </c>
      <c r="E396" t="s">
        <v>1613</v>
      </c>
      <c r="F396" t="s">
        <v>1614</v>
      </c>
      <c r="G396" t="s">
        <v>26</v>
      </c>
      <c r="H396" t="s">
        <v>27</v>
      </c>
      <c r="I396" t="s">
        <v>1615</v>
      </c>
      <c r="J396" t="s">
        <v>532</v>
      </c>
      <c r="K396" t="s">
        <v>62</v>
      </c>
      <c r="L396" t="s">
        <v>478</v>
      </c>
      <c r="M396" t="s">
        <v>32</v>
      </c>
      <c r="N396" t="s">
        <v>51</v>
      </c>
      <c r="O396" t="s">
        <v>479</v>
      </c>
      <c r="P396">
        <v>111.79</v>
      </c>
      <c r="Q396">
        <v>7</v>
      </c>
      <c r="R396">
        <v>43.598100000000002</v>
      </c>
      <c r="S396" s="3" t="s">
        <v>35</v>
      </c>
      <c r="T396">
        <v>2014</v>
      </c>
      <c r="U396" t="s">
        <v>118</v>
      </c>
      <c r="V396" s="2">
        <v>0.39</v>
      </c>
    </row>
    <row r="397" spans="1:22" x14ac:dyDescent="0.25">
      <c r="A397" t="s">
        <v>1616</v>
      </c>
      <c r="B397" s="1">
        <v>42656</v>
      </c>
      <c r="C397" s="1">
        <v>42662</v>
      </c>
      <c r="D397" t="s">
        <v>23</v>
      </c>
      <c r="E397" t="s">
        <v>328</v>
      </c>
      <c r="F397" t="s">
        <v>329</v>
      </c>
      <c r="G397" t="s">
        <v>26</v>
      </c>
      <c r="H397" t="s">
        <v>27</v>
      </c>
      <c r="I397" t="s">
        <v>600</v>
      </c>
      <c r="J397" t="s">
        <v>61</v>
      </c>
      <c r="K397" t="s">
        <v>62</v>
      </c>
      <c r="L397" t="s">
        <v>795</v>
      </c>
      <c r="M397" t="s">
        <v>32</v>
      </c>
      <c r="N397" t="s">
        <v>51</v>
      </c>
      <c r="O397" t="s">
        <v>796</v>
      </c>
      <c r="P397">
        <v>191.976</v>
      </c>
      <c r="Q397">
        <v>3</v>
      </c>
      <c r="R397">
        <v>23.997</v>
      </c>
      <c r="S397" s="3" t="s">
        <v>107</v>
      </c>
      <c r="T397">
        <v>2016</v>
      </c>
      <c r="U397" t="s">
        <v>133</v>
      </c>
      <c r="V397" s="2">
        <v>0.125</v>
      </c>
    </row>
    <row r="398" spans="1:22" x14ac:dyDescent="0.25">
      <c r="A398" t="s">
        <v>1617</v>
      </c>
      <c r="B398" s="1">
        <v>42762</v>
      </c>
      <c r="C398" s="1">
        <v>42765</v>
      </c>
      <c r="D398" t="s">
        <v>40</v>
      </c>
      <c r="E398" t="s">
        <v>1618</v>
      </c>
      <c r="F398" t="s">
        <v>1619</v>
      </c>
      <c r="G398" t="s">
        <v>26</v>
      </c>
      <c r="H398" t="s">
        <v>27</v>
      </c>
      <c r="I398" t="s">
        <v>1300</v>
      </c>
      <c r="J398" t="s">
        <v>177</v>
      </c>
      <c r="K398" t="s">
        <v>95</v>
      </c>
      <c r="L398" t="s">
        <v>846</v>
      </c>
      <c r="M398" t="s">
        <v>32</v>
      </c>
      <c r="N398" t="s">
        <v>51</v>
      </c>
      <c r="O398" t="s">
        <v>847</v>
      </c>
      <c r="P398">
        <v>71.975999999999999</v>
      </c>
      <c r="Q398">
        <v>3</v>
      </c>
      <c r="R398">
        <v>-8.9969999999999999</v>
      </c>
      <c r="S398" s="3" t="s">
        <v>172</v>
      </c>
      <c r="T398">
        <v>2017</v>
      </c>
      <c r="U398" t="s">
        <v>54</v>
      </c>
      <c r="V398" s="2">
        <v>-0.125</v>
      </c>
    </row>
    <row r="399" spans="1:22" x14ac:dyDescent="0.25">
      <c r="A399" t="s">
        <v>1617</v>
      </c>
      <c r="B399" s="1">
        <v>42762</v>
      </c>
      <c r="C399" s="1">
        <v>42765</v>
      </c>
      <c r="D399" t="s">
        <v>40</v>
      </c>
      <c r="E399" t="s">
        <v>1618</v>
      </c>
      <c r="F399" t="s">
        <v>1619</v>
      </c>
      <c r="G399" t="s">
        <v>26</v>
      </c>
      <c r="H399" t="s">
        <v>27</v>
      </c>
      <c r="I399" t="s">
        <v>1300</v>
      </c>
      <c r="J399" t="s">
        <v>177</v>
      </c>
      <c r="K399" t="s">
        <v>95</v>
      </c>
      <c r="L399" t="s">
        <v>217</v>
      </c>
      <c r="M399" t="s">
        <v>32</v>
      </c>
      <c r="N399" t="s">
        <v>33</v>
      </c>
      <c r="O399" t="s">
        <v>218</v>
      </c>
      <c r="P399">
        <v>107.982</v>
      </c>
      <c r="Q399">
        <v>3</v>
      </c>
      <c r="R399">
        <v>-26.9955</v>
      </c>
      <c r="S399" s="3" t="s">
        <v>172</v>
      </c>
      <c r="T399">
        <v>2017</v>
      </c>
      <c r="U399" t="s">
        <v>54</v>
      </c>
      <c r="V399" s="2">
        <v>-0.25</v>
      </c>
    </row>
    <row r="400" spans="1:22" x14ac:dyDescent="0.25">
      <c r="A400" t="s">
        <v>1620</v>
      </c>
      <c r="B400" s="1">
        <v>42497</v>
      </c>
      <c r="C400" s="1">
        <v>42501</v>
      </c>
      <c r="D400" t="s">
        <v>23</v>
      </c>
      <c r="E400" t="s">
        <v>1621</v>
      </c>
      <c r="F400" t="s">
        <v>1622</v>
      </c>
      <c r="G400" t="s">
        <v>26</v>
      </c>
      <c r="H400" t="s">
        <v>27</v>
      </c>
      <c r="I400" t="s">
        <v>103</v>
      </c>
      <c r="J400" t="s">
        <v>104</v>
      </c>
      <c r="K400" t="s">
        <v>95</v>
      </c>
      <c r="L400" t="s">
        <v>1440</v>
      </c>
      <c r="M400" t="s">
        <v>32</v>
      </c>
      <c r="N400" t="s">
        <v>215</v>
      </c>
      <c r="O400" t="s">
        <v>1441</v>
      </c>
      <c r="P400">
        <v>3999.95</v>
      </c>
      <c r="Q400">
        <v>5</v>
      </c>
      <c r="R400">
        <v>1159.9855</v>
      </c>
      <c r="S400" s="3" t="s">
        <v>53</v>
      </c>
      <c r="T400">
        <v>2016</v>
      </c>
      <c r="U400" t="s">
        <v>527</v>
      </c>
      <c r="V400" s="2">
        <v>0.28999999999999998</v>
      </c>
    </row>
    <row r="401" spans="1:22" x14ac:dyDescent="0.25">
      <c r="A401" t="s">
        <v>1620</v>
      </c>
      <c r="B401" s="1">
        <v>42497</v>
      </c>
      <c r="C401" s="1">
        <v>42501</v>
      </c>
      <c r="D401" t="s">
        <v>23</v>
      </c>
      <c r="E401" t="s">
        <v>1621</v>
      </c>
      <c r="F401" t="s">
        <v>1622</v>
      </c>
      <c r="G401" t="s">
        <v>26</v>
      </c>
      <c r="H401" t="s">
        <v>27</v>
      </c>
      <c r="I401" t="s">
        <v>103</v>
      </c>
      <c r="J401" t="s">
        <v>104</v>
      </c>
      <c r="K401" t="s">
        <v>95</v>
      </c>
      <c r="L401" t="s">
        <v>141</v>
      </c>
      <c r="M401" t="s">
        <v>32</v>
      </c>
      <c r="N401" t="s">
        <v>51</v>
      </c>
      <c r="O401" t="s">
        <v>142</v>
      </c>
      <c r="P401">
        <v>199.95</v>
      </c>
      <c r="Q401">
        <v>5</v>
      </c>
      <c r="R401">
        <v>21.994499999999999</v>
      </c>
      <c r="S401" s="3" t="s">
        <v>53</v>
      </c>
      <c r="T401">
        <v>2016</v>
      </c>
      <c r="U401" t="s">
        <v>527</v>
      </c>
      <c r="V401" s="2">
        <v>0.11</v>
      </c>
    </row>
    <row r="402" spans="1:22" x14ac:dyDescent="0.25">
      <c r="A402" t="s">
        <v>1623</v>
      </c>
      <c r="B402" s="1">
        <v>42565</v>
      </c>
      <c r="C402" s="1">
        <v>42565</v>
      </c>
      <c r="D402" t="s">
        <v>677</v>
      </c>
      <c r="E402" t="s">
        <v>1624</v>
      </c>
      <c r="F402" t="s">
        <v>1625</v>
      </c>
      <c r="G402" t="s">
        <v>26</v>
      </c>
      <c r="H402" t="s">
        <v>27</v>
      </c>
      <c r="I402" t="s">
        <v>517</v>
      </c>
      <c r="J402" t="s">
        <v>555</v>
      </c>
      <c r="K402" t="s">
        <v>155</v>
      </c>
      <c r="L402" t="s">
        <v>234</v>
      </c>
      <c r="M402" t="s">
        <v>32</v>
      </c>
      <c r="N402" t="s">
        <v>51</v>
      </c>
      <c r="O402" t="s">
        <v>235</v>
      </c>
      <c r="P402">
        <v>29</v>
      </c>
      <c r="Q402">
        <v>2</v>
      </c>
      <c r="R402">
        <v>7.25</v>
      </c>
      <c r="S402" s="3" t="s">
        <v>683</v>
      </c>
      <c r="T402">
        <v>2016</v>
      </c>
      <c r="U402" t="s">
        <v>332</v>
      </c>
      <c r="V402" s="2">
        <v>0.25</v>
      </c>
    </row>
    <row r="403" spans="1:22" x14ac:dyDescent="0.25">
      <c r="A403" t="s">
        <v>1626</v>
      </c>
      <c r="B403" s="1">
        <v>42957</v>
      </c>
      <c r="C403" s="1">
        <v>42962</v>
      </c>
      <c r="D403" t="s">
        <v>23</v>
      </c>
      <c r="E403" t="s">
        <v>1627</v>
      </c>
      <c r="F403" t="s">
        <v>1628</v>
      </c>
      <c r="G403" t="s">
        <v>26</v>
      </c>
      <c r="H403" t="s">
        <v>27</v>
      </c>
      <c r="I403" t="s">
        <v>176</v>
      </c>
      <c r="J403" t="s">
        <v>669</v>
      </c>
      <c r="K403" t="s">
        <v>62</v>
      </c>
      <c r="L403" t="s">
        <v>370</v>
      </c>
      <c r="M403" t="s">
        <v>32</v>
      </c>
      <c r="N403" t="s">
        <v>33</v>
      </c>
      <c r="O403" t="s">
        <v>371</v>
      </c>
      <c r="P403">
        <v>1454.49</v>
      </c>
      <c r="Q403">
        <v>9</v>
      </c>
      <c r="R403">
        <v>378.16739999999999</v>
      </c>
      <c r="S403" s="3" t="s">
        <v>35</v>
      </c>
      <c r="T403">
        <v>2017</v>
      </c>
      <c r="U403" t="s">
        <v>46</v>
      </c>
      <c r="V403" s="2">
        <v>0.26</v>
      </c>
    </row>
    <row r="404" spans="1:22" x14ac:dyDescent="0.25">
      <c r="A404" t="s">
        <v>1629</v>
      </c>
      <c r="B404" s="1">
        <v>42714</v>
      </c>
      <c r="C404" s="1">
        <v>42721</v>
      </c>
      <c r="D404" t="s">
        <v>23</v>
      </c>
      <c r="E404" t="s">
        <v>1015</v>
      </c>
      <c r="F404" t="s">
        <v>1016</v>
      </c>
      <c r="G404" t="s">
        <v>26</v>
      </c>
      <c r="H404" t="s">
        <v>27</v>
      </c>
      <c r="I404" t="s">
        <v>481</v>
      </c>
      <c r="J404" t="s">
        <v>426</v>
      </c>
      <c r="K404" t="s">
        <v>30</v>
      </c>
      <c r="L404" t="s">
        <v>1264</v>
      </c>
      <c r="M404" t="s">
        <v>32</v>
      </c>
      <c r="N404" t="s">
        <v>51</v>
      </c>
      <c r="O404" t="s">
        <v>1265</v>
      </c>
      <c r="P404">
        <v>44.75</v>
      </c>
      <c r="Q404">
        <v>5</v>
      </c>
      <c r="R404">
        <v>8.5024999999999995</v>
      </c>
      <c r="S404" s="3" t="s">
        <v>132</v>
      </c>
      <c r="T404">
        <v>2016</v>
      </c>
      <c r="U404" t="s">
        <v>66</v>
      </c>
      <c r="V404" s="2">
        <v>0.19</v>
      </c>
    </row>
    <row r="405" spans="1:22" x14ac:dyDescent="0.25">
      <c r="A405" t="s">
        <v>1630</v>
      </c>
      <c r="B405" s="1">
        <v>41791</v>
      </c>
      <c r="C405" s="1">
        <v>41796</v>
      </c>
      <c r="D405" t="s">
        <v>23</v>
      </c>
      <c r="E405" t="s">
        <v>1194</v>
      </c>
      <c r="F405" t="s">
        <v>1195</v>
      </c>
      <c r="G405" t="s">
        <v>26</v>
      </c>
      <c r="H405" t="s">
        <v>27</v>
      </c>
      <c r="I405" t="s">
        <v>1631</v>
      </c>
      <c r="J405" t="s">
        <v>1011</v>
      </c>
      <c r="K405" t="s">
        <v>155</v>
      </c>
      <c r="L405" t="s">
        <v>276</v>
      </c>
      <c r="M405" t="s">
        <v>32</v>
      </c>
      <c r="N405" t="s">
        <v>33</v>
      </c>
      <c r="O405" t="s">
        <v>277</v>
      </c>
      <c r="P405">
        <v>881.93</v>
      </c>
      <c r="Q405">
        <v>7</v>
      </c>
      <c r="R405">
        <v>229.30179999999999</v>
      </c>
      <c r="S405" s="3" t="s">
        <v>35</v>
      </c>
      <c r="T405">
        <v>2014</v>
      </c>
      <c r="U405" t="s">
        <v>36</v>
      </c>
      <c r="V405" s="2">
        <v>0.26</v>
      </c>
    </row>
    <row r="406" spans="1:22" x14ac:dyDescent="0.25">
      <c r="A406" t="s">
        <v>1632</v>
      </c>
      <c r="B406" s="1">
        <v>41834</v>
      </c>
      <c r="C406" s="1">
        <v>41840</v>
      </c>
      <c r="D406" t="s">
        <v>23</v>
      </c>
      <c r="E406" t="s">
        <v>1633</v>
      </c>
      <c r="F406" t="s">
        <v>1634</v>
      </c>
      <c r="G406" t="s">
        <v>70</v>
      </c>
      <c r="H406" t="s">
        <v>27</v>
      </c>
      <c r="I406" t="s">
        <v>146</v>
      </c>
      <c r="J406" t="s">
        <v>78</v>
      </c>
      <c r="K406" t="s">
        <v>62</v>
      </c>
      <c r="L406" t="s">
        <v>244</v>
      </c>
      <c r="M406" t="s">
        <v>32</v>
      </c>
      <c r="N406" t="s">
        <v>33</v>
      </c>
      <c r="O406" t="s">
        <v>245</v>
      </c>
      <c r="P406">
        <v>38.271999999999998</v>
      </c>
      <c r="Q406">
        <v>4</v>
      </c>
      <c r="R406">
        <v>3.8271999999999999</v>
      </c>
      <c r="S406" s="3" t="s">
        <v>107</v>
      </c>
      <c r="T406">
        <v>2014</v>
      </c>
      <c r="U406" t="s">
        <v>332</v>
      </c>
      <c r="V406" s="2">
        <v>0.1</v>
      </c>
    </row>
    <row r="407" spans="1:22" x14ac:dyDescent="0.25">
      <c r="A407" t="s">
        <v>1635</v>
      </c>
      <c r="B407" s="1">
        <v>41957</v>
      </c>
      <c r="C407" s="1">
        <v>41959</v>
      </c>
      <c r="D407" t="s">
        <v>40</v>
      </c>
      <c r="E407" t="s">
        <v>1636</v>
      </c>
      <c r="F407" t="s">
        <v>1637</v>
      </c>
      <c r="G407" t="s">
        <v>26</v>
      </c>
      <c r="H407" t="s">
        <v>27</v>
      </c>
      <c r="I407" t="s">
        <v>1638</v>
      </c>
      <c r="J407" t="s">
        <v>1451</v>
      </c>
      <c r="K407" t="s">
        <v>95</v>
      </c>
      <c r="L407" t="s">
        <v>1639</v>
      </c>
      <c r="M407" t="s">
        <v>32</v>
      </c>
      <c r="N407" t="s">
        <v>33</v>
      </c>
      <c r="O407" t="s">
        <v>1640</v>
      </c>
      <c r="P407">
        <v>832.93</v>
      </c>
      <c r="Q407">
        <v>7</v>
      </c>
      <c r="R407">
        <v>233.22040000000001</v>
      </c>
      <c r="S407" s="3" t="s">
        <v>65</v>
      </c>
      <c r="T407">
        <v>2014</v>
      </c>
      <c r="U407" t="s">
        <v>118</v>
      </c>
      <c r="V407" s="2">
        <v>0.28000000000000003</v>
      </c>
    </row>
    <row r="408" spans="1:22" x14ac:dyDescent="0.25">
      <c r="A408" t="s">
        <v>1641</v>
      </c>
      <c r="B408" s="1">
        <v>42944</v>
      </c>
      <c r="C408" s="1">
        <v>42948</v>
      </c>
      <c r="D408" t="s">
        <v>23</v>
      </c>
      <c r="E408" t="s">
        <v>1642</v>
      </c>
      <c r="F408" t="s">
        <v>1643</v>
      </c>
      <c r="G408" t="s">
        <v>59</v>
      </c>
      <c r="H408" t="s">
        <v>27</v>
      </c>
      <c r="I408" t="s">
        <v>43</v>
      </c>
      <c r="J408" t="s">
        <v>29</v>
      </c>
      <c r="K408" t="s">
        <v>30</v>
      </c>
      <c r="L408" t="s">
        <v>1385</v>
      </c>
      <c r="M408" t="s">
        <v>32</v>
      </c>
      <c r="N408" t="s">
        <v>33</v>
      </c>
      <c r="O408" t="s">
        <v>1386</v>
      </c>
      <c r="P408">
        <v>1145.5999999999999</v>
      </c>
      <c r="Q408">
        <v>4</v>
      </c>
      <c r="R408">
        <v>100.24</v>
      </c>
      <c r="S408" s="3" t="s">
        <v>53</v>
      </c>
      <c r="T408">
        <v>2017</v>
      </c>
      <c r="U408" t="s">
        <v>332</v>
      </c>
      <c r="V408" s="2">
        <v>8.7499999999999994E-2</v>
      </c>
    </row>
    <row r="409" spans="1:22" x14ac:dyDescent="0.25">
      <c r="A409" t="s">
        <v>1644</v>
      </c>
      <c r="B409" s="1">
        <v>42344</v>
      </c>
      <c r="C409" s="1">
        <v>42344</v>
      </c>
      <c r="D409" t="s">
        <v>677</v>
      </c>
      <c r="E409" t="s">
        <v>1645</v>
      </c>
      <c r="F409" t="s">
        <v>1646</v>
      </c>
      <c r="G409" t="s">
        <v>26</v>
      </c>
      <c r="H409" t="s">
        <v>27</v>
      </c>
      <c r="I409" t="s">
        <v>1647</v>
      </c>
      <c r="J409" t="s">
        <v>177</v>
      </c>
      <c r="K409" t="s">
        <v>95</v>
      </c>
      <c r="L409" t="s">
        <v>1593</v>
      </c>
      <c r="M409" t="s">
        <v>32</v>
      </c>
      <c r="N409" t="s">
        <v>33</v>
      </c>
      <c r="O409" t="s">
        <v>1594</v>
      </c>
      <c r="P409">
        <v>485.94</v>
      </c>
      <c r="Q409">
        <v>2</v>
      </c>
      <c r="R409">
        <v>-89.088999999999999</v>
      </c>
      <c r="S409" s="3" t="s">
        <v>683</v>
      </c>
      <c r="T409">
        <v>2015</v>
      </c>
      <c r="U409" t="s">
        <v>66</v>
      </c>
      <c r="V409" s="2">
        <v>-0.18333333333333299</v>
      </c>
    </row>
    <row r="410" spans="1:22" x14ac:dyDescent="0.25">
      <c r="A410" t="s">
        <v>1648</v>
      </c>
      <c r="B410" s="1">
        <v>42945</v>
      </c>
      <c r="C410" s="1">
        <v>42950</v>
      </c>
      <c r="D410" t="s">
        <v>23</v>
      </c>
      <c r="E410" t="s">
        <v>403</v>
      </c>
      <c r="F410" t="s">
        <v>404</v>
      </c>
      <c r="G410" t="s">
        <v>59</v>
      </c>
      <c r="H410" t="s">
        <v>27</v>
      </c>
      <c r="I410" t="s">
        <v>715</v>
      </c>
      <c r="J410" t="s">
        <v>61</v>
      </c>
      <c r="K410" t="s">
        <v>62</v>
      </c>
      <c r="L410" t="s">
        <v>578</v>
      </c>
      <c r="M410" t="s">
        <v>32</v>
      </c>
      <c r="N410" t="s">
        <v>33</v>
      </c>
      <c r="O410" t="s">
        <v>579</v>
      </c>
      <c r="P410">
        <v>124.792</v>
      </c>
      <c r="Q410">
        <v>1</v>
      </c>
      <c r="R410">
        <v>15.599</v>
      </c>
      <c r="S410" s="3" t="s">
        <v>35</v>
      </c>
      <c r="T410">
        <v>2017</v>
      </c>
      <c r="U410" t="s">
        <v>332</v>
      </c>
      <c r="V410" s="2">
        <v>0.125</v>
      </c>
    </row>
    <row r="411" spans="1:22" x14ac:dyDescent="0.25">
      <c r="A411" t="s">
        <v>1649</v>
      </c>
      <c r="B411" s="1">
        <v>42352</v>
      </c>
      <c r="C411" s="1">
        <v>42354</v>
      </c>
      <c r="D411" t="s">
        <v>40</v>
      </c>
      <c r="E411" t="s">
        <v>1650</v>
      </c>
      <c r="F411" t="s">
        <v>1651</v>
      </c>
      <c r="G411" t="s">
        <v>26</v>
      </c>
      <c r="H411" t="s">
        <v>27</v>
      </c>
      <c r="I411" t="s">
        <v>339</v>
      </c>
      <c r="J411" t="s">
        <v>340</v>
      </c>
      <c r="K411" t="s">
        <v>30</v>
      </c>
      <c r="L411" t="s">
        <v>1652</v>
      </c>
      <c r="M411" t="s">
        <v>32</v>
      </c>
      <c r="N411" t="s">
        <v>33</v>
      </c>
      <c r="O411" t="s">
        <v>1653</v>
      </c>
      <c r="P411">
        <v>319.96800000000002</v>
      </c>
      <c r="Q411">
        <v>4</v>
      </c>
      <c r="R411">
        <v>35.996400000000001</v>
      </c>
      <c r="S411" s="3" t="s">
        <v>65</v>
      </c>
      <c r="T411">
        <v>2015</v>
      </c>
      <c r="U411" t="s">
        <v>66</v>
      </c>
      <c r="V411" s="2">
        <v>0.1125</v>
      </c>
    </row>
    <row r="412" spans="1:22" x14ac:dyDescent="0.25">
      <c r="A412" t="s">
        <v>1654</v>
      </c>
      <c r="B412" s="1">
        <v>43074</v>
      </c>
      <c r="C412" s="1">
        <v>43079</v>
      </c>
      <c r="D412" t="s">
        <v>23</v>
      </c>
      <c r="E412" t="s">
        <v>1114</v>
      </c>
      <c r="F412" t="s">
        <v>1115</v>
      </c>
      <c r="G412" t="s">
        <v>59</v>
      </c>
      <c r="H412" t="s">
        <v>27</v>
      </c>
      <c r="I412" t="s">
        <v>680</v>
      </c>
      <c r="J412" t="s">
        <v>1655</v>
      </c>
      <c r="K412" t="s">
        <v>95</v>
      </c>
      <c r="L412" t="s">
        <v>995</v>
      </c>
      <c r="M412" t="s">
        <v>32</v>
      </c>
      <c r="N412" t="s">
        <v>51</v>
      </c>
      <c r="O412" t="s">
        <v>996</v>
      </c>
      <c r="P412">
        <v>205.03</v>
      </c>
      <c r="Q412">
        <v>7</v>
      </c>
      <c r="R412">
        <v>67.659899999999993</v>
      </c>
      <c r="S412" s="3" t="s">
        <v>35</v>
      </c>
      <c r="T412">
        <v>2017</v>
      </c>
      <c r="U412" t="s">
        <v>66</v>
      </c>
      <c r="V412" s="2">
        <v>0.33</v>
      </c>
    </row>
    <row r="413" spans="1:22" x14ac:dyDescent="0.25">
      <c r="A413" t="s">
        <v>1656</v>
      </c>
      <c r="B413" s="1">
        <v>42700</v>
      </c>
      <c r="C413" s="1">
        <v>42705</v>
      </c>
      <c r="D413" t="s">
        <v>23</v>
      </c>
      <c r="E413" t="s">
        <v>1657</v>
      </c>
      <c r="F413" t="s">
        <v>1658</v>
      </c>
      <c r="G413" t="s">
        <v>26</v>
      </c>
      <c r="H413" t="s">
        <v>27</v>
      </c>
      <c r="I413" t="s">
        <v>206</v>
      </c>
      <c r="J413" t="s">
        <v>207</v>
      </c>
      <c r="K413" t="s">
        <v>95</v>
      </c>
      <c r="L413" t="s">
        <v>1082</v>
      </c>
      <c r="M413" t="s">
        <v>32</v>
      </c>
      <c r="N413" t="s">
        <v>33</v>
      </c>
      <c r="O413" t="s">
        <v>1083</v>
      </c>
      <c r="P413">
        <v>494.98200000000003</v>
      </c>
      <c r="Q413">
        <v>3</v>
      </c>
      <c r="R413">
        <v>-115.4958</v>
      </c>
      <c r="S413" s="3" t="s">
        <v>35</v>
      </c>
      <c r="T413">
        <v>2016</v>
      </c>
      <c r="U413" t="s">
        <v>118</v>
      </c>
      <c r="V413" s="2">
        <v>-0.233333333333333</v>
      </c>
    </row>
    <row r="414" spans="1:22" x14ac:dyDescent="0.25">
      <c r="A414" t="s">
        <v>1659</v>
      </c>
      <c r="B414" s="1">
        <v>43060</v>
      </c>
      <c r="C414" s="1">
        <v>43064</v>
      </c>
      <c r="D414" t="s">
        <v>23</v>
      </c>
      <c r="E414" t="s">
        <v>1660</v>
      </c>
      <c r="F414" t="s">
        <v>1661</v>
      </c>
      <c r="G414" t="s">
        <v>70</v>
      </c>
      <c r="H414" t="s">
        <v>27</v>
      </c>
      <c r="I414" t="s">
        <v>911</v>
      </c>
      <c r="J414" t="s">
        <v>29</v>
      </c>
      <c r="K414" t="s">
        <v>30</v>
      </c>
      <c r="L414" t="s">
        <v>1082</v>
      </c>
      <c r="M414" t="s">
        <v>32</v>
      </c>
      <c r="N414" t="s">
        <v>33</v>
      </c>
      <c r="O414" t="s">
        <v>1083</v>
      </c>
      <c r="P414">
        <v>659.976</v>
      </c>
      <c r="Q414">
        <v>3</v>
      </c>
      <c r="R414">
        <v>49.498199999999997</v>
      </c>
      <c r="S414" s="3" t="s">
        <v>53</v>
      </c>
      <c r="T414">
        <v>2017</v>
      </c>
      <c r="U414" t="s">
        <v>118</v>
      </c>
      <c r="V414" s="2">
        <v>7.4999999999999997E-2</v>
      </c>
    </row>
    <row r="415" spans="1:22" x14ac:dyDescent="0.25">
      <c r="A415" t="s">
        <v>1662</v>
      </c>
      <c r="B415" s="1">
        <v>42630</v>
      </c>
      <c r="C415" s="1">
        <v>42635</v>
      </c>
      <c r="D415" t="s">
        <v>23</v>
      </c>
      <c r="E415" t="s">
        <v>403</v>
      </c>
      <c r="F415" t="s">
        <v>404</v>
      </c>
      <c r="G415" t="s">
        <v>59</v>
      </c>
      <c r="H415" t="s">
        <v>27</v>
      </c>
      <c r="I415" t="s">
        <v>1663</v>
      </c>
      <c r="J415" t="s">
        <v>1664</v>
      </c>
      <c r="K415" t="s">
        <v>95</v>
      </c>
      <c r="L415" t="s">
        <v>1665</v>
      </c>
      <c r="M415" t="s">
        <v>32</v>
      </c>
      <c r="N415" t="s">
        <v>33</v>
      </c>
      <c r="O415" t="s">
        <v>1666</v>
      </c>
      <c r="P415">
        <v>437.85</v>
      </c>
      <c r="Q415">
        <v>3</v>
      </c>
      <c r="R415">
        <v>131.35499999999999</v>
      </c>
      <c r="S415" s="3" t="s">
        <v>35</v>
      </c>
      <c r="T415">
        <v>2016</v>
      </c>
      <c r="U415" t="s">
        <v>81</v>
      </c>
      <c r="V415" s="2">
        <v>0.3</v>
      </c>
    </row>
    <row r="416" spans="1:22" x14ac:dyDescent="0.25">
      <c r="A416" t="s">
        <v>1667</v>
      </c>
      <c r="B416" s="1">
        <v>42316</v>
      </c>
      <c r="C416" s="1">
        <v>42318</v>
      </c>
      <c r="D416" t="s">
        <v>40</v>
      </c>
      <c r="E416" t="s">
        <v>1668</v>
      </c>
      <c r="F416" t="s">
        <v>1669</v>
      </c>
      <c r="G416" t="s">
        <v>70</v>
      </c>
      <c r="H416" t="s">
        <v>27</v>
      </c>
      <c r="I416" t="s">
        <v>300</v>
      </c>
      <c r="J416" t="s">
        <v>29</v>
      </c>
      <c r="K416" t="s">
        <v>30</v>
      </c>
      <c r="L416" t="s">
        <v>841</v>
      </c>
      <c r="M416" t="s">
        <v>32</v>
      </c>
      <c r="N416" t="s">
        <v>51</v>
      </c>
      <c r="O416" t="s">
        <v>842</v>
      </c>
      <c r="P416">
        <v>371.97</v>
      </c>
      <c r="Q416">
        <v>3</v>
      </c>
      <c r="R416">
        <v>66.954599999999999</v>
      </c>
      <c r="S416" s="3" t="s">
        <v>65</v>
      </c>
      <c r="T416">
        <v>2015</v>
      </c>
      <c r="U416" t="s">
        <v>118</v>
      </c>
      <c r="V416" s="2">
        <v>0.18</v>
      </c>
    </row>
    <row r="417" spans="1:22" x14ac:dyDescent="0.25">
      <c r="A417" t="s">
        <v>1670</v>
      </c>
      <c r="B417" s="1">
        <v>42356</v>
      </c>
      <c r="C417" s="1">
        <v>42356</v>
      </c>
      <c r="D417" t="s">
        <v>677</v>
      </c>
      <c r="E417" t="s">
        <v>1671</v>
      </c>
      <c r="F417" t="s">
        <v>1672</v>
      </c>
      <c r="G417" t="s">
        <v>26</v>
      </c>
      <c r="H417" t="s">
        <v>27</v>
      </c>
      <c r="I417" t="s">
        <v>103</v>
      </c>
      <c r="J417" t="s">
        <v>104</v>
      </c>
      <c r="K417" t="s">
        <v>95</v>
      </c>
      <c r="L417" t="s">
        <v>697</v>
      </c>
      <c r="M417" t="s">
        <v>32</v>
      </c>
      <c r="N417" t="s">
        <v>51</v>
      </c>
      <c r="O417" t="s">
        <v>698</v>
      </c>
      <c r="P417">
        <v>166.24</v>
      </c>
      <c r="Q417">
        <v>1</v>
      </c>
      <c r="R417">
        <v>24.936</v>
      </c>
      <c r="S417" s="3" t="s">
        <v>683</v>
      </c>
      <c r="T417">
        <v>2015</v>
      </c>
      <c r="U417" t="s">
        <v>66</v>
      </c>
      <c r="V417" s="2">
        <v>0.15</v>
      </c>
    </row>
    <row r="418" spans="1:22" x14ac:dyDescent="0.25">
      <c r="A418" t="s">
        <v>1673</v>
      </c>
      <c r="B418" s="1">
        <v>42688</v>
      </c>
      <c r="C418" s="1">
        <v>42690</v>
      </c>
      <c r="D418" t="s">
        <v>40</v>
      </c>
      <c r="E418" t="s">
        <v>776</v>
      </c>
      <c r="F418" t="s">
        <v>777</v>
      </c>
      <c r="G418" t="s">
        <v>26</v>
      </c>
      <c r="H418" t="s">
        <v>27</v>
      </c>
      <c r="I418" t="s">
        <v>1674</v>
      </c>
      <c r="J418" t="s">
        <v>1006</v>
      </c>
      <c r="K418" t="s">
        <v>155</v>
      </c>
      <c r="L418" t="s">
        <v>1675</v>
      </c>
      <c r="M418" t="s">
        <v>32</v>
      </c>
      <c r="N418" t="s">
        <v>51</v>
      </c>
      <c r="O418" t="s">
        <v>1676</v>
      </c>
      <c r="P418">
        <v>499.98</v>
      </c>
      <c r="Q418">
        <v>2</v>
      </c>
      <c r="R418">
        <v>114.9954</v>
      </c>
      <c r="S418" s="3" t="s">
        <v>65</v>
      </c>
      <c r="T418">
        <v>2016</v>
      </c>
      <c r="U418" t="s">
        <v>118</v>
      </c>
      <c r="V418" s="2">
        <v>0.23</v>
      </c>
    </row>
    <row r="419" spans="1:22" x14ac:dyDescent="0.25">
      <c r="A419" t="s">
        <v>1677</v>
      </c>
      <c r="B419" s="1">
        <v>42069</v>
      </c>
      <c r="C419" s="1">
        <v>42074</v>
      </c>
      <c r="D419" t="s">
        <v>23</v>
      </c>
      <c r="E419" t="s">
        <v>373</v>
      </c>
      <c r="F419" t="s">
        <v>374</v>
      </c>
      <c r="G419" t="s">
        <v>26</v>
      </c>
      <c r="H419" t="s">
        <v>27</v>
      </c>
      <c r="I419" t="s">
        <v>43</v>
      </c>
      <c r="J419" t="s">
        <v>29</v>
      </c>
      <c r="K419" t="s">
        <v>30</v>
      </c>
      <c r="L419" t="s">
        <v>1678</v>
      </c>
      <c r="M419" t="s">
        <v>32</v>
      </c>
      <c r="N419" t="s">
        <v>381</v>
      </c>
      <c r="O419" t="s">
        <v>1679</v>
      </c>
      <c r="P419">
        <v>1119.9839999999999</v>
      </c>
      <c r="Q419">
        <v>2</v>
      </c>
      <c r="R419">
        <v>377.99459999999999</v>
      </c>
      <c r="S419" s="3" t="s">
        <v>35</v>
      </c>
      <c r="T419">
        <v>2015</v>
      </c>
      <c r="U419" t="s">
        <v>89</v>
      </c>
      <c r="V419" s="2">
        <v>0.33750000000000002</v>
      </c>
    </row>
    <row r="420" spans="1:22" x14ac:dyDescent="0.25">
      <c r="A420" t="s">
        <v>1680</v>
      </c>
      <c r="B420" s="1">
        <v>41817</v>
      </c>
      <c r="C420" s="1">
        <v>41821</v>
      </c>
      <c r="D420" t="s">
        <v>23</v>
      </c>
      <c r="E420" t="s">
        <v>1681</v>
      </c>
      <c r="F420" t="s">
        <v>1682</v>
      </c>
      <c r="G420" t="s">
        <v>26</v>
      </c>
      <c r="H420" t="s">
        <v>27</v>
      </c>
      <c r="I420" t="s">
        <v>1683</v>
      </c>
      <c r="J420" t="s">
        <v>688</v>
      </c>
      <c r="K420" t="s">
        <v>155</v>
      </c>
      <c r="L420" t="s">
        <v>271</v>
      </c>
      <c r="M420" t="s">
        <v>32</v>
      </c>
      <c r="N420" t="s">
        <v>51</v>
      </c>
      <c r="O420" t="s">
        <v>272</v>
      </c>
      <c r="P420">
        <v>223.96</v>
      </c>
      <c r="Q420">
        <v>4</v>
      </c>
      <c r="R420">
        <v>53.750399999999999</v>
      </c>
      <c r="S420" s="3" t="s">
        <v>53</v>
      </c>
      <c r="T420">
        <v>2014</v>
      </c>
      <c r="U420" t="s">
        <v>36</v>
      </c>
      <c r="V420" s="2">
        <v>0.24</v>
      </c>
    </row>
    <row r="421" spans="1:22" x14ac:dyDescent="0.25">
      <c r="A421" t="s">
        <v>1684</v>
      </c>
      <c r="B421" s="1">
        <v>42068</v>
      </c>
      <c r="C421" s="1">
        <v>42072</v>
      </c>
      <c r="D421" t="s">
        <v>23</v>
      </c>
      <c r="E421" t="s">
        <v>1326</v>
      </c>
      <c r="F421" t="s">
        <v>1327</v>
      </c>
      <c r="G421" t="s">
        <v>26</v>
      </c>
      <c r="H421" t="s">
        <v>27</v>
      </c>
      <c r="I421" t="s">
        <v>1685</v>
      </c>
      <c r="J421" t="s">
        <v>669</v>
      </c>
      <c r="K421" t="s">
        <v>62</v>
      </c>
      <c r="L421" t="s">
        <v>244</v>
      </c>
      <c r="M421" t="s">
        <v>32</v>
      </c>
      <c r="N421" t="s">
        <v>33</v>
      </c>
      <c r="O421" t="s">
        <v>245</v>
      </c>
      <c r="P421">
        <v>23.92</v>
      </c>
      <c r="Q421">
        <v>2</v>
      </c>
      <c r="R421">
        <v>6.6976000000000004</v>
      </c>
      <c r="S421" s="3" t="s">
        <v>53</v>
      </c>
      <c r="T421">
        <v>2015</v>
      </c>
      <c r="U421" t="s">
        <v>89</v>
      </c>
      <c r="V421" s="2">
        <v>0.28000000000000003</v>
      </c>
    </row>
    <row r="422" spans="1:22" x14ac:dyDescent="0.25">
      <c r="A422" t="s">
        <v>1686</v>
      </c>
      <c r="B422" s="1">
        <v>42114</v>
      </c>
      <c r="C422" s="1">
        <v>42119</v>
      </c>
      <c r="D422" t="s">
        <v>23</v>
      </c>
      <c r="E422" t="s">
        <v>963</v>
      </c>
      <c r="F422" t="s">
        <v>964</v>
      </c>
      <c r="G422" t="s">
        <v>59</v>
      </c>
      <c r="H422" t="s">
        <v>27</v>
      </c>
      <c r="I422" t="s">
        <v>176</v>
      </c>
      <c r="J422" t="s">
        <v>1006</v>
      </c>
      <c r="K422" t="s">
        <v>155</v>
      </c>
      <c r="L422" t="s">
        <v>805</v>
      </c>
      <c r="M422" t="s">
        <v>32</v>
      </c>
      <c r="N422" t="s">
        <v>33</v>
      </c>
      <c r="O422" t="s">
        <v>806</v>
      </c>
      <c r="P422">
        <v>287.97000000000003</v>
      </c>
      <c r="Q422">
        <v>3</v>
      </c>
      <c r="R422">
        <v>77.751900000000006</v>
      </c>
      <c r="S422" s="3" t="s">
        <v>35</v>
      </c>
      <c r="T422">
        <v>2015</v>
      </c>
      <c r="U422" t="s">
        <v>291</v>
      </c>
      <c r="V422" s="2">
        <v>0.27</v>
      </c>
    </row>
    <row r="423" spans="1:22" x14ac:dyDescent="0.25">
      <c r="A423" t="s">
        <v>1687</v>
      </c>
      <c r="B423" s="1">
        <v>42309</v>
      </c>
      <c r="C423" s="1">
        <v>42314</v>
      </c>
      <c r="D423" t="s">
        <v>23</v>
      </c>
      <c r="E423" t="s">
        <v>1114</v>
      </c>
      <c r="F423" t="s">
        <v>1115</v>
      </c>
      <c r="G423" t="s">
        <v>59</v>
      </c>
      <c r="H423" t="s">
        <v>27</v>
      </c>
      <c r="I423" t="s">
        <v>103</v>
      </c>
      <c r="J423" t="s">
        <v>104</v>
      </c>
      <c r="K423" t="s">
        <v>95</v>
      </c>
      <c r="L423" t="s">
        <v>583</v>
      </c>
      <c r="M423" t="s">
        <v>32</v>
      </c>
      <c r="N423" t="s">
        <v>33</v>
      </c>
      <c r="O423" t="s">
        <v>584</v>
      </c>
      <c r="P423">
        <v>4.95</v>
      </c>
      <c r="Q423">
        <v>1</v>
      </c>
      <c r="R423">
        <v>1.3365</v>
      </c>
      <c r="S423" s="3" t="s">
        <v>35</v>
      </c>
      <c r="T423">
        <v>2015</v>
      </c>
      <c r="U423" t="s">
        <v>118</v>
      </c>
      <c r="V423" s="2">
        <v>0.27</v>
      </c>
    </row>
    <row r="424" spans="1:22" x14ac:dyDescent="0.25">
      <c r="A424" t="s">
        <v>1688</v>
      </c>
      <c r="B424" s="1">
        <v>42309</v>
      </c>
      <c r="C424" s="1">
        <v>42313</v>
      </c>
      <c r="D424" t="s">
        <v>23</v>
      </c>
      <c r="E424" t="s">
        <v>1164</v>
      </c>
      <c r="F424" t="s">
        <v>1165</v>
      </c>
      <c r="G424" t="s">
        <v>26</v>
      </c>
      <c r="H424" t="s">
        <v>27</v>
      </c>
      <c r="I424" t="s">
        <v>103</v>
      </c>
      <c r="J424" t="s">
        <v>104</v>
      </c>
      <c r="K424" t="s">
        <v>95</v>
      </c>
      <c r="L424" t="s">
        <v>1689</v>
      </c>
      <c r="M424" t="s">
        <v>32</v>
      </c>
      <c r="N424" t="s">
        <v>33</v>
      </c>
      <c r="O424" t="s">
        <v>1690</v>
      </c>
      <c r="P424">
        <v>42.95</v>
      </c>
      <c r="Q424">
        <v>1</v>
      </c>
      <c r="R424">
        <v>1.2885</v>
      </c>
      <c r="S424" s="3" t="s">
        <v>53</v>
      </c>
      <c r="T424">
        <v>2015</v>
      </c>
      <c r="U424" t="s">
        <v>118</v>
      </c>
      <c r="V424" s="2">
        <v>0.03</v>
      </c>
    </row>
    <row r="425" spans="1:22" x14ac:dyDescent="0.25">
      <c r="A425" t="s">
        <v>1688</v>
      </c>
      <c r="B425" s="1">
        <v>42309</v>
      </c>
      <c r="C425" s="1">
        <v>42313</v>
      </c>
      <c r="D425" t="s">
        <v>23</v>
      </c>
      <c r="E425" t="s">
        <v>1164</v>
      </c>
      <c r="F425" t="s">
        <v>1165</v>
      </c>
      <c r="G425" t="s">
        <v>26</v>
      </c>
      <c r="H425" t="s">
        <v>27</v>
      </c>
      <c r="I425" t="s">
        <v>103</v>
      </c>
      <c r="J425" t="s">
        <v>104</v>
      </c>
      <c r="K425" t="s">
        <v>95</v>
      </c>
      <c r="L425" t="s">
        <v>788</v>
      </c>
      <c r="M425" t="s">
        <v>32</v>
      </c>
      <c r="N425" t="s">
        <v>51</v>
      </c>
      <c r="O425" t="s">
        <v>789</v>
      </c>
      <c r="P425">
        <v>1399.93</v>
      </c>
      <c r="Q425">
        <v>7</v>
      </c>
      <c r="R425">
        <v>601.96990000000005</v>
      </c>
      <c r="S425" s="3" t="s">
        <v>53</v>
      </c>
      <c r="T425">
        <v>2015</v>
      </c>
      <c r="U425" t="s">
        <v>118</v>
      </c>
      <c r="V425" s="2">
        <v>0.43</v>
      </c>
    </row>
    <row r="426" spans="1:22" x14ac:dyDescent="0.25">
      <c r="A426" t="s">
        <v>1688</v>
      </c>
      <c r="B426" s="1">
        <v>42309</v>
      </c>
      <c r="C426" s="1">
        <v>42313</v>
      </c>
      <c r="D426" t="s">
        <v>23</v>
      </c>
      <c r="E426" t="s">
        <v>1164</v>
      </c>
      <c r="F426" t="s">
        <v>1165</v>
      </c>
      <c r="G426" t="s">
        <v>26</v>
      </c>
      <c r="H426" t="s">
        <v>27</v>
      </c>
      <c r="I426" t="s">
        <v>103</v>
      </c>
      <c r="J426" t="s">
        <v>104</v>
      </c>
      <c r="K426" t="s">
        <v>95</v>
      </c>
      <c r="L426" t="s">
        <v>573</v>
      </c>
      <c r="M426" t="s">
        <v>32</v>
      </c>
      <c r="N426" t="s">
        <v>33</v>
      </c>
      <c r="O426" t="s">
        <v>574</v>
      </c>
      <c r="P426">
        <v>503.96</v>
      </c>
      <c r="Q426">
        <v>4</v>
      </c>
      <c r="R426">
        <v>125.99</v>
      </c>
      <c r="S426" s="3" t="s">
        <v>53</v>
      </c>
      <c r="T426">
        <v>2015</v>
      </c>
      <c r="U426" t="s">
        <v>118</v>
      </c>
      <c r="V426" s="2">
        <v>0.25</v>
      </c>
    </row>
    <row r="427" spans="1:22" x14ac:dyDescent="0.25">
      <c r="A427" t="s">
        <v>1691</v>
      </c>
      <c r="B427" s="1">
        <v>42386</v>
      </c>
      <c r="C427" s="1">
        <v>42390</v>
      </c>
      <c r="D427" t="s">
        <v>23</v>
      </c>
      <c r="E427" t="s">
        <v>1692</v>
      </c>
      <c r="F427" t="s">
        <v>1693</v>
      </c>
      <c r="G427" t="s">
        <v>59</v>
      </c>
      <c r="H427" t="s">
        <v>27</v>
      </c>
      <c r="I427" t="s">
        <v>176</v>
      </c>
      <c r="J427" t="s">
        <v>1006</v>
      </c>
      <c r="K427" t="s">
        <v>155</v>
      </c>
      <c r="L427" t="s">
        <v>654</v>
      </c>
      <c r="M427" t="s">
        <v>32</v>
      </c>
      <c r="N427" t="s">
        <v>51</v>
      </c>
      <c r="O427" t="s">
        <v>655</v>
      </c>
      <c r="P427">
        <v>316</v>
      </c>
      <c r="Q427">
        <v>4</v>
      </c>
      <c r="R427">
        <v>31.6</v>
      </c>
      <c r="S427" s="3" t="s">
        <v>53</v>
      </c>
      <c r="T427">
        <v>2016</v>
      </c>
      <c r="U427" t="s">
        <v>54</v>
      </c>
      <c r="V427" s="2">
        <v>0.1</v>
      </c>
    </row>
    <row r="428" spans="1:22" x14ac:dyDescent="0.25">
      <c r="A428" t="s">
        <v>1694</v>
      </c>
      <c r="B428" s="1">
        <v>43044</v>
      </c>
      <c r="C428" s="1">
        <v>43048</v>
      </c>
      <c r="D428" t="s">
        <v>23</v>
      </c>
      <c r="E428" t="s">
        <v>1695</v>
      </c>
      <c r="F428" t="s">
        <v>1696</v>
      </c>
      <c r="G428" t="s">
        <v>26</v>
      </c>
      <c r="H428" t="s">
        <v>27</v>
      </c>
      <c r="I428" t="s">
        <v>103</v>
      </c>
      <c r="J428" t="s">
        <v>104</v>
      </c>
      <c r="K428" t="s">
        <v>95</v>
      </c>
      <c r="L428" t="s">
        <v>562</v>
      </c>
      <c r="M428" t="s">
        <v>32</v>
      </c>
      <c r="N428" t="s">
        <v>51</v>
      </c>
      <c r="O428" t="s">
        <v>563</v>
      </c>
      <c r="P428">
        <v>390.75</v>
      </c>
      <c r="Q428">
        <v>5</v>
      </c>
      <c r="R428">
        <v>171.93</v>
      </c>
      <c r="S428" s="3" t="s">
        <v>53</v>
      </c>
      <c r="T428">
        <v>2017</v>
      </c>
      <c r="U428" t="s">
        <v>118</v>
      </c>
      <c r="V428" s="2">
        <v>0.44</v>
      </c>
    </row>
    <row r="429" spans="1:22" x14ac:dyDescent="0.25">
      <c r="A429" t="s">
        <v>1697</v>
      </c>
      <c r="B429" s="1">
        <v>42936</v>
      </c>
      <c r="C429" s="1">
        <v>42941</v>
      </c>
      <c r="D429" t="s">
        <v>23</v>
      </c>
      <c r="E429" t="s">
        <v>1698</v>
      </c>
      <c r="F429" t="s">
        <v>1699</v>
      </c>
      <c r="G429" t="s">
        <v>59</v>
      </c>
      <c r="H429" t="s">
        <v>27</v>
      </c>
      <c r="I429" t="s">
        <v>1700</v>
      </c>
      <c r="J429" t="s">
        <v>1701</v>
      </c>
      <c r="K429" t="s">
        <v>62</v>
      </c>
      <c r="L429" t="s">
        <v>1702</v>
      </c>
      <c r="M429" t="s">
        <v>32</v>
      </c>
      <c r="N429" t="s">
        <v>51</v>
      </c>
      <c r="O429" t="s">
        <v>1703</v>
      </c>
      <c r="P429">
        <v>389.97</v>
      </c>
      <c r="Q429">
        <v>3</v>
      </c>
      <c r="R429">
        <v>132.5898</v>
      </c>
      <c r="S429" s="3" t="s">
        <v>35</v>
      </c>
      <c r="T429">
        <v>2017</v>
      </c>
      <c r="U429" t="s">
        <v>332</v>
      </c>
      <c r="V429" s="2">
        <v>0.34</v>
      </c>
    </row>
    <row r="430" spans="1:22" x14ac:dyDescent="0.25">
      <c r="A430" t="s">
        <v>1704</v>
      </c>
      <c r="B430" s="1">
        <v>42814</v>
      </c>
      <c r="C430" s="1">
        <v>42818</v>
      </c>
      <c r="D430" t="s">
        <v>23</v>
      </c>
      <c r="E430" t="s">
        <v>768</v>
      </c>
      <c r="F430" t="s">
        <v>769</v>
      </c>
      <c r="G430" t="s">
        <v>59</v>
      </c>
      <c r="H430" t="s">
        <v>27</v>
      </c>
      <c r="I430" t="s">
        <v>481</v>
      </c>
      <c r="J430" t="s">
        <v>426</v>
      </c>
      <c r="K430" t="s">
        <v>30</v>
      </c>
      <c r="L430" t="s">
        <v>1705</v>
      </c>
      <c r="M430" t="s">
        <v>32</v>
      </c>
      <c r="N430" t="s">
        <v>51</v>
      </c>
      <c r="O430" t="s">
        <v>1706</v>
      </c>
      <c r="P430">
        <v>265.93</v>
      </c>
      <c r="Q430">
        <v>7</v>
      </c>
      <c r="R430">
        <v>63.8232</v>
      </c>
      <c r="S430" s="3" t="s">
        <v>53</v>
      </c>
      <c r="T430">
        <v>2017</v>
      </c>
      <c r="U430" t="s">
        <v>89</v>
      </c>
      <c r="V430" s="2">
        <v>0.24</v>
      </c>
    </row>
    <row r="431" spans="1:22" x14ac:dyDescent="0.25">
      <c r="A431" t="s">
        <v>1707</v>
      </c>
      <c r="B431" s="1">
        <v>42004</v>
      </c>
      <c r="C431" s="1">
        <v>42007</v>
      </c>
      <c r="D431" t="s">
        <v>56</v>
      </c>
      <c r="E431" t="s">
        <v>1708</v>
      </c>
      <c r="F431" t="s">
        <v>1709</v>
      </c>
      <c r="G431" t="s">
        <v>70</v>
      </c>
      <c r="H431" t="s">
        <v>27</v>
      </c>
      <c r="I431" t="s">
        <v>184</v>
      </c>
      <c r="J431" t="s">
        <v>1249</v>
      </c>
      <c r="K431" t="s">
        <v>95</v>
      </c>
      <c r="L431" t="s">
        <v>1705</v>
      </c>
      <c r="M431" t="s">
        <v>32</v>
      </c>
      <c r="N431" t="s">
        <v>51</v>
      </c>
      <c r="O431" t="s">
        <v>1706</v>
      </c>
      <c r="P431">
        <v>113.97</v>
      </c>
      <c r="Q431">
        <v>3</v>
      </c>
      <c r="R431">
        <v>27.352799999999998</v>
      </c>
      <c r="S431" s="3" t="s">
        <v>172</v>
      </c>
      <c r="T431">
        <v>2014</v>
      </c>
      <c r="U431" t="s">
        <v>66</v>
      </c>
      <c r="V431" s="2">
        <v>0.24</v>
      </c>
    </row>
    <row r="432" spans="1:22" x14ac:dyDescent="0.25">
      <c r="A432" t="s">
        <v>1710</v>
      </c>
      <c r="B432" s="1">
        <v>42247</v>
      </c>
      <c r="C432" s="1">
        <v>42249</v>
      </c>
      <c r="D432" t="s">
        <v>56</v>
      </c>
      <c r="E432" t="s">
        <v>1711</v>
      </c>
      <c r="F432" t="s">
        <v>1712</v>
      </c>
      <c r="G432" t="s">
        <v>59</v>
      </c>
      <c r="H432" t="s">
        <v>27</v>
      </c>
      <c r="I432" t="s">
        <v>43</v>
      </c>
      <c r="J432" t="s">
        <v>29</v>
      </c>
      <c r="K432" t="s">
        <v>30</v>
      </c>
      <c r="L432" t="s">
        <v>1713</v>
      </c>
      <c r="M432" t="s">
        <v>32</v>
      </c>
      <c r="N432" t="s">
        <v>51</v>
      </c>
      <c r="O432" t="s">
        <v>1714</v>
      </c>
      <c r="P432">
        <v>36.51</v>
      </c>
      <c r="Q432">
        <v>1</v>
      </c>
      <c r="R432">
        <v>15.699299999999999</v>
      </c>
      <c r="S432" s="3" t="s">
        <v>65</v>
      </c>
      <c r="T432">
        <v>2015</v>
      </c>
      <c r="U432" t="s">
        <v>46</v>
      </c>
      <c r="V432" s="2">
        <v>0.43</v>
      </c>
    </row>
    <row r="433" spans="1:22" x14ac:dyDescent="0.25">
      <c r="A433" t="s">
        <v>1710</v>
      </c>
      <c r="B433" s="1">
        <v>42247</v>
      </c>
      <c r="C433" s="1">
        <v>42249</v>
      </c>
      <c r="D433" t="s">
        <v>56</v>
      </c>
      <c r="E433" t="s">
        <v>1711</v>
      </c>
      <c r="F433" t="s">
        <v>1712</v>
      </c>
      <c r="G433" t="s">
        <v>59</v>
      </c>
      <c r="H433" t="s">
        <v>27</v>
      </c>
      <c r="I433" t="s">
        <v>43</v>
      </c>
      <c r="J433" t="s">
        <v>29</v>
      </c>
      <c r="K433" t="s">
        <v>30</v>
      </c>
      <c r="L433" t="s">
        <v>1715</v>
      </c>
      <c r="M433" t="s">
        <v>32</v>
      </c>
      <c r="N433" t="s">
        <v>215</v>
      </c>
      <c r="O433" t="s">
        <v>1716</v>
      </c>
      <c r="P433">
        <v>239.976</v>
      </c>
      <c r="Q433">
        <v>3</v>
      </c>
      <c r="R433">
        <v>80.991900000000001</v>
      </c>
      <c r="S433" s="3" t="s">
        <v>65</v>
      </c>
      <c r="T433">
        <v>2015</v>
      </c>
      <c r="U433" t="s">
        <v>46</v>
      </c>
      <c r="V433" s="2">
        <v>0.33750000000000002</v>
      </c>
    </row>
    <row r="434" spans="1:22" x14ac:dyDescent="0.25">
      <c r="A434" t="s">
        <v>1717</v>
      </c>
      <c r="B434" s="1">
        <v>42923</v>
      </c>
      <c r="C434" s="1">
        <v>42925</v>
      </c>
      <c r="D434" t="s">
        <v>40</v>
      </c>
      <c r="E434" t="s">
        <v>1718</v>
      </c>
      <c r="F434" t="s">
        <v>1719</v>
      </c>
      <c r="G434" t="s">
        <v>59</v>
      </c>
      <c r="H434" t="s">
        <v>27</v>
      </c>
      <c r="I434" t="s">
        <v>1720</v>
      </c>
      <c r="J434" t="s">
        <v>1721</v>
      </c>
      <c r="K434" t="s">
        <v>95</v>
      </c>
      <c r="L434" t="s">
        <v>883</v>
      </c>
      <c r="M434" t="s">
        <v>32</v>
      </c>
      <c r="N434" t="s">
        <v>51</v>
      </c>
      <c r="O434" t="s">
        <v>884</v>
      </c>
      <c r="P434">
        <v>252</v>
      </c>
      <c r="Q434">
        <v>4</v>
      </c>
      <c r="R434">
        <v>93.24</v>
      </c>
      <c r="S434" s="3" t="s">
        <v>65</v>
      </c>
      <c r="T434">
        <v>2017</v>
      </c>
      <c r="U434" t="s">
        <v>332</v>
      </c>
      <c r="V434" s="2">
        <v>0.37</v>
      </c>
    </row>
    <row r="435" spans="1:22" x14ac:dyDescent="0.25">
      <c r="A435" t="s">
        <v>1722</v>
      </c>
      <c r="B435" s="1">
        <v>42819</v>
      </c>
      <c r="C435" s="1">
        <v>42820</v>
      </c>
      <c r="D435" t="s">
        <v>56</v>
      </c>
      <c r="E435" t="s">
        <v>1723</v>
      </c>
      <c r="F435" t="s">
        <v>1724</v>
      </c>
      <c r="G435" t="s">
        <v>26</v>
      </c>
      <c r="H435" t="s">
        <v>27</v>
      </c>
      <c r="I435" t="s">
        <v>1725</v>
      </c>
      <c r="J435" t="s">
        <v>29</v>
      </c>
      <c r="K435" t="s">
        <v>30</v>
      </c>
      <c r="L435" t="s">
        <v>1726</v>
      </c>
      <c r="M435" t="s">
        <v>32</v>
      </c>
      <c r="N435" t="s">
        <v>33</v>
      </c>
      <c r="O435" t="s">
        <v>1727</v>
      </c>
      <c r="P435">
        <v>211.16800000000001</v>
      </c>
      <c r="Q435">
        <v>4</v>
      </c>
      <c r="R435">
        <v>15.8376</v>
      </c>
      <c r="S435" s="3" t="s">
        <v>112</v>
      </c>
      <c r="T435">
        <v>2017</v>
      </c>
      <c r="U435" t="s">
        <v>89</v>
      </c>
      <c r="V435" s="2">
        <v>7.4999999999999997E-2</v>
      </c>
    </row>
    <row r="436" spans="1:22" x14ac:dyDescent="0.25">
      <c r="A436" t="s">
        <v>1722</v>
      </c>
      <c r="B436" s="1">
        <v>42819</v>
      </c>
      <c r="C436" s="1">
        <v>42820</v>
      </c>
      <c r="D436" t="s">
        <v>56</v>
      </c>
      <c r="E436" t="s">
        <v>1723</v>
      </c>
      <c r="F436" t="s">
        <v>1724</v>
      </c>
      <c r="G436" t="s">
        <v>26</v>
      </c>
      <c r="H436" t="s">
        <v>27</v>
      </c>
      <c r="I436" t="s">
        <v>1725</v>
      </c>
      <c r="J436" t="s">
        <v>29</v>
      </c>
      <c r="K436" t="s">
        <v>30</v>
      </c>
      <c r="L436" t="s">
        <v>1728</v>
      </c>
      <c r="M436" t="s">
        <v>32</v>
      </c>
      <c r="N436" t="s">
        <v>381</v>
      </c>
      <c r="O436" t="s">
        <v>1729</v>
      </c>
      <c r="P436">
        <v>479.98399999999998</v>
      </c>
      <c r="Q436">
        <v>2</v>
      </c>
      <c r="R436">
        <v>59.997999999999998</v>
      </c>
      <c r="S436" s="3" t="s">
        <v>112</v>
      </c>
      <c r="T436">
        <v>2017</v>
      </c>
      <c r="U436" t="s">
        <v>89</v>
      </c>
      <c r="V436" s="2">
        <v>0.125</v>
      </c>
    </row>
    <row r="437" spans="1:22" x14ac:dyDescent="0.25">
      <c r="A437" t="s">
        <v>1730</v>
      </c>
      <c r="B437" s="1">
        <v>42344</v>
      </c>
      <c r="C437" s="1">
        <v>42348</v>
      </c>
      <c r="D437" t="s">
        <v>23</v>
      </c>
      <c r="E437" t="s">
        <v>1731</v>
      </c>
      <c r="F437" t="s">
        <v>1732</v>
      </c>
      <c r="G437" t="s">
        <v>26</v>
      </c>
      <c r="H437" t="s">
        <v>27</v>
      </c>
      <c r="I437" t="s">
        <v>103</v>
      </c>
      <c r="J437" t="s">
        <v>104</v>
      </c>
      <c r="K437" t="s">
        <v>95</v>
      </c>
      <c r="L437" t="s">
        <v>1733</v>
      </c>
      <c r="M437" t="s">
        <v>32</v>
      </c>
      <c r="N437" t="s">
        <v>51</v>
      </c>
      <c r="O437" t="s">
        <v>1734</v>
      </c>
      <c r="P437">
        <v>1619.91</v>
      </c>
      <c r="Q437">
        <v>9</v>
      </c>
      <c r="R437">
        <v>97.194599999999994</v>
      </c>
      <c r="S437" s="3" t="s">
        <v>53</v>
      </c>
      <c r="T437">
        <v>2015</v>
      </c>
      <c r="U437" t="s">
        <v>66</v>
      </c>
      <c r="V437" s="2">
        <v>0.06</v>
      </c>
    </row>
    <row r="438" spans="1:22" x14ac:dyDescent="0.25">
      <c r="A438" t="s">
        <v>1735</v>
      </c>
      <c r="B438" s="1">
        <v>42322</v>
      </c>
      <c r="C438" s="1">
        <v>42327</v>
      </c>
      <c r="D438" t="s">
        <v>23</v>
      </c>
      <c r="E438" t="s">
        <v>1736</v>
      </c>
      <c r="F438" t="s">
        <v>1737</v>
      </c>
      <c r="G438" t="s">
        <v>59</v>
      </c>
      <c r="H438" t="s">
        <v>27</v>
      </c>
      <c r="I438" t="s">
        <v>103</v>
      </c>
      <c r="J438" t="s">
        <v>104</v>
      </c>
      <c r="K438" t="s">
        <v>95</v>
      </c>
      <c r="L438" t="s">
        <v>1518</v>
      </c>
      <c r="M438" t="s">
        <v>32</v>
      </c>
      <c r="N438" t="s">
        <v>51</v>
      </c>
      <c r="O438" t="s">
        <v>1519</v>
      </c>
      <c r="P438">
        <v>37.6</v>
      </c>
      <c r="Q438">
        <v>2</v>
      </c>
      <c r="R438">
        <v>2.2559999999999998</v>
      </c>
      <c r="S438" s="3" t="s">
        <v>35</v>
      </c>
      <c r="T438">
        <v>2015</v>
      </c>
      <c r="U438" t="s">
        <v>118</v>
      </c>
      <c r="V438" s="2">
        <v>0.06</v>
      </c>
    </row>
    <row r="439" spans="1:22" x14ac:dyDescent="0.25">
      <c r="A439" t="s">
        <v>1735</v>
      </c>
      <c r="B439" s="1">
        <v>42322</v>
      </c>
      <c r="C439" s="1">
        <v>42327</v>
      </c>
      <c r="D439" t="s">
        <v>23</v>
      </c>
      <c r="E439" t="s">
        <v>1736</v>
      </c>
      <c r="F439" t="s">
        <v>1737</v>
      </c>
      <c r="G439" t="s">
        <v>59</v>
      </c>
      <c r="H439" t="s">
        <v>27</v>
      </c>
      <c r="I439" t="s">
        <v>103</v>
      </c>
      <c r="J439" t="s">
        <v>104</v>
      </c>
      <c r="K439" t="s">
        <v>95</v>
      </c>
      <c r="L439" t="s">
        <v>636</v>
      </c>
      <c r="M439" t="s">
        <v>32</v>
      </c>
      <c r="N439" t="s">
        <v>51</v>
      </c>
      <c r="O439" t="s">
        <v>637</v>
      </c>
      <c r="P439">
        <v>59.9</v>
      </c>
      <c r="Q439">
        <v>2</v>
      </c>
      <c r="R439">
        <v>23.96</v>
      </c>
      <c r="S439" s="3" t="s">
        <v>35</v>
      </c>
      <c r="T439">
        <v>2015</v>
      </c>
      <c r="U439" t="s">
        <v>118</v>
      </c>
      <c r="V439" s="2">
        <v>0.4</v>
      </c>
    </row>
    <row r="440" spans="1:22" x14ac:dyDescent="0.25">
      <c r="A440" t="s">
        <v>1738</v>
      </c>
      <c r="B440" s="1">
        <v>43015</v>
      </c>
      <c r="C440" s="1">
        <v>43019</v>
      </c>
      <c r="D440" t="s">
        <v>23</v>
      </c>
      <c r="E440" t="s">
        <v>1739</v>
      </c>
      <c r="F440" t="s">
        <v>1740</v>
      </c>
      <c r="G440" t="s">
        <v>26</v>
      </c>
      <c r="H440" t="s">
        <v>27</v>
      </c>
      <c r="I440" t="s">
        <v>28</v>
      </c>
      <c r="J440" t="s">
        <v>29</v>
      </c>
      <c r="K440" t="s">
        <v>30</v>
      </c>
      <c r="L440" t="s">
        <v>841</v>
      </c>
      <c r="M440" t="s">
        <v>32</v>
      </c>
      <c r="N440" t="s">
        <v>51</v>
      </c>
      <c r="O440" t="s">
        <v>842</v>
      </c>
      <c r="P440">
        <v>1115.9100000000001</v>
      </c>
      <c r="Q440">
        <v>9</v>
      </c>
      <c r="R440">
        <v>200.8638</v>
      </c>
      <c r="S440" s="3" t="s">
        <v>53</v>
      </c>
      <c r="T440">
        <v>2017</v>
      </c>
      <c r="U440" t="s">
        <v>133</v>
      </c>
      <c r="V440" s="2">
        <v>0.18</v>
      </c>
    </row>
    <row r="441" spans="1:22" x14ac:dyDescent="0.25">
      <c r="A441" t="s">
        <v>1738</v>
      </c>
      <c r="B441" s="1">
        <v>43015</v>
      </c>
      <c r="C441" s="1">
        <v>43019</v>
      </c>
      <c r="D441" t="s">
        <v>23</v>
      </c>
      <c r="E441" t="s">
        <v>1739</v>
      </c>
      <c r="F441" t="s">
        <v>1740</v>
      </c>
      <c r="G441" t="s">
        <v>26</v>
      </c>
      <c r="H441" t="s">
        <v>27</v>
      </c>
      <c r="I441" t="s">
        <v>28</v>
      </c>
      <c r="J441" t="s">
        <v>29</v>
      </c>
      <c r="K441" t="s">
        <v>30</v>
      </c>
      <c r="L441" t="s">
        <v>548</v>
      </c>
      <c r="M441" t="s">
        <v>32</v>
      </c>
      <c r="N441" t="s">
        <v>33</v>
      </c>
      <c r="O441" t="s">
        <v>549</v>
      </c>
      <c r="P441">
        <v>128.744</v>
      </c>
      <c r="Q441">
        <v>7</v>
      </c>
      <c r="R441">
        <v>-28.967400000000001</v>
      </c>
      <c r="S441" s="3" t="s">
        <v>53</v>
      </c>
      <c r="T441">
        <v>2017</v>
      </c>
      <c r="U441" t="s">
        <v>133</v>
      </c>
      <c r="V441" s="2">
        <v>-0.22500000000000001</v>
      </c>
    </row>
    <row r="442" spans="1:22" x14ac:dyDescent="0.25">
      <c r="A442" t="s">
        <v>1738</v>
      </c>
      <c r="B442" s="1">
        <v>43015</v>
      </c>
      <c r="C442" s="1">
        <v>43019</v>
      </c>
      <c r="D442" t="s">
        <v>23</v>
      </c>
      <c r="E442" t="s">
        <v>1739</v>
      </c>
      <c r="F442" t="s">
        <v>1740</v>
      </c>
      <c r="G442" t="s">
        <v>26</v>
      </c>
      <c r="H442" t="s">
        <v>27</v>
      </c>
      <c r="I442" t="s">
        <v>28</v>
      </c>
      <c r="J442" t="s">
        <v>29</v>
      </c>
      <c r="K442" t="s">
        <v>30</v>
      </c>
      <c r="L442" t="s">
        <v>386</v>
      </c>
      <c r="M442" t="s">
        <v>32</v>
      </c>
      <c r="N442" t="s">
        <v>33</v>
      </c>
      <c r="O442" t="s">
        <v>387</v>
      </c>
      <c r="P442">
        <v>79.92</v>
      </c>
      <c r="Q442">
        <v>10</v>
      </c>
      <c r="R442">
        <v>26.972999999999999</v>
      </c>
      <c r="S442" s="3" t="s">
        <v>53</v>
      </c>
      <c r="T442">
        <v>2017</v>
      </c>
      <c r="U442" t="s">
        <v>133</v>
      </c>
      <c r="V442" s="2">
        <v>0.33750000000000002</v>
      </c>
    </row>
    <row r="443" spans="1:22" x14ac:dyDescent="0.25">
      <c r="A443" t="s">
        <v>1741</v>
      </c>
      <c r="B443" s="1">
        <v>42755</v>
      </c>
      <c r="C443" s="1">
        <v>42760</v>
      </c>
      <c r="D443" t="s">
        <v>23</v>
      </c>
      <c r="E443" t="s">
        <v>1742</v>
      </c>
      <c r="F443" t="s">
        <v>1743</v>
      </c>
      <c r="G443" t="s">
        <v>26</v>
      </c>
      <c r="H443" t="s">
        <v>27</v>
      </c>
      <c r="I443" t="s">
        <v>43</v>
      </c>
      <c r="J443" t="s">
        <v>29</v>
      </c>
      <c r="K443" t="s">
        <v>30</v>
      </c>
      <c r="L443" t="s">
        <v>1744</v>
      </c>
      <c r="M443" t="s">
        <v>32</v>
      </c>
      <c r="N443" t="s">
        <v>33</v>
      </c>
      <c r="O443" t="s">
        <v>1745</v>
      </c>
      <c r="P443">
        <v>359.976</v>
      </c>
      <c r="Q443">
        <v>3</v>
      </c>
      <c r="R443">
        <v>130.4913</v>
      </c>
      <c r="S443" s="3" t="s">
        <v>35</v>
      </c>
      <c r="T443">
        <v>2017</v>
      </c>
      <c r="U443" t="s">
        <v>54</v>
      </c>
      <c r="V443" s="2">
        <v>0.36249999999999999</v>
      </c>
    </row>
    <row r="444" spans="1:22" x14ac:dyDescent="0.25">
      <c r="A444" t="s">
        <v>1746</v>
      </c>
      <c r="B444" s="1">
        <v>43020</v>
      </c>
      <c r="C444" s="1">
        <v>43026</v>
      </c>
      <c r="D444" t="s">
        <v>23</v>
      </c>
      <c r="E444" t="s">
        <v>1747</v>
      </c>
      <c r="F444" t="s">
        <v>1748</v>
      </c>
      <c r="G444" t="s">
        <v>59</v>
      </c>
      <c r="H444" t="s">
        <v>27</v>
      </c>
      <c r="I444" t="s">
        <v>1749</v>
      </c>
      <c r="J444" t="s">
        <v>889</v>
      </c>
      <c r="K444" t="s">
        <v>30</v>
      </c>
      <c r="L444" t="s">
        <v>1513</v>
      </c>
      <c r="M444" t="s">
        <v>32</v>
      </c>
      <c r="N444" t="s">
        <v>51</v>
      </c>
      <c r="O444" t="s">
        <v>1514</v>
      </c>
      <c r="P444">
        <v>595</v>
      </c>
      <c r="Q444">
        <v>5</v>
      </c>
      <c r="R444">
        <v>95.2</v>
      </c>
      <c r="S444" s="3" t="s">
        <v>107</v>
      </c>
      <c r="T444">
        <v>2017</v>
      </c>
      <c r="U444" t="s">
        <v>133</v>
      </c>
      <c r="V444" s="2">
        <v>0.16</v>
      </c>
    </row>
    <row r="445" spans="1:22" x14ac:dyDescent="0.25">
      <c r="A445" t="s">
        <v>1750</v>
      </c>
      <c r="B445" s="1">
        <v>42511</v>
      </c>
      <c r="C445" s="1">
        <v>42518</v>
      </c>
      <c r="D445" t="s">
        <v>23</v>
      </c>
      <c r="E445" t="s">
        <v>75</v>
      </c>
      <c r="F445" t="s">
        <v>76</v>
      </c>
      <c r="G445" t="s">
        <v>59</v>
      </c>
      <c r="H445" t="s">
        <v>27</v>
      </c>
      <c r="I445" t="s">
        <v>1751</v>
      </c>
      <c r="J445" t="s">
        <v>1351</v>
      </c>
      <c r="K445" t="s">
        <v>30</v>
      </c>
      <c r="L445" t="s">
        <v>1752</v>
      </c>
      <c r="M445" t="s">
        <v>32</v>
      </c>
      <c r="N445" t="s">
        <v>215</v>
      </c>
      <c r="O445" t="s">
        <v>1753</v>
      </c>
      <c r="P445">
        <v>2396.4</v>
      </c>
      <c r="Q445">
        <v>10</v>
      </c>
      <c r="R445">
        <v>179.73</v>
      </c>
      <c r="S445" s="3" t="s">
        <v>132</v>
      </c>
      <c r="T445">
        <v>2016</v>
      </c>
      <c r="U445" t="s">
        <v>527</v>
      </c>
      <c r="V445" s="2">
        <v>7.4999999999999997E-2</v>
      </c>
    </row>
    <row r="446" spans="1:22" x14ac:dyDescent="0.25">
      <c r="A446" t="s">
        <v>1754</v>
      </c>
      <c r="B446" s="1">
        <v>43048</v>
      </c>
      <c r="C446" s="1">
        <v>43053</v>
      </c>
      <c r="D446" t="s">
        <v>23</v>
      </c>
      <c r="E446" t="s">
        <v>1562</v>
      </c>
      <c r="F446" t="s">
        <v>1563</v>
      </c>
      <c r="G446" t="s">
        <v>59</v>
      </c>
      <c r="H446" t="s">
        <v>27</v>
      </c>
      <c r="I446" t="s">
        <v>1755</v>
      </c>
      <c r="J446" t="s">
        <v>29</v>
      </c>
      <c r="K446" t="s">
        <v>30</v>
      </c>
      <c r="L446" t="s">
        <v>1756</v>
      </c>
      <c r="M446" t="s">
        <v>32</v>
      </c>
      <c r="N446" t="s">
        <v>51</v>
      </c>
      <c r="O446" t="s">
        <v>1757</v>
      </c>
      <c r="P446">
        <v>99.99</v>
      </c>
      <c r="Q446">
        <v>1</v>
      </c>
      <c r="R446">
        <v>43.995600000000003</v>
      </c>
      <c r="S446" s="3" t="s">
        <v>35</v>
      </c>
      <c r="T446">
        <v>2017</v>
      </c>
      <c r="U446" t="s">
        <v>118</v>
      </c>
      <c r="V446" s="2">
        <v>0.44</v>
      </c>
    </row>
    <row r="447" spans="1:22" x14ac:dyDescent="0.25">
      <c r="A447" t="s">
        <v>1758</v>
      </c>
      <c r="B447" s="1">
        <v>43094</v>
      </c>
      <c r="C447" s="1">
        <v>43099</v>
      </c>
      <c r="D447" t="s">
        <v>23</v>
      </c>
      <c r="E447" t="s">
        <v>1695</v>
      </c>
      <c r="F447" t="s">
        <v>1696</v>
      </c>
      <c r="G447" t="s">
        <v>26</v>
      </c>
      <c r="H447" t="s">
        <v>27</v>
      </c>
      <c r="I447" t="s">
        <v>1638</v>
      </c>
      <c r="J447" t="s">
        <v>177</v>
      </c>
      <c r="K447" t="s">
        <v>95</v>
      </c>
      <c r="L447" t="s">
        <v>876</v>
      </c>
      <c r="M447" t="s">
        <v>32</v>
      </c>
      <c r="N447" t="s">
        <v>51</v>
      </c>
      <c r="O447" t="s">
        <v>877</v>
      </c>
      <c r="P447">
        <v>158.928</v>
      </c>
      <c r="Q447">
        <v>7</v>
      </c>
      <c r="R447">
        <v>41.718600000000002</v>
      </c>
      <c r="S447" s="3" t="s">
        <v>35</v>
      </c>
      <c r="T447">
        <v>2017</v>
      </c>
      <c r="U447" t="s">
        <v>66</v>
      </c>
      <c r="V447" s="2">
        <v>0.26250000000000001</v>
      </c>
    </row>
    <row r="448" spans="1:22" x14ac:dyDescent="0.25">
      <c r="A448" t="s">
        <v>1759</v>
      </c>
      <c r="B448" s="1">
        <v>42883</v>
      </c>
      <c r="C448" s="1">
        <v>42887</v>
      </c>
      <c r="D448" t="s">
        <v>23</v>
      </c>
      <c r="E448" t="s">
        <v>274</v>
      </c>
      <c r="F448" t="s">
        <v>275</v>
      </c>
      <c r="G448" t="s">
        <v>26</v>
      </c>
      <c r="H448" t="s">
        <v>27</v>
      </c>
      <c r="I448" t="s">
        <v>71</v>
      </c>
      <c r="J448" t="s">
        <v>61</v>
      </c>
      <c r="K448" t="s">
        <v>62</v>
      </c>
      <c r="L448" t="s">
        <v>1610</v>
      </c>
      <c r="M448" t="s">
        <v>32</v>
      </c>
      <c r="N448" t="s">
        <v>33</v>
      </c>
      <c r="O448" t="s">
        <v>1611</v>
      </c>
      <c r="P448">
        <v>54.368000000000002</v>
      </c>
      <c r="Q448">
        <v>4</v>
      </c>
      <c r="R448">
        <v>4.0776000000000003</v>
      </c>
      <c r="S448" s="3" t="s">
        <v>53</v>
      </c>
      <c r="T448">
        <v>2017</v>
      </c>
      <c r="U448" t="s">
        <v>527</v>
      </c>
      <c r="V448" s="2">
        <v>7.4999999999999997E-2</v>
      </c>
    </row>
    <row r="449" spans="1:22" x14ac:dyDescent="0.25">
      <c r="A449" t="s">
        <v>1760</v>
      </c>
      <c r="B449" s="1">
        <v>42512</v>
      </c>
      <c r="C449" s="1">
        <v>42517</v>
      </c>
      <c r="D449" t="s">
        <v>23</v>
      </c>
      <c r="E449" t="s">
        <v>1761</v>
      </c>
      <c r="F449" t="s">
        <v>1762</v>
      </c>
      <c r="G449" t="s">
        <v>26</v>
      </c>
      <c r="H449" t="s">
        <v>27</v>
      </c>
      <c r="I449" t="s">
        <v>1763</v>
      </c>
      <c r="J449" t="s">
        <v>794</v>
      </c>
      <c r="K449" t="s">
        <v>95</v>
      </c>
      <c r="L449" t="s">
        <v>375</v>
      </c>
      <c r="M449" t="s">
        <v>32</v>
      </c>
      <c r="N449" t="s">
        <v>33</v>
      </c>
      <c r="O449" t="s">
        <v>376</v>
      </c>
      <c r="P449">
        <v>345</v>
      </c>
      <c r="Q449">
        <v>5</v>
      </c>
      <c r="R449">
        <v>86.25</v>
      </c>
      <c r="S449" s="3" t="s">
        <v>35</v>
      </c>
      <c r="T449">
        <v>2016</v>
      </c>
      <c r="U449" t="s">
        <v>527</v>
      </c>
      <c r="V449" s="2">
        <v>0.25</v>
      </c>
    </row>
    <row r="450" spans="1:22" x14ac:dyDescent="0.25">
      <c r="A450" t="s">
        <v>1760</v>
      </c>
      <c r="B450" s="1">
        <v>42512</v>
      </c>
      <c r="C450" s="1">
        <v>42517</v>
      </c>
      <c r="D450" t="s">
        <v>23</v>
      </c>
      <c r="E450" t="s">
        <v>1761</v>
      </c>
      <c r="F450" t="s">
        <v>1762</v>
      </c>
      <c r="G450" t="s">
        <v>26</v>
      </c>
      <c r="H450" t="s">
        <v>27</v>
      </c>
      <c r="I450" t="s">
        <v>1763</v>
      </c>
      <c r="J450" t="s">
        <v>794</v>
      </c>
      <c r="K450" t="s">
        <v>95</v>
      </c>
      <c r="L450" t="s">
        <v>533</v>
      </c>
      <c r="M450" t="s">
        <v>32</v>
      </c>
      <c r="N450" t="s">
        <v>51</v>
      </c>
      <c r="O450" t="s">
        <v>534</v>
      </c>
      <c r="P450">
        <v>95.1</v>
      </c>
      <c r="Q450">
        <v>5</v>
      </c>
      <c r="R450">
        <v>30.431999999999999</v>
      </c>
      <c r="S450" s="3" t="s">
        <v>35</v>
      </c>
      <c r="T450">
        <v>2016</v>
      </c>
      <c r="U450" t="s">
        <v>527</v>
      </c>
      <c r="V450" s="2">
        <v>0.32</v>
      </c>
    </row>
    <row r="451" spans="1:22" x14ac:dyDescent="0.25">
      <c r="A451" t="s">
        <v>1760</v>
      </c>
      <c r="B451" s="1">
        <v>42512</v>
      </c>
      <c r="C451" s="1">
        <v>42517</v>
      </c>
      <c r="D451" t="s">
        <v>23</v>
      </c>
      <c r="E451" t="s">
        <v>1761</v>
      </c>
      <c r="F451" t="s">
        <v>1762</v>
      </c>
      <c r="G451" t="s">
        <v>26</v>
      </c>
      <c r="H451" t="s">
        <v>27</v>
      </c>
      <c r="I451" t="s">
        <v>1763</v>
      </c>
      <c r="J451" t="s">
        <v>794</v>
      </c>
      <c r="K451" t="s">
        <v>95</v>
      </c>
      <c r="L451" t="s">
        <v>1148</v>
      </c>
      <c r="M451" t="s">
        <v>32</v>
      </c>
      <c r="N451" t="s">
        <v>33</v>
      </c>
      <c r="O451" t="s">
        <v>1149</v>
      </c>
      <c r="P451">
        <v>257.98</v>
      </c>
      <c r="Q451">
        <v>2</v>
      </c>
      <c r="R451">
        <v>74.8142</v>
      </c>
      <c r="S451" s="3" t="s">
        <v>35</v>
      </c>
      <c r="T451">
        <v>2016</v>
      </c>
      <c r="U451" t="s">
        <v>527</v>
      </c>
      <c r="V451" s="2">
        <v>0.28999999999999998</v>
      </c>
    </row>
    <row r="452" spans="1:22" x14ac:dyDescent="0.25">
      <c r="A452" t="s">
        <v>1764</v>
      </c>
      <c r="B452" s="1">
        <v>42811</v>
      </c>
      <c r="C452" s="1">
        <v>42816</v>
      </c>
      <c r="D452" t="s">
        <v>40</v>
      </c>
      <c r="E452" t="s">
        <v>1765</v>
      </c>
      <c r="F452" t="s">
        <v>1766</v>
      </c>
      <c r="G452" t="s">
        <v>26</v>
      </c>
      <c r="H452" t="s">
        <v>27</v>
      </c>
      <c r="I452" t="s">
        <v>103</v>
      </c>
      <c r="J452" t="s">
        <v>104</v>
      </c>
      <c r="K452" t="s">
        <v>95</v>
      </c>
      <c r="L452" t="s">
        <v>492</v>
      </c>
      <c r="M452" t="s">
        <v>32</v>
      </c>
      <c r="N452" t="s">
        <v>33</v>
      </c>
      <c r="O452" t="s">
        <v>493</v>
      </c>
      <c r="P452">
        <v>119.7</v>
      </c>
      <c r="Q452">
        <v>6</v>
      </c>
      <c r="R452">
        <v>31.122</v>
      </c>
      <c r="S452" s="3" t="s">
        <v>35</v>
      </c>
      <c r="T452">
        <v>2017</v>
      </c>
      <c r="U452" t="s">
        <v>89</v>
      </c>
      <c r="V452" s="2">
        <v>0.26</v>
      </c>
    </row>
    <row r="453" spans="1:22" x14ac:dyDescent="0.25">
      <c r="A453" t="s">
        <v>1764</v>
      </c>
      <c r="B453" s="1">
        <v>42811</v>
      </c>
      <c r="C453" s="1">
        <v>42816</v>
      </c>
      <c r="D453" t="s">
        <v>40</v>
      </c>
      <c r="E453" t="s">
        <v>1765</v>
      </c>
      <c r="F453" t="s">
        <v>1766</v>
      </c>
      <c r="G453" t="s">
        <v>26</v>
      </c>
      <c r="H453" t="s">
        <v>27</v>
      </c>
      <c r="I453" t="s">
        <v>103</v>
      </c>
      <c r="J453" t="s">
        <v>104</v>
      </c>
      <c r="K453" t="s">
        <v>95</v>
      </c>
      <c r="L453" t="s">
        <v>533</v>
      </c>
      <c r="M453" t="s">
        <v>32</v>
      </c>
      <c r="N453" t="s">
        <v>51</v>
      </c>
      <c r="O453" t="s">
        <v>534</v>
      </c>
      <c r="P453">
        <v>57.06</v>
      </c>
      <c r="Q453">
        <v>3</v>
      </c>
      <c r="R453">
        <v>18.2592</v>
      </c>
      <c r="S453" s="3" t="s">
        <v>35</v>
      </c>
      <c r="T453">
        <v>2017</v>
      </c>
      <c r="U453" t="s">
        <v>89</v>
      </c>
      <c r="V453" s="2">
        <v>0.32</v>
      </c>
    </row>
    <row r="454" spans="1:22" x14ac:dyDescent="0.25">
      <c r="A454" t="s">
        <v>1764</v>
      </c>
      <c r="B454" s="1">
        <v>42811</v>
      </c>
      <c r="C454" s="1">
        <v>42816</v>
      </c>
      <c r="D454" t="s">
        <v>40</v>
      </c>
      <c r="E454" t="s">
        <v>1765</v>
      </c>
      <c r="F454" t="s">
        <v>1766</v>
      </c>
      <c r="G454" t="s">
        <v>26</v>
      </c>
      <c r="H454" t="s">
        <v>27</v>
      </c>
      <c r="I454" t="s">
        <v>103</v>
      </c>
      <c r="J454" t="s">
        <v>104</v>
      </c>
      <c r="K454" t="s">
        <v>95</v>
      </c>
      <c r="L454" t="s">
        <v>1264</v>
      </c>
      <c r="M454" t="s">
        <v>32</v>
      </c>
      <c r="N454" t="s">
        <v>51</v>
      </c>
      <c r="O454" t="s">
        <v>1265</v>
      </c>
      <c r="P454">
        <v>71.599999999999994</v>
      </c>
      <c r="Q454">
        <v>8</v>
      </c>
      <c r="R454">
        <v>13.603999999999999</v>
      </c>
      <c r="S454" s="3" t="s">
        <v>35</v>
      </c>
      <c r="T454">
        <v>2017</v>
      </c>
      <c r="U454" t="s">
        <v>89</v>
      </c>
      <c r="V454" s="2">
        <v>0.19</v>
      </c>
    </row>
    <row r="455" spans="1:22" x14ac:dyDescent="0.25">
      <c r="A455" t="s">
        <v>1767</v>
      </c>
      <c r="B455" s="1">
        <v>43072</v>
      </c>
      <c r="C455" s="1">
        <v>43078</v>
      </c>
      <c r="D455" t="s">
        <v>23</v>
      </c>
      <c r="E455" t="s">
        <v>1118</v>
      </c>
      <c r="F455" t="s">
        <v>1119</v>
      </c>
      <c r="G455" t="s">
        <v>26</v>
      </c>
      <c r="H455" t="s">
        <v>27</v>
      </c>
      <c r="I455" t="s">
        <v>103</v>
      </c>
      <c r="J455" t="s">
        <v>104</v>
      </c>
      <c r="K455" t="s">
        <v>95</v>
      </c>
      <c r="L455" t="s">
        <v>990</v>
      </c>
      <c r="M455" t="s">
        <v>32</v>
      </c>
      <c r="N455" t="s">
        <v>33</v>
      </c>
      <c r="O455" t="s">
        <v>991</v>
      </c>
      <c r="P455">
        <v>136.99</v>
      </c>
      <c r="Q455">
        <v>1</v>
      </c>
      <c r="R455">
        <v>36.987299999999998</v>
      </c>
      <c r="S455" s="3" t="s">
        <v>107</v>
      </c>
      <c r="T455">
        <v>2017</v>
      </c>
      <c r="U455" t="s">
        <v>66</v>
      </c>
      <c r="V455" s="2">
        <v>0.27</v>
      </c>
    </row>
    <row r="456" spans="1:22" x14ac:dyDescent="0.25">
      <c r="A456" t="s">
        <v>1768</v>
      </c>
      <c r="B456" s="1">
        <v>42677</v>
      </c>
      <c r="C456" s="1">
        <v>42680</v>
      </c>
      <c r="D456" t="s">
        <v>56</v>
      </c>
      <c r="E456" t="s">
        <v>1769</v>
      </c>
      <c r="F456" t="s">
        <v>1770</v>
      </c>
      <c r="G456" t="s">
        <v>26</v>
      </c>
      <c r="H456" t="s">
        <v>27</v>
      </c>
      <c r="I456" t="s">
        <v>28</v>
      </c>
      <c r="J456" t="s">
        <v>29</v>
      </c>
      <c r="K456" t="s">
        <v>30</v>
      </c>
      <c r="L456" t="s">
        <v>1771</v>
      </c>
      <c r="M456" t="s">
        <v>32</v>
      </c>
      <c r="N456" t="s">
        <v>51</v>
      </c>
      <c r="O456" t="s">
        <v>1772</v>
      </c>
      <c r="P456">
        <v>82.95</v>
      </c>
      <c r="Q456">
        <v>5</v>
      </c>
      <c r="R456">
        <v>29.032499999999999</v>
      </c>
      <c r="S456" s="3" t="s">
        <v>172</v>
      </c>
      <c r="T456">
        <v>2016</v>
      </c>
      <c r="U456" t="s">
        <v>118</v>
      </c>
      <c r="V456" s="2">
        <v>0.35</v>
      </c>
    </row>
    <row r="457" spans="1:22" x14ac:dyDescent="0.25">
      <c r="A457" t="s">
        <v>1773</v>
      </c>
      <c r="B457" s="1">
        <v>42975</v>
      </c>
      <c r="C457" s="1">
        <v>42981</v>
      </c>
      <c r="D457" t="s">
        <v>23</v>
      </c>
      <c r="E457" t="s">
        <v>1774</v>
      </c>
      <c r="F457" t="s">
        <v>1775</v>
      </c>
      <c r="G457" t="s">
        <v>70</v>
      </c>
      <c r="H457" t="s">
        <v>27</v>
      </c>
      <c r="I457" t="s">
        <v>481</v>
      </c>
      <c r="J457" t="s">
        <v>426</v>
      </c>
      <c r="K457" t="s">
        <v>30</v>
      </c>
      <c r="L457" t="s">
        <v>1776</v>
      </c>
      <c r="M457" t="s">
        <v>32</v>
      </c>
      <c r="N457" t="s">
        <v>33</v>
      </c>
      <c r="O457" t="s">
        <v>1777</v>
      </c>
      <c r="P457">
        <v>35.167999999999999</v>
      </c>
      <c r="Q457">
        <v>4</v>
      </c>
      <c r="R457">
        <v>11.429600000000001</v>
      </c>
      <c r="S457" s="3" t="s">
        <v>107</v>
      </c>
      <c r="T457">
        <v>2017</v>
      </c>
      <c r="U457" t="s">
        <v>46</v>
      </c>
      <c r="V457" s="2">
        <v>0.32500000000000001</v>
      </c>
    </row>
    <row r="458" spans="1:22" x14ac:dyDescent="0.25">
      <c r="A458" t="s">
        <v>1778</v>
      </c>
      <c r="B458" s="1">
        <v>42286</v>
      </c>
      <c r="C458" s="1">
        <v>42290</v>
      </c>
      <c r="D458" t="s">
        <v>40</v>
      </c>
      <c r="E458" t="s">
        <v>1779</v>
      </c>
      <c r="F458" t="s">
        <v>1780</v>
      </c>
      <c r="G458" t="s">
        <v>26</v>
      </c>
      <c r="H458" t="s">
        <v>27</v>
      </c>
      <c r="I458" t="s">
        <v>103</v>
      </c>
      <c r="J458" t="s">
        <v>104</v>
      </c>
      <c r="K458" t="s">
        <v>95</v>
      </c>
      <c r="L458" t="s">
        <v>1781</v>
      </c>
      <c r="M458" t="s">
        <v>32</v>
      </c>
      <c r="N458" t="s">
        <v>33</v>
      </c>
      <c r="O458" t="s">
        <v>1782</v>
      </c>
      <c r="P458">
        <v>631.96</v>
      </c>
      <c r="Q458">
        <v>4</v>
      </c>
      <c r="R458">
        <v>303.3408</v>
      </c>
      <c r="S458" s="3" t="s">
        <v>53</v>
      </c>
      <c r="T458">
        <v>2015</v>
      </c>
      <c r="U458" t="s">
        <v>133</v>
      </c>
      <c r="V458" s="2">
        <v>0.48</v>
      </c>
    </row>
    <row r="459" spans="1:22" x14ac:dyDescent="0.25">
      <c r="A459" t="s">
        <v>1783</v>
      </c>
      <c r="B459" s="1">
        <v>41962</v>
      </c>
      <c r="C459" s="1">
        <v>41966</v>
      </c>
      <c r="D459" t="s">
        <v>23</v>
      </c>
      <c r="E459" t="s">
        <v>1784</v>
      </c>
      <c r="F459" t="s">
        <v>1785</v>
      </c>
      <c r="G459" t="s">
        <v>26</v>
      </c>
      <c r="H459" t="s">
        <v>27</v>
      </c>
      <c r="I459" t="s">
        <v>1786</v>
      </c>
      <c r="J459" t="s">
        <v>104</v>
      </c>
      <c r="K459" t="s">
        <v>95</v>
      </c>
      <c r="L459" t="s">
        <v>1431</v>
      </c>
      <c r="M459" t="s">
        <v>32</v>
      </c>
      <c r="N459" t="s">
        <v>33</v>
      </c>
      <c r="O459" t="s">
        <v>1432</v>
      </c>
      <c r="P459">
        <v>4548.8100000000004</v>
      </c>
      <c r="Q459">
        <v>7</v>
      </c>
      <c r="R459">
        <v>1228.1786999999999</v>
      </c>
      <c r="S459" s="3" t="s">
        <v>53</v>
      </c>
      <c r="T459">
        <v>2014</v>
      </c>
      <c r="U459" t="s">
        <v>118</v>
      </c>
      <c r="V459" s="2">
        <v>0.27</v>
      </c>
    </row>
    <row r="460" spans="1:22" x14ac:dyDescent="0.25">
      <c r="A460" t="s">
        <v>1787</v>
      </c>
      <c r="B460" s="1">
        <v>42623</v>
      </c>
      <c r="C460" s="1">
        <v>42627</v>
      </c>
      <c r="D460" t="s">
        <v>40</v>
      </c>
      <c r="E460" t="s">
        <v>1788</v>
      </c>
      <c r="F460" t="s">
        <v>1789</v>
      </c>
      <c r="G460" t="s">
        <v>26</v>
      </c>
      <c r="H460" t="s">
        <v>27</v>
      </c>
      <c r="I460" t="s">
        <v>71</v>
      </c>
      <c r="J460" t="s">
        <v>61</v>
      </c>
      <c r="K460" t="s">
        <v>62</v>
      </c>
      <c r="L460" t="s">
        <v>1437</v>
      </c>
      <c r="M460" t="s">
        <v>32</v>
      </c>
      <c r="N460" t="s">
        <v>33</v>
      </c>
      <c r="O460" t="s">
        <v>1438</v>
      </c>
      <c r="P460">
        <v>719.96</v>
      </c>
      <c r="Q460">
        <v>5</v>
      </c>
      <c r="R460">
        <v>53.997</v>
      </c>
      <c r="S460" s="3" t="s">
        <v>53</v>
      </c>
      <c r="T460">
        <v>2016</v>
      </c>
      <c r="U460" t="s">
        <v>81</v>
      </c>
      <c r="V460" s="2">
        <v>7.4999999999999997E-2</v>
      </c>
    </row>
    <row r="461" spans="1:22" x14ac:dyDescent="0.25">
      <c r="A461" t="s">
        <v>1790</v>
      </c>
      <c r="B461" s="1">
        <v>42796</v>
      </c>
      <c r="C461" s="1">
        <v>42802</v>
      </c>
      <c r="D461" t="s">
        <v>23</v>
      </c>
      <c r="E461" t="s">
        <v>1791</v>
      </c>
      <c r="F461" t="s">
        <v>1792</v>
      </c>
      <c r="G461" t="s">
        <v>59</v>
      </c>
      <c r="H461" t="s">
        <v>27</v>
      </c>
      <c r="I461" t="s">
        <v>28</v>
      </c>
      <c r="J461" t="s">
        <v>29</v>
      </c>
      <c r="K461" t="s">
        <v>30</v>
      </c>
      <c r="L461" t="s">
        <v>1793</v>
      </c>
      <c r="M461" t="s">
        <v>32</v>
      </c>
      <c r="N461" t="s">
        <v>33</v>
      </c>
      <c r="O461" t="s">
        <v>1794</v>
      </c>
      <c r="P461">
        <v>196.77600000000001</v>
      </c>
      <c r="Q461">
        <v>3</v>
      </c>
      <c r="R461">
        <v>14.7582</v>
      </c>
      <c r="S461" s="3" t="s">
        <v>107</v>
      </c>
      <c r="T461">
        <v>2017</v>
      </c>
      <c r="U461" t="s">
        <v>89</v>
      </c>
      <c r="V461" s="2">
        <v>7.4999999999999997E-2</v>
      </c>
    </row>
    <row r="462" spans="1:22" x14ac:dyDescent="0.25">
      <c r="A462" t="s">
        <v>1790</v>
      </c>
      <c r="B462" s="1">
        <v>42796</v>
      </c>
      <c r="C462" s="1">
        <v>42802</v>
      </c>
      <c r="D462" t="s">
        <v>23</v>
      </c>
      <c r="E462" t="s">
        <v>1791</v>
      </c>
      <c r="F462" t="s">
        <v>1792</v>
      </c>
      <c r="G462" t="s">
        <v>59</v>
      </c>
      <c r="H462" t="s">
        <v>27</v>
      </c>
      <c r="I462" t="s">
        <v>28</v>
      </c>
      <c r="J462" t="s">
        <v>29</v>
      </c>
      <c r="K462" t="s">
        <v>30</v>
      </c>
      <c r="L462" t="s">
        <v>1099</v>
      </c>
      <c r="M462" t="s">
        <v>32</v>
      </c>
      <c r="N462" t="s">
        <v>51</v>
      </c>
      <c r="O462" t="s">
        <v>1100</v>
      </c>
      <c r="P462">
        <v>479.94</v>
      </c>
      <c r="Q462">
        <v>6</v>
      </c>
      <c r="R462">
        <v>52.793399999999998</v>
      </c>
      <c r="S462" s="3" t="s">
        <v>107</v>
      </c>
      <c r="T462">
        <v>2017</v>
      </c>
      <c r="U462" t="s">
        <v>89</v>
      </c>
      <c r="V462" s="2">
        <v>0.11</v>
      </c>
    </row>
    <row r="463" spans="1:22" x14ac:dyDescent="0.25">
      <c r="A463" t="s">
        <v>1795</v>
      </c>
      <c r="B463" s="1">
        <v>42112</v>
      </c>
      <c r="C463" s="1">
        <v>42113</v>
      </c>
      <c r="D463" t="s">
        <v>56</v>
      </c>
      <c r="E463" t="s">
        <v>1796</v>
      </c>
      <c r="F463" t="s">
        <v>1797</v>
      </c>
      <c r="G463" t="s">
        <v>26</v>
      </c>
      <c r="H463" t="s">
        <v>27</v>
      </c>
      <c r="I463" t="s">
        <v>228</v>
      </c>
      <c r="J463" t="s">
        <v>229</v>
      </c>
      <c r="K463" t="s">
        <v>155</v>
      </c>
      <c r="L463" t="s">
        <v>1124</v>
      </c>
      <c r="M463" t="s">
        <v>32</v>
      </c>
      <c r="N463" t="s">
        <v>51</v>
      </c>
      <c r="O463" t="s">
        <v>1125</v>
      </c>
      <c r="P463">
        <v>106.5</v>
      </c>
      <c r="Q463">
        <v>6</v>
      </c>
      <c r="R463">
        <v>41.534999999999997</v>
      </c>
      <c r="S463" s="3" t="s">
        <v>112</v>
      </c>
      <c r="T463">
        <v>2015</v>
      </c>
      <c r="U463" t="s">
        <v>291</v>
      </c>
      <c r="V463" s="2">
        <v>0.39</v>
      </c>
    </row>
    <row r="464" spans="1:22" x14ac:dyDescent="0.25">
      <c r="A464" t="s">
        <v>1798</v>
      </c>
      <c r="B464" s="1">
        <v>42685</v>
      </c>
      <c r="C464" s="1">
        <v>42691</v>
      </c>
      <c r="D464" t="s">
        <v>23</v>
      </c>
      <c r="E464" t="s">
        <v>1799</v>
      </c>
      <c r="F464" t="s">
        <v>1800</v>
      </c>
      <c r="G464" t="s">
        <v>59</v>
      </c>
      <c r="H464" t="s">
        <v>27</v>
      </c>
      <c r="I464" t="s">
        <v>140</v>
      </c>
      <c r="J464" t="s">
        <v>78</v>
      </c>
      <c r="K464" t="s">
        <v>62</v>
      </c>
      <c r="L464" t="s">
        <v>1269</v>
      </c>
      <c r="M464" t="s">
        <v>32</v>
      </c>
      <c r="N464" t="s">
        <v>51</v>
      </c>
      <c r="O464" t="s">
        <v>1270</v>
      </c>
      <c r="P464">
        <v>95.968000000000004</v>
      </c>
      <c r="Q464">
        <v>4</v>
      </c>
      <c r="R464">
        <v>1.1996</v>
      </c>
      <c r="S464" s="3" t="s">
        <v>107</v>
      </c>
      <c r="T464">
        <v>2016</v>
      </c>
      <c r="U464" t="s">
        <v>118</v>
      </c>
      <c r="V464" s="2">
        <v>1.2500000000000001E-2</v>
      </c>
    </row>
    <row r="465" spans="1:22" x14ac:dyDescent="0.25">
      <c r="A465" t="s">
        <v>1801</v>
      </c>
      <c r="B465" s="1">
        <v>42658</v>
      </c>
      <c r="C465" s="1">
        <v>42664</v>
      </c>
      <c r="D465" t="s">
        <v>23</v>
      </c>
      <c r="E465" t="s">
        <v>1802</v>
      </c>
      <c r="F465" t="s">
        <v>1803</v>
      </c>
      <c r="G465" t="s">
        <v>70</v>
      </c>
      <c r="H465" t="s">
        <v>27</v>
      </c>
      <c r="I465" t="s">
        <v>1541</v>
      </c>
      <c r="J465" t="s">
        <v>200</v>
      </c>
      <c r="K465" t="s">
        <v>62</v>
      </c>
      <c r="L465" t="s">
        <v>1077</v>
      </c>
      <c r="M465" t="s">
        <v>32</v>
      </c>
      <c r="N465" t="s">
        <v>33</v>
      </c>
      <c r="O465" t="s">
        <v>1078</v>
      </c>
      <c r="P465">
        <v>5.5</v>
      </c>
      <c r="Q465">
        <v>1</v>
      </c>
      <c r="R465">
        <v>1.375</v>
      </c>
      <c r="S465" s="3" t="s">
        <v>107</v>
      </c>
      <c r="T465">
        <v>2016</v>
      </c>
      <c r="U465" t="s">
        <v>133</v>
      </c>
      <c r="V465" s="2">
        <v>0.25</v>
      </c>
    </row>
    <row r="466" spans="1:22" x14ac:dyDescent="0.25">
      <c r="A466" t="s">
        <v>1804</v>
      </c>
      <c r="B466" s="1">
        <v>42100</v>
      </c>
      <c r="C466" s="1">
        <v>42104</v>
      </c>
      <c r="D466" t="s">
        <v>23</v>
      </c>
      <c r="E466" t="s">
        <v>1805</v>
      </c>
      <c r="F466" t="s">
        <v>1806</v>
      </c>
      <c r="G466" t="s">
        <v>26</v>
      </c>
      <c r="H466" t="s">
        <v>27</v>
      </c>
      <c r="I466" t="s">
        <v>71</v>
      </c>
      <c r="J466" t="s">
        <v>61</v>
      </c>
      <c r="K466" t="s">
        <v>62</v>
      </c>
      <c r="L466" t="s">
        <v>1807</v>
      </c>
      <c r="M466" t="s">
        <v>32</v>
      </c>
      <c r="N466" t="s">
        <v>51</v>
      </c>
      <c r="O466" t="s">
        <v>1808</v>
      </c>
      <c r="P466">
        <v>25.488</v>
      </c>
      <c r="Q466">
        <v>2</v>
      </c>
      <c r="R466">
        <v>4.4603999999999999</v>
      </c>
      <c r="S466" s="3" t="s">
        <v>53</v>
      </c>
      <c r="T466">
        <v>2015</v>
      </c>
      <c r="U466" t="s">
        <v>291</v>
      </c>
      <c r="V466" s="2">
        <v>0.17499999999999999</v>
      </c>
    </row>
    <row r="467" spans="1:22" x14ac:dyDescent="0.25">
      <c r="A467" t="s">
        <v>1809</v>
      </c>
      <c r="B467" s="1">
        <v>41868</v>
      </c>
      <c r="C467" s="1">
        <v>41872</v>
      </c>
      <c r="D467" t="s">
        <v>23</v>
      </c>
      <c r="E467" t="s">
        <v>1810</v>
      </c>
      <c r="F467" t="s">
        <v>1811</v>
      </c>
      <c r="G467" t="s">
        <v>59</v>
      </c>
      <c r="H467" t="s">
        <v>27</v>
      </c>
      <c r="I467" t="s">
        <v>1631</v>
      </c>
      <c r="J467" t="s">
        <v>1011</v>
      </c>
      <c r="K467" t="s">
        <v>155</v>
      </c>
      <c r="L467" t="s">
        <v>164</v>
      </c>
      <c r="M467" t="s">
        <v>32</v>
      </c>
      <c r="N467" t="s">
        <v>51</v>
      </c>
      <c r="O467" t="s">
        <v>165</v>
      </c>
      <c r="P467">
        <v>339.96</v>
      </c>
      <c r="Q467">
        <v>4</v>
      </c>
      <c r="R467">
        <v>122.3856</v>
      </c>
      <c r="S467" s="3" t="s">
        <v>53</v>
      </c>
      <c r="T467">
        <v>2014</v>
      </c>
      <c r="U467" t="s">
        <v>46</v>
      </c>
      <c r="V467" s="2">
        <v>0.36</v>
      </c>
    </row>
    <row r="468" spans="1:22" x14ac:dyDescent="0.25">
      <c r="A468" t="s">
        <v>1812</v>
      </c>
      <c r="B468" s="1">
        <v>42253</v>
      </c>
      <c r="C468" s="1">
        <v>42255</v>
      </c>
      <c r="D468" t="s">
        <v>56</v>
      </c>
      <c r="E468" t="s">
        <v>1813</v>
      </c>
      <c r="F468" t="s">
        <v>1814</v>
      </c>
      <c r="G468" t="s">
        <v>59</v>
      </c>
      <c r="H468" t="s">
        <v>27</v>
      </c>
      <c r="I468" t="s">
        <v>1815</v>
      </c>
      <c r="J468" t="s">
        <v>29</v>
      </c>
      <c r="K468" t="s">
        <v>30</v>
      </c>
      <c r="L468" t="s">
        <v>156</v>
      </c>
      <c r="M468" t="s">
        <v>32</v>
      </c>
      <c r="N468" t="s">
        <v>51</v>
      </c>
      <c r="O468" t="s">
        <v>157</v>
      </c>
      <c r="P468">
        <v>46.32</v>
      </c>
      <c r="Q468">
        <v>4</v>
      </c>
      <c r="R468">
        <v>18.064800000000002</v>
      </c>
      <c r="S468" s="3" t="s">
        <v>65</v>
      </c>
      <c r="T468">
        <v>2015</v>
      </c>
      <c r="U468" t="s">
        <v>81</v>
      </c>
      <c r="V468" s="2">
        <v>0.39</v>
      </c>
    </row>
    <row r="469" spans="1:22" x14ac:dyDescent="0.25">
      <c r="A469" t="s">
        <v>1816</v>
      </c>
      <c r="B469" s="1">
        <v>42031</v>
      </c>
      <c r="C469" s="1">
        <v>42033</v>
      </c>
      <c r="D469" t="s">
        <v>40</v>
      </c>
      <c r="E469" t="s">
        <v>1817</v>
      </c>
      <c r="F469" t="s">
        <v>1818</v>
      </c>
      <c r="G469" t="s">
        <v>26</v>
      </c>
      <c r="H469" t="s">
        <v>27</v>
      </c>
      <c r="I469" t="s">
        <v>1310</v>
      </c>
      <c r="J469" t="s">
        <v>177</v>
      </c>
      <c r="K469" t="s">
        <v>95</v>
      </c>
      <c r="L469" t="s">
        <v>1437</v>
      </c>
      <c r="M469" t="s">
        <v>32</v>
      </c>
      <c r="N469" t="s">
        <v>33</v>
      </c>
      <c r="O469" t="s">
        <v>1438</v>
      </c>
      <c r="P469">
        <v>431.976</v>
      </c>
      <c r="Q469">
        <v>4</v>
      </c>
      <c r="R469">
        <v>-100.7944</v>
      </c>
      <c r="S469" s="3" t="s">
        <v>65</v>
      </c>
      <c r="T469">
        <v>2015</v>
      </c>
      <c r="U469" t="s">
        <v>54</v>
      </c>
      <c r="V469" s="2">
        <v>-0.233333333333333</v>
      </c>
    </row>
    <row r="470" spans="1:22" x14ac:dyDescent="0.25">
      <c r="A470" t="s">
        <v>1816</v>
      </c>
      <c r="B470" s="1">
        <v>42031</v>
      </c>
      <c r="C470" s="1">
        <v>42033</v>
      </c>
      <c r="D470" t="s">
        <v>40</v>
      </c>
      <c r="E470" t="s">
        <v>1817</v>
      </c>
      <c r="F470" t="s">
        <v>1818</v>
      </c>
      <c r="G470" t="s">
        <v>26</v>
      </c>
      <c r="H470" t="s">
        <v>27</v>
      </c>
      <c r="I470" t="s">
        <v>1310</v>
      </c>
      <c r="J470" t="s">
        <v>177</v>
      </c>
      <c r="K470" t="s">
        <v>95</v>
      </c>
      <c r="L470" t="s">
        <v>1819</v>
      </c>
      <c r="M470" t="s">
        <v>32</v>
      </c>
      <c r="N470" t="s">
        <v>33</v>
      </c>
      <c r="O470" t="s">
        <v>1820</v>
      </c>
      <c r="P470">
        <v>155.37</v>
      </c>
      <c r="Q470">
        <v>1</v>
      </c>
      <c r="R470">
        <v>-36.253</v>
      </c>
      <c r="S470" s="3" t="s">
        <v>65</v>
      </c>
      <c r="T470">
        <v>2015</v>
      </c>
      <c r="U470" t="s">
        <v>54</v>
      </c>
      <c r="V470" s="2">
        <v>-0.233333333333333</v>
      </c>
    </row>
    <row r="471" spans="1:22" x14ac:dyDescent="0.25">
      <c r="A471" t="s">
        <v>1821</v>
      </c>
      <c r="B471" s="1">
        <v>42232</v>
      </c>
      <c r="C471" s="1">
        <v>42238</v>
      </c>
      <c r="D471" t="s">
        <v>23</v>
      </c>
      <c r="E471" t="s">
        <v>1784</v>
      </c>
      <c r="F471" t="s">
        <v>1785</v>
      </c>
      <c r="G471" t="s">
        <v>26</v>
      </c>
      <c r="H471" t="s">
        <v>27</v>
      </c>
      <c r="I471" t="s">
        <v>893</v>
      </c>
      <c r="J471" t="s">
        <v>123</v>
      </c>
      <c r="K471" t="s">
        <v>30</v>
      </c>
      <c r="L471" t="s">
        <v>1426</v>
      </c>
      <c r="M471" t="s">
        <v>32</v>
      </c>
      <c r="N471" t="s">
        <v>33</v>
      </c>
      <c r="O471" t="s">
        <v>1427</v>
      </c>
      <c r="P471">
        <v>1879.96</v>
      </c>
      <c r="Q471">
        <v>5</v>
      </c>
      <c r="R471">
        <v>211.49549999999999</v>
      </c>
      <c r="S471" s="3" t="s">
        <v>107</v>
      </c>
      <c r="T471">
        <v>2015</v>
      </c>
      <c r="U471" t="s">
        <v>46</v>
      </c>
      <c r="V471" s="2">
        <v>0.1125</v>
      </c>
    </row>
    <row r="472" spans="1:22" x14ac:dyDescent="0.25">
      <c r="A472" t="s">
        <v>1822</v>
      </c>
      <c r="B472" s="1">
        <v>42597</v>
      </c>
      <c r="C472" s="1">
        <v>42602</v>
      </c>
      <c r="D472" t="s">
        <v>23</v>
      </c>
      <c r="E472" t="s">
        <v>1462</v>
      </c>
      <c r="F472" t="s">
        <v>1463</v>
      </c>
      <c r="G472" t="s">
        <v>26</v>
      </c>
      <c r="H472" t="s">
        <v>27</v>
      </c>
      <c r="I472" t="s">
        <v>1823</v>
      </c>
      <c r="J472" t="s">
        <v>288</v>
      </c>
      <c r="K472" t="s">
        <v>155</v>
      </c>
      <c r="L472" t="s">
        <v>1824</v>
      </c>
      <c r="M472" t="s">
        <v>32</v>
      </c>
      <c r="N472" t="s">
        <v>33</v>
      </c>
      <c r="O472" t="s">
        <v>1825</v>
      </c>
      <c r="P472">
        <v>705.54399999999998</v>
      </c>
      <c r="Q472">
        <v>7</v>
      </c>
      <c r="R472">
        <v>70.554400000000001</v>
      </c>
      <c r="S472" s="3" t="s">
        <v>35</v>
      </c>
      <c r="T472">
        <v>2016</v>
      </c>
      <c r="U472" t="s">
        <v>46</v>
      </c>
      <c r="V472" s="2">
        <v>0.1</v>
      </c>
    </row>
    <row r="473" spans="1:22" x14ac:dyDescent="0.25">
      <c r="A473" t="s">
        <v>1826</v>
      </c>
      <c r="B473" s="1">
        <v>42273</v>
      </c>
      <c r="C473" s="1">
        <v>42277</v>
      </c>
      <c r="D473" t="s">
        <v>23</v>
      </c>
      <c r="E473" t="s">
        <v>1827</v>
      </c>
      <c r="F473" t="s">
        <v>1828</v>
      </c>
      <c r="G473" t="s">
        <v>26</v>
      </c>
      <c r="H473" t="s">
        <v>27</v>
      </c>
      <c r="I473" t="s">
        <v>103</v>
      </c>
      <c r="J473" t="s">
        <v>104</v>
      </c>
      <c r="K473" t="s">
        <v>95</v>
      </c>
      <c r="L473" t="s">
        <v>1829</v>
      </c>
      <c r="M473" t="s">
        <v>32</v>
      </c>
      <c r="N473" t="s">
        <v>51</v>
      </c>
      <c r="O473" t="s">
        <v>1830</v>
      </c>
      <c r="P473">
        <v>50</v>
      </c>
      <c r="Q473">
        <v>2</v>
      </c>
      <c r="R473">
        <v>12</v>
      </c>
      <c r="S473" s="3" t="s">
        <v>53</v>
      </c>
      <c r="T473">
        <v>2015</v>
      </c>
      <c r="U473" t="s">
        <v>81</v>
      </c>
      <c r="V473" s="2">
        <v>0.24</v>
      </c>
    </row>
    <row r="474" spans="1:22" x14ac:dyDescent="0.25">
      <c r="A474" t="s">
        <v>1831</v>
      </c>
      <c r="B474" s="1">
        <v>42080</v>
      </c>
      <c r="C474" s="1">
        <v>42085</v>
      </c>
      <c r="D474" t="s">
        <v>40</v>
      </c>
      <c r="E474" t="s">
        <v>1832</v>
      </c>
      <c r="F474" t="s">
        <v>1833</v>
      </c>
      <c r="G474" t="s">
        <v>59</v>
      </c>
      <c r="H474" t="s">
        <v>27</v>
      </c>
      <c r="I474" t="s">
        <v>103</v>
      </c>
      <c r="J474" t="s">
        <v>104</v>
      </c>
      <c r="K474" t="s">
        <v>95</v>
      </c>
      <c r="L474" t="s">
        <v>1834</v>
      </c>
      <c r="M474" t="s">
        <v>32</v>
      </c>
      <c r="N474" t="s">
        <v>51</v>
      </c>
      <c r="O474" t="s">
        <v>1835</v>
      </c>
      <c r="P474">
        <v>15.02</v>
      </c>
      <c r="Q474">
        <v>1</v>
      </c>
      <c r="R474">
        <v>2.7035999999999998</v>
      </c>
      <c r="S474" s="3" t="s">
        <v>35</v>
      </c>
      <c r="T474">
        <v>2015</v>
      </c>
      <c r="U474" t="s">
        <v>89</v>
      </c>
      <c r="V474" s="2">
        <v>0.18</v>
      </c>
    </row>
    <row r="475" spans="1:22" x14ac:dyDescent="0.25">
      <c r="A475" t="s">
        <v>1836</v>
      </c>
      <c r="B475" s="1">
        <v>43090</v>
      </c>
      <c r="C475" s="1">
        <v>43093</v>
      </c>
      <c r="D475" t="s">
        <v>56</v>
      </c>
      <c r="E475" t="s">
        <v>1837</v>
      </c>
      <c r="F475" t="s">
        <v>1838</v>
      </c>
      <c r="G475" t="s">
        <v>26</v>
      </c>
      <c r="H475" t="s">
        <v>27</v>
      </c>
      <c r="I475" t="s">
        <v>1839</v>
      </c>
      <c r="J475" t="s">
        <v>804</v>
      </c>
      <c r="K475" t="s">
        <v>155</v>
      </c>
      <c r="L475" t="s">
        <v>1124</v>
      </c>
      <c r="M475" t="s">
        <v>32</v>
      </c>
      <c r="N475" t="s">
        <v>51</v>
      </c>
      <c r="O475" t="s">
        <v>1125</v>
      </c>
      <c r="P475">
        <v>71</v>
      </c>
      <c r="Q475">
        <v>4</v>
      </c>
      <c r="R475">
        <v>27.69</v>
      </c>
      <c r="S475" s="3" t="s">
        <v>172</v>
      </c>
      <c r="T475">
        <v>2017</v>
      </c>
      <c r="U475" t="s">
        <v>66</v>
      </c>
      <c r="V475" s="2">
        <v>0.39</v>
      </c>
    </row>
    <row r="476" spans="1:22" x14ac:dyDescent="0.25">
      <c r="A476" t="s">
        <v>1840</v>
      </c>
      <c r="B476" s="1">
        <v>43096</v>
      </c>
      <c r="C476" s="1">
        <v>43096</v>
      </c>
      <c r="D476" t="s">
        <v>677</v>
      </c>
      <c r="E476" t="s">
        <v>302</v>
      </c>
      <c r="F476" t="s">
        <v>303</v>
      </c>
      <c r="G476" t="s">
        <v>59</v>
      </c>
      <c r="H476" t="s">
        <v>27</v>
      </c>
      <c r="I476" t="s">
        <v>1458</v>
      </c>
      <c r="J476" t="s">
        <v>177</v>
      </c>
      <c r="K476" t="s">
        <v>95</v>
      </c>
      <c r="L476" t="s">
        <v>990</v>
      </c>
      <c r="M476" t="s">
        <v>32</v>
      </c>
      <c r="N476" t="s">
        <v>33</v>
      </c>
      <c r="O476" t="s">
        <v>991</v>
      </c>
      <c r="P476">
        <v>164.38800000000001</v>
      </c>
      <c r="Q476">
        <v>2</v>
      </c>
      <c r="R476">
        <v>-35.617400000000004</v>
      </c>
      <c r="S476" s="3" t="s">
        <v>683</v>
      </c>
      <c r="T476">
        <v>2017</v>
      </c>
      <c r="U476" t="s">
        <v>66</v>
      </c>
      <c r="V476" s="2">
        <v>-0.21666666666666701</v>
      </c>
    </row>
    <row r="477" spans="1:22" x14ac:dyDescent="0.25">
      <c r="A477" t="s">
        <v>1841</v>
      </c>
      <c r="B477" s="1">
        <v>42594</v>
      </c>
      <c r="C477" s="1">
        <v>42597</v>
      </c>
      <c r="D477" t="s">
        <v>40</v>
      </c>
      <c r="E477" t="s">
        <v>1842</v>
      </c>
      <c r="F477" t="s">
        <v>1843</v>
      </c>
      <c r="G477" t="s">
        <v>26</v>
      </c>
      <c r="H477" t="s">
        <v>27</v>
      </c>
      <c r="I477" t="s">
        <v>1509</v>
      </c>
      <c r="J477" t="s">
        <v>61</v>
      </c>
      <c r="K477" t="s">
        <v>62</v>
      </c>
      <c r="L477" t="s">
        <v>1675</v>
      </c>
      <c r="M477" t="s">
        <v>32</v>
      </c>
      <c r="N477" t="s">
        <v>51</v>
      </c>
      <c r="O477" t="s">
        <v>1676</v>
      </c>
      <c r="P477">
        <v>1399.944</v>
      </c>
      <c r="Q477">
        <v>7</v>
      </c>
      <c r="R477">
        <v>52.497900000000001</v>
      </c>
      <c r="S477" s="3" t="s">
        <v>172</v>
      </c>
      <c r="T477">
        <v>2016</v>
      </c>
      <c r="U477" t="s">
        <v>46</v>
      </c>
      <c r="V477" s="2">
        <v>3.7499999999999999E-2</v>
      </c>
    </row>
    <row r="478" spans="1:22" x14ac:dyDescent="0.25">
      <c r="A478" t="s">
        <v>1844</v>
      </c>
      <c r="B478" s="1">
        <v>41665</v>
      </c>
      <c r="C478" s="1">
        <v>41670</v>
      </c>
      <c r="D478" t="s">
        <v>23</v>
      </c>
      <c r="E478" t="s">
        <v>448</v>
      </c>
      <c r="F478" t="s">
        <v>449</v>
      </c>
      <c r="G478" t="s">
        <v>70</v>
      </c>
      <c r="H478" t="s">
        <v>27</v>
      </c>
      <c r="I478" t="s">
        <v>1845</v>
      </c>
      <c r="J478" t="s">
        <v>693</v>
      </c>
      <c r="K478" t="s">
        <v>155</v>
      </c>
      <c r="L478" t="s">
        <v>1846</v>
      </c>
      <c r="M478" t="s">
        <v>32</v>
      </c>
      <c r="N478" t="s">
        <v>33</v>
      </c>
      <c r="O478" t="s">
        <v>1847</v>
      </c>
      <c r="P478">
        <v>155.35</v>
      </c>
      <c r="Q478">
        <v>13</v>
      </c>
      <c r="R478">
        <v>0</v>
      </c>
      <c r="S478" s="3" t="s">
        <v>35</v>
      </c>
      <c r="T478">
        <v>2014</v>
      </c>
      <c r="U478" t="s">
        <v>54</v>
      </c>
      <c r="V478" s="2">
        <v>0</v>
      </c>
    </row>
    <row r="479" spans="1:22" x14ac:dyDescent="0.25">
      <c r="A479" t="s">
        <v>1844</v>
      </c>
      <c r="B479" s="1">
        <v>41665</v>
      </c>
      <c r="C479" s="1">
        <v>41670</v>
      </c>
      <c r="D479" t="s">
        <v>23</v>
      </c>
      <c r="E479" t="s">
        <v>448</v>
      </c>
      <c r="F479" t="s">
        <v>449</v>
      </c>
      <c r="G479" t="s">
        <v>70</v>
      </c>
      <c r="H479" t="s">
        <v>27</v>
      </c>
      <c r="I479" t="s">
        <v>1845</v>
      </c>
      <c r="J479" t="s">
        <v>693</v>
      </c>
      <c r="K479" t="s">
        <v>155</v>
      </c>
      <c r="L479" t="s">
        <v>638</v>
      </c>
      <c r="M479" t="s">
        <v>32</v>
      </c>
      <c r="N479" t="s">
        <v>33</v>
      </c>
      <c r="O479" t="s">
        <v>639</v>
      </c>
      <c r="P479">
        <v>187.98</v>
      </c>
      <c r="Q479">
        <v>2</v>
      </c>
      <c r="R479">
        <v>52.634399999999999</v>
      </c>
      <c r="S479" s="3" t="s">
        <v>35</v>
      </c>
      <c r="T479">
        <v>2014</v>
      </c>
      <c r="U479" t="s">
        <v>54</v>
      </c>
      <c r="V479" s="2">
        <v>0.28000000000000003</v>
      </c>
    </row>
    <row r="480" spans="1:22" x14ac:dyDescent="0.25">
      <c r="A480" t="s">
        <v>1848</v>
      </c>
      <c r="B480" s="1">
        <v>42495</v>
      </c>
      <c r="C480" s="1">
        <v>42499</v>
      </c>
      <c r="D480" t="s">
        <v>23</v>
      </c>
      <c r="E480" t="s">
        <v>1660</v>
      </c>
      <c r="F480" t="s">
        <v>1661</v>
      </c>
      <c r="G480" t="s">
        <v>70</v>
      </c>
      <c r="H480" t="s">
        <v>27</v>
      </c>
      <c r="I480" t="s">
        <v>28</v>
      </c>
      <c r="J480" t="s">
        <v>29</v>
      </c>
      <c r="K480" t="s">
        <v>30</v>
      </c>
      <c r="L480" t="s">
        <v>319</v>
      </c>
      <c r="M480" t="s">
        <v>32</v>
      </c>
      <c r="N480" t="s">
        <v>33</v>
      </c>
      <c r="O480" t="s">
        <v>320</v>
      </c>
      <c r="P480">
        <v>246.16800000000001</v>
      </c>
      <c r="Q480">
        <v>3</v>
      </c>
      <c r="R480">
        <v>21.5397</v>
      </c>
      <c r="S480" s="3" t="s">
        <v>53</v>
      </c>
      <c r="T480">
        <v>2016</v>
      </c>
      <c r="U480" t="s">
        <v>527</v>
      </c>
      <c r="V480" s="2">
        <v>8.7499999999999994E-2</v>
      </c>
    </row>
    <row r="481" spans="1:22" x14ac:dyDescent="0.25">
      <c r="A481" t="s">
        <v>1849</v>
      </c>
      <c r="B481" s="1">
        <v>43063</v>
      </c>
      <c r="C481" s="1">
        <v>43065</v>
      </c>
      <c r="D481" t="s">
        <v>40</v>
      </c>
      <c r="E481" t="s">
        <v>707</v>
      </c>
      <c r="F481" t="s">
        <v>708</v>
      </c>
      <c r="G481" t="s">
        <v>59</v>
      </c>
      <c r="H481" t="s">
        <v>27</v>
      </c>
      <c r="I481" t="s">
        <v>1850</v>
      </c>
      <c r="J481" t="s">
        <v>1851</v>
      </c>
      <c r="K481" t="s">
        <v>155</v>
      </c>
      <c r="L481" t="s">
        <v>1606</v>
      </c>
      <c r="M481" t="s">
        <v>32</v>
      </c>
      <c r="N481" t="s">
        <v>33</v>
      </c>
      <c r="O481" t="s">
        <v>1607</v>
      </c>
      <c r="P481">
        <v>79.099999999999994</v>
      </c>
      <c r="Q481">
        <v>2</v>
      </c>
      <c r="R481">
        <v>39.549999999999997</v>
      </c>
      <c r="S481" s="3" t="s">
        <v>65</v>
      </c>
      <c r="T481">
        <v>2017</v>
      </c>
      <c r="U481" t="s">
        <v>118</v>
      </c>
      <c r="V481" s="2">
        <v>0.5</v>
      </c>
    </row>
    <row r="482" spans="1:22" x14ac:dyDescent="0.25">
      <c r="A482" t="s">
        <v>1852</v>
      </c>
      <c r="B482" s="1">
        <v>42868</v>
      </c>
      <c r="C482" s="1">
        <v>42872</v>
      </c>
      <c r="D482" t="s">
        <v>23</v>
      </c>
      <c r="E482" t="s">
        <v>870</v>
      </c>
      <c r="F482" t="s">
        <v>871</v>
      </c>
      <c r="G482" t="s">
        <v>59</v>
      </c>
      <c r="H482" t="s">
        <v>27</v>
      </c>
      <c r="I482" t="s">
        <v>176</v>
      </c>
      <c r="J482" t="s">
        <v>669</v>
      </c>
      <c r="K482" t="s">
        <v>62</v>
      </c>
      <c r="L482" t="s">
        <v>1168</v>
      </c>
      <c r="M482" t="s">
        <v>32</v>
      </c>
      <c r="N482" t="s">
        <v>33</v>
      </c>
      <c r="O482" t="s">
        <v>1853</v>
      </c>
      <c r="P482">
        <v>587.97</v>
      </c>
      <c r="Q482">
        <v>3</v>
      </c>
      <c r="R482">
        <v>158.75190000000001</v>
      </c>
      <c r="S482" s="3" t="s">
        <v>53</v>
      </c>
      <c r="T482">
        <v>2017</v>
      </c>
      <c r="U482" t="s">
        <v>527</v>
      </c>
      <c r="V482" s="2">
        <v>0.27</v>
      </c>
    </row>
    <row r="483" spans="1:22" x14ac:dyDescent="0.25">
      <c r="A483" t="s">
        <v>1854</v>
      </c>
      <c r="B483" s="1">
        <v>42525</v>
      </c>
      <c r="C483" s="1">
        <v>42525</v>
      </c>
      <c r="D483" t="s">
        <v>677</v>
      </c>
      <c r="E483" t="s">
        <v>1855</v>
      </c>
      <c r="F483" t="s">
        <v>1856</v>
      </c>
      <c r="G483" t="s">
        <v>26</v>
      </c>
      <c r="H483" t="s">
        <v>27</v>
      </c>
      <c r="I483" t="s">
        <v>103</v>
      </c>
      <c r="J483" t="s">
        <v>104</v>
      </c>
      <c r="K483" t="s">
        <v>95</v>
      </c>
      <c r="L483" t="s">
        <v>1857</v>
      </c>
      <c r="M483" t="s">
        <v>32</v>
      </c>
      <c r="N483" t="s">
        <v>215</v>
      </c>
      <c r="O483" t="s">
        <v>1858</v>
      </c>
      <c r="P483">
        <v>1349.85</v>
      </c>
      <c r="Q483">
        <v>3</v>
      </c>
      <c r="R483">
        <v>364.45949999999999</v>
      </c>
      <c r="S483" s="3" t="s">
        <v>683</v>
      </c>
      <c r="T483">
        <v>2016</v>
      </c>
      <c r="U483" t="s">
        <v>36</v>
      </c>
      <c r="V483" s="2">
        <v>0.27</v>
      </c>
    </row>
    <row r="484" spans="1:22" x14ac:dyDescent="0.25">
      <c r="A484" t="s">
        <v>1859</v>
      </c>
      <c r="B484" s="1">
        <v>41968</v>
      </c>
      <c r="C484" s="1">
        <v>41973</v>
      </c>
      <c r="D484" t="s">
        <v>23</v>
      </c>
      <c r="E484" t="s">
        <v>1562</v>
      </c>
      <c r="F484" t="s">
        <v>1563</v>
      </c>
      <c r="G484" t="s">
        <v>59</v>
      </c>
      <c r="H484" t="s">
        <v>27</v>
      </c>
      <c r="I484" t="s">
        <v>1490</v>
      </c>
      <c r="J484" t="s">
        <v>61</v>
      </c>
      <c r="K484" t="s">
        <v>62</v>
      </c>
      <c r="L484" t="s">
        <v>1860</v>
      </c>
      <c r="M484" t="s">
        <v>32</v>
      </c>
      <c r="N484" t="s">
        <v>51</v>
      </c>
      <c r="O484" t="s">
        <v>1861</v>
      </c>
      <c r="P484">
        <v>24.672000000000001</v>
      </c>
      <c r="Q484">
        <v>3</v>
      </c>
      <c r="R484">
        <v>0</v>
      </c>
      <c r="S484" s="3" t="s">
        <v>35</v>
      </c>
      <c r="T484">
        <v>2014</v>
      </c>
      <c r="U484" t="s">
        <v>118</v>
      </c>
      <c r="V484" s="2">
        <v>0</v>
      </c>
    </row>
    <row r="485" spans="1:22" x14ac:dyDescent="0.25">
      <c r="A485" t="s">
        <v>1862</v>
      </c>
      <c r="B485" s="1">
        <v>43091</v>
      </c>
      <c r="C485" s="1">
        <v>43095</v>
      </c>
      <c r="D485" t="s">
        <v>23</v>
      </c>
      <c r="E485" t="s">
        <v>1863</v>
      </c>
      <c r="F485" t="s">
        <v>1864</v>
      </c>
      <c r="G485" t="s">
        <v>59</v>
      </c>
      <c r="H485" t="s">
        <v>27</v>
      </c>
      <c r="I485" t="s">
        <v>1865</v>
      </c>
      <c r="J485" t="s">
        <v>889</v>
      </c>
      <c r="K485" t="s">
        <v>30</v>
      </c>
      <c r="L485" t="s">
        <v>1238</v>
      </c>
      <c r="M485" t="s">
        <v>32</v>
      </c>
      <c r="N485" t="s">
        <v>33</v>
      </c>
      <c r="O485" t="s">
        <v>1239</v>
      </c>
      <c r="P485">
        <v>67.040000000000006</v>
      </c>
      <c r="Q485">
        <v>4</v>
      </c>
      <c r="R485">
        <v>6.7039999999999997</v>
      </c>
      <c r="S485" s="3" t="s">
        <v>53</v>
      </c>
      <c r="T485">
        <v>2017</v>
      </c>
      <c r="U485" t="s">
        <v>66</v>
      </c>
      <c r="V485" s="2">
        <v>0.1</v>
      </c>
    </row>
    <row r="486" spans="1:22" x14ac:dyDescent="0.25">
      <c r="A486" t="s">
        <v>1866</v>
      </c>
      <c r="B486" s="1">
        <v>43030</v>
      </c>
      <c r="C486" s="1">
        <v>43032</v>
      </c>
      <c r="D486" t="s">
        <v>56</v>
      </c>
      <c r="E486" t="s">
        <v>1867</v>
      </c>
      <c r="F486" t="s">
        <v>1868</v>
      </c>
      <c r="G486" t="s">
        <v>70</v>
      </c>
      <c r="H486" t="s">
        <v>27</v>
      </c>
      <c r="I486" t="s">
        <v>103</v>
      </c>
      <c r="J486" t="s">
        <v>104</v>
      </c>
      <c r="K486" t="s">
        <v>95</v>
      </c>
      <c r="L486" t="s">
        <v>1869</v>
      </c>
      <c r="M486" t="s">
        <v>32</v>
      </c>
      <c r="N486" t="s">
        <v>381</v>
      </c>
      <c r="O486" t="s">
        <v>1870</v>
      </c>
      <c r="P486">
        <v>11199.968000000001</v>
      </c>
      <c r="Q486">
        <v>4</v>
      </c>
      <c r="R486">
        <v>3919.9888000000001</v>
      </c>
      <c r="S486" s="3" t="s">
        <v>65</v>
      </c>
      <c r="T486">
        <v>2017</v>
      </c>
      <c r="U486" t="s">
        <v>133</v>
      </c>
      <c r="V486" s="2">
        <v>0.35</v>
      </c>
    </row>
    <row r="487" spans="1:22" x14ac:dyDescent="0.25">
      <c r="A487" t="s">
        <v>1866</v>
      </c>
      <c r="B487" s="1">
        <v>43030</v>
      </c>
      <c r="C487" s="1">
        <v>43032</v>
      </c>
      <c r="D487" t="s">
        <v>56</v>
      </c>
      <c r="E487" t="s">
        <v>1867</v>
      </c>
      <c r="F487" t="s">
        <v>1868</v>
      </c>
      <c r="G487" t="s">
        <v>70</v>
      </c>
      <c r="H487" t="s">
        <v>27</v>
      </c>
      <c r="I487" t="s">
        <v>103</v>
      </c>
      <c r="J487" t="s">
        <v>104</v>
      </c>
      <c r="K487" t="s">
        <v>95</v>
      </c>
      <c r="L487" t="s">
        <v>865</v>
      </c>
      <c r="M487" t="s">
        <v>32</v>
      </c>
      <c r="N487" t="s">
        <v>33</v>
      </c>
      <c r="O487" t="s">
        <v>866</v>
      </c>
      <c r="P487">
        <v>2399.6</v>
      </c>
      <c r="Q487">
        <v>8</v>
      </c>
      <c r="R487">
        <v>647.89200000000005</v>
      </c>
      <c r="S487" s="3" t="s">
        <v>65</v>
      </c>
      <c r="T487">
        <v>2017</v>
      </c>
      <c r="U487" t="s">
        <v>133</v>
      </c>
      <c r="V487" s="2">
        <v>0.27</v>
      </c>
    </row>
    <row r="488" spans="1:22" x14ac:dyDescent="0.25">
      <c r="A488" t="s">
        <v>1866</v>
      </c>
      <c r="B488" s="1">
        <v>43030</v>
      </c>
      <c r="C488" s="1">
        <v>43032</v>
      </c>
      <c r="D488" t="s">
        <v>56</v>
      </c>
      <c r="E488" t="s">
        <v>1867</v>
      </c>
      <c r="F488" t="s">
        <v>1868</v>
      </c>
      <c r="G488" t="s">
        <v>70</v>
      </c>
      <c r="H488" t="s">
        <v>27</v>
      </c>
      <c r="I488" t="s">
        <v>103</v>
      </c>
      <c r="J488" t="s">
        <v>104</v>
      </c>
      <c r="K488" t="s">
        <v>95</v>
      </c>
      <c r="L488" t="s">
        <v>595</v>
      </c>
      <c r="M488" t="s">
        <v>32</v>
      </c>
      <c r="N488" t="s">
        <v>33</v>
      </c>
      <c r="O488" t="s">
        <v>596</v>
      </c>
      <c r="P488">
        <v>52.99</v>
      </c>
      <c r="Q488">
        <v>1</v>
      </c>
      <c r="R488">
        <v>0.52990000000000004</v>
      </c>
      <c r="S488" s="3" t="s">
        <v>65</v>
      </c>
      <c r="T488">
        <v>2017</v>
      </c>
      <c r="U488" t="s">
        <v>133</v>
      </c>
      <c r="V488" s="2">
        <v>0.01</v>
      </c>
    </row>
    <row r="489" spans="1:22" x14ac:dyDescent="0.25">
      <c r="A489" t="s">
        <v>1871</v>
      </c>
      <c r="B489" s="1">
        <v>43052</v>
      </c>
      <c r="C489" s="1">
        <v>43054</v>
      </c>
      <c r="D489" t="s">
        <v>56</v>
      </c>
      <c r="E489" t="s">
        <v>312</v>
      </c>
      <c r="F489" t="s">
        <v>313</v>
      </c>
      <c r="G489" t="s">
        <v>59</v>
      </c>
      <c r="H489" t="s">
        <v>27</v>
      </c>
      <c r="I489" t="s">
        <v>946</v>
      </c>
      <c r="J489" t="s">
        <v>177</v>
      </c>
      <c r="K489" t="s">
        <v>95</v>
      </c>
      <c r="L489" t="s">
        <v>533</v>
      </c>
      <c r="M489" t="s">
        <v>32</v>
      </c>
      <c r="N489" t="s">
        <v>51</v>
      </c>
      <c r="O489" t="s">
        <v>534</v>
      </c>
      <c r="P489">
        <v>60.863999999999997</v>
      </c>
      <c r="Q489">
        <v>4</v>
      </c>
      <c r="R489">
        <v>9.1295999999999999</v>
      </c>
      <c r="S489" s="3" t="s">
        <v>65</v>
      </c>
      <c r="T489">
        <v>2017</v>
      </c>
      <c r="U489" t="s">
        <v>118</v>
      </c>
      <c r="V489" s="2">
        <v>0.15</v>
      </c>
    </row>
    <row r="490" spans="1:22" x14ac:dyDescent="0.25">
      <c r="A490" t="s">
        <v>1871</v>
      </c>
      <c r="B490" s="1">
        <v>43052</v>
      </c>
      <c r="C490" s="1">
        <v>43054</v>
      </c>
      <c r="D490" t="s">
        <v>56</v>
      </c>
      <c r="E490" t="s">
        <v>312</v>
      </c>
      <c r="F490" t="s">
        <v>313</v>
      </c>
      <c r="G490" t="s">
        <v>59</v>
      </c>
      <c r="H490" t="s">
        <v>27</v>
      </c>
      <c r="I490" t="s">
        <v>946</v>
      </c>
      <c r="J490" t="s">
        <v>177</v>
      </c>
      <c r="K490" t="s">
        <v>95</v>
      </c>
      <c r="L490" t="s">
        <v>1872</v>
      </c>
      <c r="M490" t="s">
        <v>32</v>
      </c>
      <c r="N490" t="s">
        <v>215</v>
      </c>
      <c r="O490" t="s">
        <v>1873</v>
      </c>
      <c r="P490">
        <v>652.995</v>
      </c>
      <c r="Q490">
        <v>7</v>
      </c>
      <c r="R490">
        <v>-935.95950000000005</v>
      </c>
      <c r="S490" s="3" t="s">
        <v>65</v>
      </c>
      <c r="T490">
        <v>2017</v>
      </c>
      <c r="U490" t="s">
        <v>118</v>
      </c>
      <c r="V490" s="2">
        <v>-1.43333333333333</v>
      </c>
    </row>
    <row r="491" spans="1:22" x14ac:dyDescent="0.25">
      <c r="A491" t="s">
        <v>1874</v>
      </c>
      <c r="B491" s="1">
        <v>42055</v>
      </c>
      <c r="C491" s="1">
        <v>42060</v>
      </c>
      <c r="D491" t="s">
        <v>23</v>
      </c>
      <c r="E491" t="s">
        <v>1681</v>
      </c>
      <c r="F491" t="s">
        <v>1682</v>
      </c>
      <c r="G491" t="s">
        <v>26</v>
      </c>
      <c r="H491" t="s">
        <v>27</v>
      </c>
      <c r="I491" t="s">
        <v>1875</v>
      </c>
      <c r="J491" t="s">
        <v>1011</v>
      </c>
      <c r="K491" t="s">
        <v>155</v>
      </c>
      <c r="L491" t="s">
        <v>846</v>
      </c>
      <c r="M491" t="s">
        <v>32</v>
      </c>
      <c r="N491" t="s">
        <v>51</v>
      </c>
      <c r="O491" t="s">
        <v>847</v>
      </c>
      <c r="P491">
        <v>29.99</v>
      </c>
      <c r="Q491">
        <v>1</v>
      </c>
      <c r="R491">
        <v>2.9990000000000001</v>
      </c>
      <c r="S491" s="3" t="s">
        <v>35</v>
      </c>
      <c r="T491">
        <v>2015</v>
      </c>
      <c r="U491" t="s">
        <v>180</v>
      </c>
      <c r="V491" s="2">
        <v>0.1</v>
      </c>
    </row>
    <row r="492" spans="1:22" x14ac:dyDescent="0.25">
      <c r="A492" t="s">
        <v>1876</v>
      </c>
      <c r="B492" s="1">
        <v>42477</v>
      </c>
      <c r="C492" s="1">
        <v>42481</v>
      </c>
      <c r="D492" t="s">
        <v>40</v>
      </c>
      <c r="E492" t="s">
        <v>1063</v>
      </c>
      <c r="F492" t="s">
        <v>1064</v>
      </c>
      <c r="G492" t="s">
        <v>70</v>
      </c>
      <c r="H492" t="s">
        <v>27</v>
      </c>
      <c r="I492" t="s">
        <v>1425</v>
      </c>
      <c r="J492" t="s">
        <v>154</v>
      </c>
      <c r="K492" t="s">
        <v>155</v>
      </c>
      <c r="L492" t="s">
        <v>614</v>
      </c>
      <c r="M492" t="s">
        <v>32</v>
      </c>
      <c r="N492" t="s">
        <v>33</v>
      </c>
      <c r="O492" t="s">
        <v>615</v>
      </c>
      <c r="P492">
        <v>36.792000000000002</v>
      </c>
      <c r="Q492">
        <v>1</v>
      </c>
      <c r="R492">
        <v>4.1391</v>
      </c>
      <c r="S492" s="3" t="s">
        <v>53</v>
      </c>
      <c r="T492">
        <v>2016</v>
      </c>
      <c r="U492" t="s">
        <v>291</v>
      </c>
      <c r="V492" s="2">
        <v>0.1125</v>
      </c>
    </row>
    <row r="493" spans="1:22" x14ac:dyDescent="0.25">
      <c r="A493" t="s">
        <v>1877</v>
      </c>
      <c r="B493" s="1">
        <v>41889</v>
      </c>
      <c r="C493" s="1">
        <v>41894</v>
      </c>
      <c r="D493" t="s">
        <v>40</v>
      </c>
      <c r="E493" t="s">
        <v>1878</v>
      </c>
      <c r="F493" t="s">
        <v>1879</v>
      </c>
      <c r="G493" t="s">
        <v>26</v>
      </c>
      <c r="H493" t="s">
        <v>27</v>
      </c>
      <c r="I493" t="s">
        <v>1419</v>
      </c>
      <c r="J493" t="s">
        <v>200</v>
      </c>
      <c r="K493" t="s">
        <v>62</v>
      </c>
      <c r="L493" t="s">
        <v>186</v>
      </c>
      <c r="M493" t="s">
        <v>32</v>
      </c>
      <c r="N493" t="s">
        <v>33</v>
      </c>
      <c r="O493" t="s">
        <v>187</v>
      </c>
      <c r="P493">
        <v>104.85</v>
      </c>
      <c r="Q493">
        <v>3</v>
      </c>
      <c r="R493">
        <v>28.3095</v>
      </c>
      <c r="S493" s="3" t="s">
        <v>35</v>
      </c>
      <c r="T493">
        <v>2014</v>
      </c>
      <c r="U493" t="s">
        <v>81</v>
      </c>
      <c r="V493" s="2">
        <v>0.27</v>
      </c>
    </row>
    <row r="494" spans="1:22" x14ac:dyDescent="0.25">
      <c r="A494" t="s">
        <v>1880</v>
      </c>
      <c r="B494" s="1">
        <v>43067</v>
      </c>
      <c r="C494" s="1">
        <v>43071</v>
      </c>
      <c r="D494" t="s">
        <v>23</v>
      </c>
      <c r="E494" t="s">
        <v>1881</v>
      </c>
      <c r="F494" t="s">
        <v>1882</v>
      </c>
      <c r="G494" t="s">
        <v>59</v>
      </c>
      <c r="H494" t="s">
        <v>27</v>
      </c>
      <c r="I494" t="s">
        <v>103</v>
      </c>
      <c r="J494" t="s">
        <v>104</v>
      </c>
      <c r="K494" t="s">
        <v>95</v>
      </c>
      <c r="L494" t="s">
        <v>1883</v>
      </c>
      <c r="M494" t="s">
        <v>32</v>
      </c>
      <c r="N494" t="s">
        <v>33</v>
      </c>
      <c r="O494" t="s">
        <v>1884</v>
      </c>
      <c r="P494">
        <v>1979.89</v>
      </c>
      <c r="Q494">
        <v>11</v>
      </c>
      <c r="R494">
        <v>494.97250000000003</v>
      </c>
      <c r="S494" s="3" t="s">
        <v>53</v>
      </c>
      <c r="T494">
        <v>2017</v>
      </c>
      <c r="U494" t="s">
        <v>118</v>
      </c>
      <c r="V494" s="2">
        <v>0.25</v>
      </c>
    </row>
    <row r="495" spans="1:22" x14ac:dyDescent="0.25">
      <c r="A495" t="s">
        <v>1885</v>
      </c>
      <c r="B495" s="1">
        <v>42644</v>
      </c>
      <c r="C495" s="1">
        <v>42644</v>
      </c>
      <c r="D495" t="s">
        <v>677</v>
      </c>
      <c r="E495" t="s">
        <v>1886</v>
      </c>
      <c r="F495" t="s">
        <v>1887</v>
      </c>
      <c r="G495" t="s">
        <v>26</v>
      </c>
      <c r="H495" t="s">
        <v>27</v>
      </c>
      <c r="I495" t="s">
        <v>1197</v>
      </c>
      <c r="J495" t="s">
        <v>61</v>
      </c>
      <c r="K495" t="s">
        <v>62</v>
      </c>
      <c r="L495" t="s">
        <v>289</v>
      </c>
      <c r="M495" t="s">
        <v>32</v>
      </c>
      <c r="N495" t="s">
        <v>51</v>
      </c>
      <c r="O495" t="s">
        <v>550</v>
      </c>
      <c r="P495">
        <v>79.512</v>
      </c>
      <c r="Q495">
        <v>3</v>
      </c>
      <c r="R495">
        <v>20.8719</v>
      </c>
      <c r="S495" s="3" t="s">
        <v>683</v>
      </c>
      <c r="T495">
        <v>2016</v>
      </c>
      <c r="U495" t="s">
        <v>133</v>
      </c>
      <c r="V495" s="2">
        <v>0.26250000000000001</v>
      </c>
    </row>
    <row r="496" spans="1:22" x14ac:dyDescent="0.25">
      <c r="A496" t="s">
        <v>1888</v>
      </c>
      <c r="B496" s="1">
        <v>42756</v>
      </c>
      <c r="C496" s="1">
        <v>42762</v>
      </c>
      <c r="D496" t="s">
        <v>23</v>
      </c>
      <c r="E496" t="s">
        <v>1085</v>
      </c>
      <c r="F496" t="s">
        <v>1086</v>
      </c>
      <c r="G496" t="s">
        <v>70</v>
      </c>
      <c r="H496" t="s">
        <v>27</v>
      </c>
      <c r="I496" t="s">
        <v>687</v>
      </c>
      <c r="J496" t="s">
        <v>256</v>
      </c>
      <c r="K496" t="s">
        <v>62</v>
      </c>
      <c r="L496" t="s">
        <v>841</v>
      </c>
      <c r="M496" t="s">
        <v>32</v>
      </c>
      <c r="N496" t="s">
        <v>51</v>
      </c>
      <c r="O496" t="s">
        <v>842</v>
      </c>
      <c r="P496">
        <v>619.95000000000005</v>
      </c>
      <c r="Q496">
        <v>5</v>
      </c>
      <c r="R496">
        <v>111.59099999999999</v>
      </c>
      <c r="S496" s="3" t="s">
        <v>107</v>
      </c>
      <c r="T496">
        <v>2017</v>
      </c>
      <c r="U496" t="s">
        <v>54</v>
      </c>
      <c r="V496" s="2">
        <v>0.18</v>
      </c>
    </row>
    <row r="497" spans="1:22" x14ac:dyDescent="0.25">
      <c r="A497" t="s">
        <v>1888</v>
      </c>
      <c r="B497" s="1">
        <v>42756</v>
      </c>
      <c r="C497" s="1">
        <v>42762</v>
      </c>
      <c r="D497" t="s">
        <v>23</v>
      </c>
      <c r="E497" t="s">
        <v>1085</v>
      </c>
      <c r="F497" t="s">
        <v>1086</v>
      </c>
      <c r="G497" t="s">
        <v>70</v>
      </c>
      <c r="H497" t="s">
        <v>27</v>
      </c>
      <c r="I497" t="s">
        <v>687</v>
      </c>
      <c r="J497" t="s">
        <v>256</v>
      </c>
      <c r="K497" t="s">
        <v>62</v>
      </c>
      <c r="L497" t="s">
        <v>1889</v>
      </c>
      <c r="M497" t="s">
        <v>32</v>
      </c>
      <c r="N497" t="s">
        <v>215</v>
      </c>
      <c r="O497" t="s">
        <v>1890</v>
      </c>
      <c r="P497">
        <v>350.97300000000001</v>
      </c>
      <c r="Q497">
        <v>3</v>
      </c>
      <c r="R497">
        <v>152.0883</v>
      </c>
      <c r="S497" s="3" t="s">
        <v>107</v>
      </c>
      <c r="T497">
        <v>2017</v>
      </c>
      <c r="U497" t="s">
        <v>54</v>
      </c>
      <c r="V497" s="2">
        <v>0.43333333333333302</v>
      </c>
    </row>
    <row r="498" spans="1:22" x14ac:dyDescent="0.25">
      <c r="A498" t="s">
        <v>1888</v>
      </c>
      <c r="B498" s="1">
        <v>42756</v>
      </c>
      <c r="C498" s="1">
        <v>42762</v>
      </c>
      <c r="D498" t="s">
        <v>23</v>
      </c>
      <c r="E498" t="s">
        <v>1085</v>
      </c>
      <c r="F498" t="s">
        <v>1086</v>
      </c>
      <c r="G498" t="s">
        <v>70</v>
      </c>
      <c r="H498" t="s">
        <v>27</v>
      </c>
      <c r="I498" t="s">
        <v>687</v>
      </c>
      <c r="J498" t="s">
        <v>256</v>
      </c>
      <c r="K498" t="s">
        <v>62</v>
      </c>
      <c r="L498" t="s">
        <v>1891</v>
      </c>
      <c r="M498" t="s">
        <v>32</v>
      </c>
      <c r="N498" t="s">
        <v>33</v>
      </c>
      <c r="O498" t="s">
        <v>1892</v>
      </c>
      <c r="P498">
        <v>164.99</v>
      </c>
      <c r="Q498">
        <v>1</v>
      </c>
      <c r="R498">
        <v>49.497</v>
      </c>
      <c r="S498" s="3" t="s">
        <v>107</v>
      </c>
      <c r="T498">
        <v>2017</v>
      </c>
      <c r="U498" t="s">
        <v>54</v>
      </c>
      <c r="V498" s="2">
        <v>0.3</v>
      </c>
    </row>
    <row r="499" spans="1:22" x14ac:dyDescent="0.25">
      <c r="A499" t="s">
        <v>1893</v>
      </c>
      <c r="B499" s="1">
        <v>42610</v>
      </c>
      <c r="C499" s="1">
        <v>42615</v>
      </c>
      <c r="D499" t="s">
        <v>23</v>
      </c>
      <c r="E499" t="s">
        <v>1894</v>
      </c>
      <c r="F499" t="s">
        <v>1895</v>
      </c>
      <c r="G499" t="s">
        <v>26</v>
      </c>
      <c r="H499" t="s">
        <v>27</v>
      </c>
      <c r="I499" t="s">
        <v>1896</v>
      </c>
      <c r="J499" t="s">
        <v>147</v>
      </c>
      <c r="K499" t="s">
        <v>30</v>
      </c>
      <c r="L499" t="s">
        <v>1897</v>
      </c>
      <c r="M499" t="s">
        <v>32</v>
      </c>
      <c r="N499" t="s">
        <v>33</v>
      </c>
      <c r="O499" t="s">
        <v>1898</v>
      </c>
      <c r="P499">
        <v>108.57599999999999</v>
      </c>
      <c r="Q499">
        <v>3</v>
      </c>
      <c r="R499">
        <v>8.1432000000000002</v>
      </c>
      <c r="S499" s="3" t="s">
        <v>35</v>
      </c>
      <c r="T499">
        <v>2016</v>
      </c>
      <c r="U499" t="s">
        <v>46</v>
      </c>
      <c r="V499" s="2">
        <v>7.4999999999999997E-2</v>
      </c>
    </row>
    <row r="500" spans="1:22" x14ac:dyDescent="0.25">
      <c r="A500" t="s">
        <v>1899</v>
      </c>
      <c r="B500" s="1">
        <v>41716</v>
      </c>
      <c r="C500" s="1">
        <v>41721</v>
      </c>
      <c r="D500" t="s">
        <v>23</v>
      </c>
      <c r="E500" t="s">
        <v>1900</v>
      </c>
      <c r="F500" t="s">
        <v>1901</v>
      </c>
      <c r="G500" t="s">
        <v>70</v>
      </c>
      <c r="H500" t="s">
        <v>27</v>
      </c>
      <c r="I500" t="s">
        <v>460</v>
      </c>
      <c r="J500" t="s">
        <v>288</v>
      </c>
      <c r="K500" t="s">
        <v>155</v>
      </c>
      <c r="L500" t="s">
        <v>1902</v>
      </c>
      <c r="M500" t="s">
        <v>32</v>
      </c>
      <c r="N500" t="s">
        <v>215</v>
      </c>
      <c r="O500" t="s">
        <v>1903</v>
      </c>
      <c r="P500">
        <v>821.3</v>
      </c>
      <c r="Q500">
        <v>4</v>
      </c>
      <c r="R500">
        <v>-16.425999999999998</v>
      </c>
      <c r="S500" s="3" t="s">
        <v>35</v>
      </c>
      <c r="T500">
        <v>2014</v>
      </c>
      <c r="U500" t="s">
        <v>89</v>
      </c>
      <c r="V500" s="2">
        <v>-0.02</v>
      </c>
    </row>
    <row r="501" spans="1:22" x14ac:dyDescent="0.25">
      <c r="A501" t="s">
        <v>1899</v>
      </c>
      <c r="B501" s="1">
        <v>41716</v>
      </c>
      <c r="C501" s="1">
        <v>41721</v>
      </c>
      <c r="D501" t="s">
        <v>23</v>
      </c>
      <c r="E501" t="s">
        <v>1900</v>
      </c>
      <c r="F501" t="s">
        <v>1901</v>
      </c>
      <c r="G501" t="s">
        <v>70</v>
      </c>
      <c r="H501" t="s">
        <v>27</v>
      </c>
      <c r="I501" t="s">
        <v>460</v>
      </c>
      <c r="J501" t="s">
        <v>288</v>
      </c>
      <c r="K501" t="s">
        <v>155</v>
      </c>
      <c r="L501" t="s">
        <v>1904</v>
      </c>
      <c r="M501" t="s">
        <v>32</v>
      </c>
      <c r="N501" t="s">
        <v>215</v>
      </c>
      <c r="O501" t="s">
        <v>1905</v>
      </c>
      <c r="P501">
        <v>22638.48</v>
      </c>
      <c r="Q501">
        <v>6</v>
      </c>
      <c r="R501">
        <v>-1811.0784000000001</v>
      </c>
      <c r="S501" s="3" t="s">
        <v>35</v>
      </c>
      <c r="T501">
        <v>2014</v>
      </c>
      <c r="U501" t="s">
        <v>89</v>
      </c>
      <c r="V501" s="2">
        <v>-0.08</v>
      </c>
    </row>
    <row r="502" spans="1:22" x14ac:dyDescent="0.25">
      <c r="A502" t="s">
        <v>1906</v>
      </c>
      <c r="B502" s="1">
        <v>42927</v>
      </c>
      <c r="C502" s="1">
        <v>42929</v>
      </c>
      <c r="D502" t="s">
        <v>40</v>
      </c>
      <c r="E502" t="s">
        <v>1529</v>
      </c>
      <c r="F502" t="s">
        <v>1530</v>
      </c>
      <c r="G502" t="s">
        <v>26</v>
      </c>
      <c r="H502" t="s">
        <v>27</v>
      </c>
      <c r="I502" t="s">
        <v>103</v>
      </c>
      <c r="J502" t="s">
        <v>104</v>
      </c>
      <c r="K502" t="s">
        <v>95</v>
      </c>
      <c r="L502" t="s">
        <v>239</v>
      </c>
      <c r="M502" t="s">
        <v>32</v>
      </c>
      <c r="N502" t="s">
        <v>51</v>
      </c>
      <c r="O502" t="s">
        <v>240</v>
      </c>
      <c r="P502">
        <v>132.6</v>
      </c>
      <c r="Q502">
        <v>6</v>
      </c>
      <c r="R502">
        <v>17.238</v>
      </c>
      <c r="S502" s="3" t="s">
        <v>65</v>
      </c>
      <c r="T502">
        <v>2017</v>
      </c>
      <c r="U502" t="s">
        <v>332</v>
      </c>
      <c r="V502" s="2">
        <v>0.13</v>
      </c>
    </row>
    <row r="503" spans="1:22" x14ac:dyDescent="0.25">
      <c r="A503" t="s">
        <v>1907</v>
      </c>
      <c r="B503" s="1">
        <v>42034</v>
      </c>
      <c r="C503" s="1">
        <v>42041</v>
      </c>
      <c r="D503" t="s">
        <v>23</v>
      </c>
      <c r="E503" t="s">
        <v>1908</v>
      </c>
      <c r="F503" t="s">
        <v>1909</v>
      </c>
      <c r="G503" t="s">
        <v>26</v>
      </c>
      <c r="H503" t="s">
        <v>27</v>
      </c>
      <c r="I503" t="s">
        <v>28</v>
      </c>
      <c r="J503" t="s">
        <v>29</v>
      </c>
      <c r="K503" t="s">
        <v>30</v>
      </c>
      <c r="L503" t="s">
        <v>1440</v>
      </c>
      <c r="M503" t="s">
        <v>32</v>
      </c>
      <c r="N503" t="s">
        <v>215</v>
      </c>
      <c r="O503" t="s">
        <v>1441</v>
      </c>
      <c r="P503">
        <v>1919.9760000000001</v>
      </c>
      <c r="Q503">
        <v>3</v>
      </c>
      <c r="R503">
        <v>215.9973</v>
      </c>
      <c r="S503" s="3" t="s">
        <v>132</v>
      </c>
      <c r="T503">
        <v>2015</v>
      </c>
      <c r="U503" t="s">
        <v>54</v>
      </c>
      <c r="V503" s="2">
        <v>0.1125</v>
      </c>
    </row>
    <row r="504" spans="1:22" x14ac:dyDescent="0.25">
      <c r="A504" t="s">
        <v>1910</v>
      </c>
      <c r="B504" s="1">
        <v>41754</v>
      </c>
      <c r="C504" s="1">
        <v>41758</v>
      </c>
      <c r="D504" t="s">
        <v>23</v>
      </c>
      <c r="E504" t="s">
        <v>960</v>
      </c>
      <c r="F504" t="s">
        <v>961</v>
      </c>
      <c r="G504" t="s">
        <v>26</v>
      </c>
      <c r="H504" t="s">
        <v>27</v>
      </c>
      <c r="I504" t="s">
        <v>169</v>
      </c>
      <c r="J504" t="s">
        <v>154</v>
      </c>
      <c r="K504" t="s">
        <v>155</v>
      </c>
      <c r="L504" t="s">
        <v>878</v>
      </c>
      <c r="M504" t="s">
        <v>32</v>
      </c>
      <c r="N504" t="s">
        <v>33</v>
      </c>
      <c r="O504" t="s">
        <v>1911</v>
      </c>
      <c r="P504">
        <v>302.37599999999998</v>
      </c>
      <c r="Q504">
        <v>3</v>
      </c>
      <c r="R504">
        <v>37.796999999999997</v>
      </c>
      <c r="S504" s="3" t="s">
        <v>53</v>
      </c>
      <c r="T504">
        <v>2014</v>
      </c>
      <c r="U504" t="s">
        <v>291</v>
      </c>
      <c r="V504" s="2">
        <v>0.125</v>
      </c>
    </row>
    <row r="505" spans="1:22" x14ac:dyDescent="0.25">
      <c r="A505" t="s">
        <v>1912</v>
      </c>
      <c r="B505" s="1">
        <v>41977</v>
      </c>
      <c r="C505" s="1">
        <v>41981</v>
      </c>
      <c r="D505" t="s">
        <v>23</v>
      </c>
      <c r="E505" t="s">
        <v>1913</v>
      </c>
      <c r="F505" t="s">
        <v>1914</v>
      </c>
      <c r="G505" t="s">
        <v>59</v>
      </c>
      <c r="H505" t="s">
        <v>27</v>
      </c>
      <c r="I505" t="s">
        <v>103</v>
      </c>
      <c r="J505" t="s">
        <v>104</v>
      </c>
      <c r="K505" t="s">
        <v>95</v>
      </c>
      <c r="L505" t="s">
        <v>1915</v>
      </c>
      <c r="M505" t="s">
        <v>32</v>
      </c>
      <c r="N505" t="s">
        <v>33</v>
      </c>
      <c r="O505" t="s">
        <v>1916</v>
      </c>
      <c r="P505">
        <v>129.97999999999999</v>
      </c>
      <c r="Q505">
        <v>2</v>
      </c>
      <c r="R505">
        <v>62.3904</v>
      </c>
      <c r="S505" s="3" t="s">
        <v>53</v>
      </c>
      <c r="T505">
        <v>2014</v>
      </c>
      <c r="U505" t="s">
        <v>66</v>
      </c>
      <c r="V505" s="2">
        <v>0.48</v>
      </c>
    </row>
    <row r="506" spans="1:22" x14ac:dyDescent="0.25">
      <c r="A506" t="s">
        <v>1917</v>
      </c>
      <c r="B506" s="1">
        <v>42973</v>
      </c>
      <c r="C506" s="1">
        <v>42979</v>
      </c>
      <c r="D506" t="s">
        <v>23</v>
      </c>
      <c r="E506" t="s">
        <v>1918</v>
      </c>
      <c r="F506" t="s">
        <v>1919</v>
      </c>
      <c r="G506" t="s">
        <v>70</v>
      </c>
      <c r="H506" t="s">
        <v>27</v>
      </c>
      <c r="I506" t="s">
        <v>176</v>
      </c>
      <c r="J506" t="s">
        <v>1006</v>
      </c>
      <c r="K506" t="s">
        <v>155</v>
      </c>
      <c r="L506" t="s">
        <v>434</v>
      </c>
      <c r="M506" t="s">
        <v>32</v>
      </c>
      <c r="N506" t="s">
        <v>51</v>
      </c>
      <c r="O506" t="s">
        <v>435</v>
      </c>
      <c r="P506">
        <v>71.98</v>
      </c>
      <c r="Q506">
        <v>2</v>
      </c>
      <c r="R506">
        <v>15.1158</v>
      </c>
      <c r="S506" s="3" t="s">
        <v>107</v>
      </c>
      <c r="T506">
        <v>2017</v>
      </c>
      <c r="U506" t="s">
        <v>46</v>
      </c>
      <c r="V506" s="2">
        <v>0.21</v>
      </c>
    </row>
    <row r="507" spans="1:22" x14ac:dyDescent="0.25">
      <c r="A507" t="s">
        <v>1920</v>
      </c>
      <c r="B507" s="1">
        <v>41889</v>
      </c>
      <c r="C507" s="1">
        <v>41895</v>
      </c>
      <c r="D507" t="s">
        <v>23</v>
      </c>
      <c r="E507" t="s">
        <v>1645</v>
      </c>
      <c r="F507" t="s">
        <v>1646</v>
      </c>
      <c r="G507" t="s">
        <v>26</v>
      </c>
      <c r="H507" t="s">
        <v>27</v>
      </c>
      <c r="I507" t="s">
        <v>103</v>
      </c>
      <c r="J507" t="s">
        <v>104</v>
      </c>
      <c r="K507" t="s">
        <v>95</v>
      </c>
      <c r="L507" t="s">
        <v>1921</v>
      </c>
      <c r="M507" t="s">
        <v>32</v>
      </c>
      <c r="N507" t="s">
        <v>33</v>
      </c>
      <c r="O507" t="s">
        <v>1922</v>
      </c>
      <c r="P507">
        <v>377.97</v>
      </c>
      <c r="Q507">
        <v>3</v>
      </c>
      <c r="R507">
        <v>109.6113</v>
      </c>
      <c r="S507" s="3" t="s">
        <v>107</v>
      </c>
      <c r="T507">
        <v>2014</v>
      </c>
      <c r="U507" t="s">
        <v>81</v>
      </c>
      <c r="V507" s="2">
        <v>0.28999999999999998</v>
      </c>
    </row>
    <row r="508" spans="1:22" x14ac:dyDescent="0.25">
      <c r="A508" t="s">
        <v>1923</v>
      </c>
      <c r="B508" s="1">
        <v>43046</v>
      </c>
      <c r="C508" s="1">
        <v>43052</v>
      </c>
      <c r="D508" t="s">
        <v>23</v>
      </c>
      <c r="E508" t="s">
        <v>1251</v>
      </c>
      <c r="F508" t="s">
        <v>1252</v>
      </c>
      <c r="G508" t="s">
        <v>26</v>
      </c>
      <c r="H508" t="s">
        <v>27</v>
      </c>
      <c r="I508" t="s">
        <v>206</v>
      </c>
      <c r="J508" t="s">
        <v>207</v>
      </c>
      <c r="K508" t="s">
        <v>95</v>
      </c>
      <c r="L508" t="s">
        <v>1542</v>
      </c>
      <c r="M508" t="s">
        <v>32</v>
      </c>
      <c r="N508" t="s">
        <v>33</v>
      </c>
      <c r="O508" t="s">
        <v>1543</v>
      </c>
      <c r="P508">
        <v>359.97</v>
      </c>
      <c r="Q508">
        <v>5</v>
      </c>
      <c r="R508">
        <v>-71.994</v>
      </c>
      <c r="S508" s="3" t="s">
        <v>107</v>
      </c>
      <c r="T508">
        <v>2017</v>
      </c>
      <c r="U508" t="s">
        <v>118</v>
      </c>
      <c r="V508" s="2">
        <v>-0.2</v>
      </c>
    </row>
    <row r="509" spans="1:22" x14ac:dyDescent="0.25">
      <c r="A509" t="s">
        <v>1924</v>
      </c>
      <c r="B509" s="1">
        <v>43091</v>
      </c>
      <c r="C509" s="1">
        <v>43093</v>
      </c>
      <c r="D509" t="s">
        <v>56</v>
      </c>
      <c r="E509" t="s">
        <v>1925</v>
      </c>
      <c r="F509" t="s">
        <v>1926</v>
      </c>
      <c r="G509" t="s">
        <v>26</v>
      </c>
      <c r="H509" t="s">
        <v>27</v>
      </c>
      <c r="I509" t="s">
        <v>965</v>
      </c>
      <c r="J509" t="s">
        <v>177</v>
      </c>
      <c r="K509" t="s">
        <v>95</v>
      </c>
      <c r="L509" t="s">
        <v>1744</v>
      </c>
      <c r="M509" t="s">
        <v>32</v>
      </c>
      <c r="N509" t="s">
        <v>33</v>
      </c>
      <c r="O509" t="s">
        <v>1745</v>
      </c>
      <c r="P509">
        <v>629.95799999999997</v>
      </c>
      <c r="Q509">
        <v>7</v>
      </c>
      <c r="R509">
        <v>94.493700000000004</v>
      </c>
      <c r="S509" s="3" t="s">
        <v>65</v>
      </c>
      <c r="T509">
        <v>2017</v>
      </c>
      <c r="U509" t="s">
        <v>66</v>
      </c>
      <c r="V509" s="2">
        <v>0.15</v>
      </c>
    </row>
    <row r="510" spans="1:22" x14ac:dyDescent="0.25">
      <c r="A510" t="s">
        <v>1927</v>
      </c>
      <c r="B510" s="1">
        <v>42779</v>
      </c>
      <c r="C510" s="1">
        <v>42785</v>
      </c>
      <c r="D510" t="s">
        <v>23</v>
      </c>
      <c r="E510" t="s">
        <v>1928</v>
      </c>
      <c r="F510" t="s">
        <v>1929</v>
      </c>
      <c r="G510" t="s">
        <v>26</v>
      </c>
      <c r="H510" t="s">
        <v>27</v>
      </c>
      <c r="I510" t="s">
        <v>481</v>
      </c>
      <c r="J510" t="s">
        <v>426</v>
      </c>
      <c r="K510" t="s">
        <v>30</v>
      </c>
      <c r="L510" t="s">
        <v>788</v>
      </c>
      <c r="M510" t="s">
        <v>32</v>
      </c>
      <c r="N510" t="s">
        <v>51</v>
      </c>
      <c r="O510" t="s">
        <v>789</v>
      </c>
      <c r="P510">
        <v>799.96</v>
      </c>
      <c r="Q510">
        <v>4</v>
      </c>
      <c r="R510">
        <v>343.9828</v>
      </c>
      <c r="S510" s="3" t="s">
        <v>107</v>
      </c>
      <c r="T510">
        <v>2017</v>
      </c>
      <c r="U510" t="s">
        <v>180</v>
      </c>
      <c r="V510" s="2">
        <v>0.43</v>
      </c>
    </row>
    <row r="511" spans="1:22" x14ac:dyDescent="0.25">
      <c r="A511" t="s">
        <v>1930</v>
      </c>
      <c r="B511" s="1">
        <v>41822</v>
      </c>
      <c r="C511" s="1">
        <v>41826</v>
      </c>
      <c r="D511" t="s">
        <v>23</v>
      </c>
      <c r="E511" t="s">
        <v>48</v>
      </c>
      <c r="F511" t="s">
        <v>49</v>
      </c>
      <c r="G511" t="s">
        <v>26</v>
      </c>
      <c r="H511" t="s">
        <v>27</v>
      </c>
      <c r="I511" t="s">
        <v>1931</v>
      </c>
      <c r="J511" t="s">
        <v>794</v>
      </c>
      <c r="K511" t="s">
        <v>95</v>
      </c>
      <c r="L511" t="s">
        <v>831</v>
      </c>
      <c r="M511" t="s">
        <v>32</v>
      </c>
      <c r="N511" t="s">
        <v>33</v>
      </c>
      <c r="O511" t="s">
        <v>832</v>
      </c>
      <c r="P511">
        <v>73.98</v>
      </c>
      <c r="Q511">
        <v>2</v>
      </c>
      <c r="R511">
        <v>19.974599999999999</v>
      </c>
      <c r="S511" s="3" t="s">
        <v>53</v>
      </c>
      <c r="T511">
        <v>2014</v>
      </c>
      <c r="U511" t="s">
        <v>332</v>
      </c>
      <c r="V511" s="2">
        <v>0.27</v>
      </c>
    </row>
    <row r="512" spans="1:22" x14ac:dyDescent="0.25">
      <c r="A512" t="s">
        <v>1932</v>
      </c>
      <c r="B512" s="1">
        <v>42321</v>
      </c>
      <c r="C512" s="1">
        <v>42327</v>
      </c>
      <c r="D512" t="s">
        <v>23</v>
      </c>
      <c r="E512" t="s">
        <v>293</v>
      </c>
      <c r="F512" t="s">
        <v>294</v>
      </c>
      <c r="G512" t="s">
        <v>26</v>
      </c>
      <c r="H512" t="s">
        <v>27</v>
      </c>
      <c r="I512" t="s">
        <v>1458</v>
      </c>
      <c r="J512" t="s">
        <v>94</v>
      </c>
      <c r="K512" t="s">
        <v>95</v>
      </c>
      <c r="L512" t="s">
        <v>1933</v>
      </c>
      <c r="M512" t="s">
        <v>32</v>
      </c>
      <c r="N512" t="s">
        <v>33</v>
      </c>
      <c r="O512" t="s">
        <v>1934</v>
      </c>
      <c r="P512">
        <v>377.97</v>
      </c>
      <c r="Q512">
        <v>3</v>
      </c>
      <c r="R512">
        <v>94.492500000000007</v>
      </c>
      <c r="S512" s="3" t="s">
        <v>107</v>
      </c>
      <c r="T512">
        <v>2015</v>
      </c>
      <c r="U512" t="s">
        <v>118</v>
      </c>
      <c r="V512" s="2">
        <v>0.25</v>
      </c>
    </row>
    <row r="513" spans="1:22" x14ac:dyDescent="0.25">
      <c r="A513" t="s">
        <v>1932</v>
      </c>
      <c r="B513" s="1">
        <v>42321</v>
      </c>
      <c r="C513" s="1">
        <v>42327</v>
      </c>
      <c r="D513" t="s">
        <v>23</v>
      </c>
      <c r="E513" t="s">
        <v>293</v>
      </c>
      <c r="F513" t="s">
        <v>294</v>
      </c>
      <c r="G513" t="s">
        <v>26</v>
      </c>
      <c r="H513" t="s">
        <v>27</v>
      </c>
      <c r="I513" t="s">
        <v>1458</v>
      </c>
      <c r="J513" t="s">
        <v>94</v>
      </c>
      <c r="K513" t="s">
        <v>95</v>
      </c>
      <c r="L513" t="s">
        <v>987</v>
      </c>
      <c r="M513" t="s">
        <v>32</v>
      </c>
      <c r="N513" t="s">
        <v>33</v>
      </c>
      <c r="O513" t="s">
        <v>988</v>
      </c>
      <c r="P513">
        <v>89.98</v>
      </c>
      <c r="Q513">
        <v>2</v>
      </c>
      <c r="R513">
        <v>43.190399999999997</v>
      </c>
      <c r="S513" s="3" t="s">
        <v>107</v>
      </c>
      <c r="T513">
        <v>2015</v>
      </c>
      <c r="U513" t="s">
        <v>118</v>
      </c>
      <c r="V513" s="2">
        <v>0.48</v>
      </c>
    </row>
    <row r="514" spans="1:22" x14ac:dyDescent="0.25">
      <c r="A514" t="s">
        <v>1935</v>
      </c>
      <c r="B514" s="1">
        <v>42841</v>
      </c>
      <c r="C514" s="1">
        <v>42843</v>
      </c>
      <c r="D514" t="s">
        <v>56</v>
      </c>
      <c r="E514" t="s">
        <v>1936</v>
      </c>
      <c r="F514" t="s">
        <v>1937</v>
      </c>
      <c r="G514" t="s">
        <v>59</v>
      </c>
      <c r="H514" t="s">
        <v>27</v>
      </c>
      <c r="I514" t="s">
        <v>1938</v>
      </c>
      <c r="J514" t="s">
        <v>555</v>
      </c>
      <c r="K514" t="s">
        <v>155</v>
      </c>
      <c r="L514" t="s">
        <v>1939</v>
      </c>
      <c r="M514" t="s">
        <v>32</v>
      </c>
      <c r="N514" t="s">
        <v>51</v>
      </c>
      <c r="O514" t="s">
        <v>1940</v>
      </c>
      <c r="P514">
        <v>25.98</v>
      </c>
      <c r="Q514">
        <v>2</v>
      </c>
      <c r="R514">
        <v>1.5588</v>
      </c>
      <c r="S514" s="3" t="s">
        <v>65</v>
      </c>
      <c r="T514">
        <v>2017</v>
      </c>
      <c r="U514" t="s">
        <v>291</v>
      </c>
      <c r="V514" s="2">
        <v>0.06</v>
      </c>
    </row>
    <row r="515" spans="1:22" x14ac:dyDescent="0.25">
      <c r="A515" t="s">
        <v>1941</v>
      </c>
      <c r="B515" s="1">
        <v>42175</v>
      </c>
      <c r="C515" s="1">
        <v>42180</v>
      </c>
      <c r="D515" t="s">
        <v>40</v>
      </c>
      <c r="E515" t="s">
        <v>1474</v>
      </c>
      <c r="F515" t="s">
        <v>1475</v>
      </c>
      <c r="G515" t="s">
        <v>59</v>
      </c>
      <c r="H515" t="s">
        <v>27</v>
      </c>
      <c r="I515" t="s">
        <v>43</v>
      </c>
      <c r="J515" t="s">
        <v>29</v>
      </c>
      <c r="K515" t="s">
        <v>30</v>
      </c>
      <c r="L515" t="s">
        <v>124</v>
      </c>
      <c r="M515" t="s">
        <v>32</v>
      </c>
      <c r="N515" t="s">
        <v>33</v>
      </c>
      <c r="O515" t="s">
        <v>125</v>
      </c>
      <c r="P515">
        <v>125.976</v>
      </c>
      <c r="Q515">
        <v>3</v>
      </c>
      <c r="R515">
        <v>47.241</v>
      </c>
      <c r="S515" s="3" t="s">
        <v>35</v>
      </c>
      <c r="T515">
        <v>2015</v>
      </c>
      <c r="U515" t="s">
        <v>36</v>
      </c>
      <c r="V515" s="2">
        <v>0.375</v>
      </c>
    </row>
    <row r="516" spans="1:22" x14ac:dyDescent="0.25">
      <c r="A516" t="s">
        <v>1942</v>
      </c>
      <c r="B516" s="1">
        <v>42954</v>
      </c>
      <c r="C516" s="1">
        <v>42958</v>
      </c>
      <c r="D516" t="s">
        <v>40</v>
      </c>
      <c r="E516" t="s">
        <v>634</v>
      </c>
      <c r="F516" t="s">
        <v>635</v>
      </c>
      <c r="G516" t="s">
        <v>26</v>
      </c>
      <c r="H516" t="s">
        <v>27</v>
      </c>
      <c r="I516" t="s">
        <v>460</v>
      </c>
      <c r="J516" t="s">
        <v>154</v>
      </c>
      <c r="K516" t="s">
        <v>155</v>
      </c>
      <c r="L516" t="s">
        <v>482</v>
      </c>
      <c r="M516" t="s">
        <v>32</v>
      </c>
      <c r="N516" t="s">
        <v>51</v>
      </c>
      <c r="O516" t="s">
        <v>483</v>
      </c>
      <c r="P516">
        <v>79.992000000000004</v>
      </c>
      <c r="Q516">
        <v>1</v>
      </c>
      <c r="R516">
        <v>21.997800000000002</v>
      </c>
      <c r="S516" s="3" t="s">
        <v>53</v>
      </c>
      <c r="T516">
        <v>2017</v>
      </c>
      <c r="U516" t="s">
        <v>46</v>
      </c>
      <c r="V516" s="2">
        <v>0.27500000000000002</v>
      </c>
    </row>
    <row r="517" spans="1:22" x14ac:dyDescent="0.25">
      <c r="A517" t="s">
        <v>1943</v>
      </c>
      <c r="B517" s="1">
        <v>42330</v>
      </c>
      <c r="C517" s="1">
        <v>42334</v>
      </c>
      <c r="D517" t="s">
        <v>23</v>
      </c>
      <c r="E517" t="s">
        <v>1028</v>
      </c>
      <c r="F517" t="s">
        <v>1029</v>
      </c>
      <c r="G517" t="s">
        <v>70</v>
      </c>
      <c r="H517" t="s">
        <v>27</v>
      </c>
      <c r="I517" t="s">
        <v>1944</v>
      </c>
      <c r="J517" t="s">
        <v>61</v>
      </c>
      <c r="K517" t="s">
        <v>62</v>
      </c>
      <c r="L517" t="s">
        <v>1945</v>
      </c>
      <c r="M517" t="s">
        <v>32</v>
      </c>
      <c r="N517" t="s">
        <v>51</v>
      </c>
      <c r="O517" t="s">
        <v>1946</v>
      </c>
      <c r="P517">
        <v>27.167999999999999</v>
      </c>
      <c r="Q517">
        <v>4</v>
      </c>
      <c r="R517">
        <v>-1.3584000000000001</v>
      </c>
      <c r="S517" s="3" t="s">
        <v>53</v>
      </c>
      <c r="T517">
        <v>2015</v>
      </c>
      <c r="U517" t="s">
        <v>118</v>
      </c>
      <c r="V517" s="2">
        <v>-0.05</v>
      </c>
    </row>
    <row r="518" spans="1:22" x14ac:dyDescent="0.25">
      <c r="A518" t="s">
        <v>1947</v>
      </c>
      <c r="B518" s="1">
        <v>42111</v>
      </c>
      <c r="C518" s="1">
        <v>42115</v>
      </c>
      <c r="D518" t="s">
        <v>23</v>
      </c>
      <c r="E518" t="s">
        <v>1948</v>
      </c>
      <c r="F518" t="s">
        <v>1949</v>
      </c>
      <c r="G518" t="s">
        <v>26</v>
      </c>
      <c r="H518" t="s">
        <v>27</v>
      </c>
      <c r="I518" t="s">
        <v>43</v>
      </c>
      <c r="J518" t="s">
        <v>29</v>
      </c>
      <c r="K518" t="s">
        <v>30</v>
      </c>
      <c r="L518" t="s">
        <v>750</v>
      </c>
      <c r="M518" t="s">
        <v>32</v>
      </c>
      <c r="N518" t="s">
        <v>51</v>
      </c>
      <c r="O518" t="s">
        <v>751</v>
      </c>
      <c r="P518">
        <v>323.37</v>
      </c>
      <c r="Q518">
        <v>3</v>
      </c>
      <c r="R518">
        <v>129.34800000000001</v>
      </c>
      <c r="S518" s="3" t="s">
        <v>53</v>
      </c>
      <c r="T518">
        <v>2015</v>
      </c>
      <c r="U518" t="s">
        <v>291</v>
      </c>
      <c r="V518" s="2">
        <v>0.4</v>
      </c>
    </row>
    <row r="519" spans="1:22" x14ac:dyDescent="0.25">
      <c r="A519" t="s">
        <v>1947</v>
      </c>
      <c r="B519" s="1">
        <v>42111</v>
      </c>
      <c r="C519" s="1">
        <v>42115</v>
      </c>
      <c r="D519" t="s">
        <v>23</v>
      </c>
      <c r="E519" t="s">
        <v>1948</v>
      </c>
      <c r="F519" t="s">
        <v>1949</v>
      </c>
      <c r="G519" t="s">
        <v>26</v>
      </c>
      <c r="H519" t="s">
        <v>27</v>
      </c>
      <c r="I519" t="s">
        <v>43</v>
      </c>
      <c r="J519" t="s">
        <v>29</v>
      </c>
      <c r="K519" t="s">
        <v>30</v>
      </c>
      <c r="L519" t="s">
        <v>1168</v>
      </c>
      <c r="M519" t="s">
        <v>32</v>
      </c>
      <c r="N519" t="s">
        <v>33</v>
      </c>
      <c r="O519" t="s">
        <v>1853</v>
      </c>
      <c r="P519">
        <v>783.96</v>
      </c>
      <c r="Q519">
        <v>5</v>
      </c>
      <c r="R519">
        <v>68.596500000000006</v>
      </c>
      <c r="S519" s="3" t="s">
        <v>53</v>
      </c>
      <c r="T519">
        <v>2015</v>
      </c>
      <c r="U519" t="s">
        <v>291</v>
      </c>
      <c r="V519" s="2">
        <v>8.7499999999999994E-2</v>
      </c>
    </row>
    <row r="520" spans="1:22" x14ac:dyDescent="0.25">
      <c r="A520" t="s">
        <v>1950</v>
      </c>
      <c r="B520" s="1">
        <v>42532</v>
      </c>
      <c r="C520" s="1">
        <v>42534</v>
      </c>
      <c r="D520" t="s">
        <v>40</v>
      </c>
      <c r="E520" t="s">
        <v>1951</v>
      </c>
      <c r="F520" t="s">
        <v>1952</v>
      </c>
      <c r="G520" t="s">
        <v>26</v>
      </c>
      <c r="H520" t="s">
        <v>27</v>
      </c>
      <c r="I520" t="s">
        <v>103</v>
      </c>
      <c r="J520" t="s">
        <v>104</v>
      </c>
      <c r="K520" t="s">
        <v>95</v>
      </c>
      <c r="L520" t="s">
        <v>795</v>
      </c>
      <c r="M520" t="s">
        <v>32</v>
      </c>
      <c r="N520" t="s">
        <v>51</v>
      </c>
      <c r="O520" t="s">
        <v>796</v>
      </c>
      <c r="P520">
        <v>239.97</v>
      </c>
      <c r="Q520">
        <v>3</v>
      </c>
      <c r="R520">
        <v>71.991</v>
      </c>
      <c r="S520" s="3" t="s">
        <v>65</v>
      </c>
      <c r="T520">
        <v>2016</v>
      </c>
      <c r="U520" t="s">
        <v>36</v>
      </c>
      <c r="V520" s="2">
        <v>0.3</v>
      </c>
    </row>
    <row r="521" spans="1:22" x14ac:dyDescent="0.25">
      <c r="A521" t="s">
        <v>1953</v>
      </c>
      <c r="B521" s="1">
        <v>43020</v>
      </c>
      <c r="C521" s="1">
        <v>43022</v>
      </c>
      <c r="D521" t="s">
        <v>56</v>
      </c>
      <c r="E521" t="s">
        <v>1954</v>
      </c>
      <c r="F521" t="s">
        <v>1955</v>
      </c>
      <c r="G521" t="s">
        <v>70</v>
      </c>
      <c r="H521" t="s">
        <v>27</v>
      </c>
      <c r="I521" t="s">
        <v>43</v>
      </c>
      <c r="J521" t="s">
        <v>29</v>
      </c>
      <c r="K521" t="s">
        <v>30</v>
      </c>
      <c r="L521" t="s">
        <v>1956</v>
      </c>
      <c r="M521" t="s">
        <v>32</v>
      </c>
      <c r="N521" t="s">
        <v>51</v>
      </c>
      <c r="O521" t="s">
        <v>1957</v>
      </c>
      <c r="P521">
        <v>0.99</v>
      </c>
      <c r="Q521">
        <v>1</v>
      </c>
      <c r="R521">
        <v>0.43559999999999999</v>
      </c>
      <c r="S521" s="3" t="s">
        <v>65</v>
      </c>
      <c r="T521">
        <v>2017</v>
      </c>
      <c r="U521" t="s">
        <v>133</v>
      </c>
      <c r="V521" s="2">
        <v>0.44</v>
      </c>
    </row>
    <row r="522" spans="1:22" x14ac:dyDescent="0.25">
      <c r="A522" t="s">
        <v>1958</v>
      </c>
      <c r="B522" s="1">
        <v>42096</v>
      </c>
      <c r="C522" s="1">
        <v>42101</v>
      </c>
      <c r="D522" t="s">
        <v>23</v>
      </c>
      <c r="E522" t="s">
        <v>1959</v>
      </c>
      <c r="F522" t="s">
        <v>1960</v>
      </c>
      <c r="G522" t="s">
        <v>26</v>
      </c>
      <c r="H522" t="s">
        <v>27</v>
      </c>
      <c r="I522" t="s">
        <v>262</v>
      </c>
      <c r="J522" t="s">
        <v>61</v>
      </c>
      <c r="K522" t="s">
        <v>62</v>
      </c>
      <c r="L522" t="s">
        <v>1264</v>
      </c>
      <c r="M522" t="s">
        <v>32</v>
      </c>
      <c r="N522" t="s">
        <v>51</v>
      </c>
      <c r="O522" t="s">
        <v>1265</v>
      </c>
      <c r="P522">
        <v>50.12</v>
      </c>
      <c r="Q522">
        <v>7</v>
      </c>
      <c r="R522">
        <v>-0.62649999999999995</v>
      </c>
      <c r="S522" s="3" t="s">
        <v>35</v>
      </c>
      <c r="T522">
        <v>2015</v>
      </c>
      <c r="U522" t="s">
        <v>291</v>
      </c>
      <c r="V522" s="2">
        <v>-1.2500000000000001E-2</v>
      </c>
    </row>
    <row r="523" spans="1:22" x14ac:dyDescent="0.25">
      <c r="A523" t="s">
        <v>1958</v>
      </c>
      <c r="B523" s="1">
        <v>42096</v>
      </c>
      <c r="C523" s="1">
        <v>42101</v>
      </c>
      <c r="D523" t="s">
        <v>23</v>
      </c>
      <c r="E523" t="s">
        <v>1959</v>
      </c>
      <c r="F523" t="s">
        <v>1960</v>
      </c>
      <c r="G523" t="s">
        <v>26</v>
      </c>
      <c r="H523" t="s">
        <v>27</v>
      </c>
      <c r="I523" t="s">
        <v>262</v>
      </c>
      <c r="J523" t="s">
        <v>61</v>
      </c>
      <c r="K523" t="s">
        <v>62</v>
      </c>
      <c r="L523" t="s">
        <v>1578</v>
      </c>
      <c r="M523" t="s">
        <v>32</v>
      </c>
      <c r="N523" t="s">
        <v>51</v>
      </c>
      <c r="O523" t="s">
        <v>1579</v>
      </c>
      <c r="P523">
        <v>47.975999999999999</v>
      </c>
      <c r="Q523">
        <v>3</v>
      </c>
      <c r="R523">
        <v>1.7990999999999999</v>
      </c>
      <c r="S523" s="3" t="s">
        <v>35</v>
      </c>
      <c r="T523">
        <v>2015</v>
      </c>
      <c r="U523" t="s">
        <v>291</v>
      </c>
      <c r="V523" s="2">
        <v>3.7499999999999999E-2</v>
      </c>
    </row>
    <row r="524" spans="1:22" x14ac:dyDescent="0.25">
      <c r="A524" t="s">
        <v>1961</v>
      </c>
      <c r="B524" s="1">
        <v>42855</v>
      </c>
      <c r="C524" s="1">
        <v>42860</v>
      </c>
      <c r="D524" t="s">
        <v>23</v>
      </c>
      <c r="E524" t="s">
        <v>1962</v>
      </c>
      <c r="F524" t="s">
        <v>1963</v>
      </c>
      <c r="G524" t="s">
        <v>59</v>
      </c>
      <c r="H524" t="s">
        <v>27</v>
      </c>
      <c r="I524" t="s">
        <v>1964</v>
      </c>
      <c r="J524" t="s">
        <v>288</v>
      </c>
      <c r="K524" t="s">
        <v>155</v>
      </c>
      <c r="L524" t="s">
        <v>1965</v>
      </c>
      <c r="M524" t="s">
        <v>32</v>
      </c>
      <c r="N524" t="s">
        <v>51</v>
      </c>
      <c r="O524" t="s">
        <v>1966</v>
      </c>
      <c r="P524">
        <v>2.3759999999999999</v>
      </c>
      <c r="Q524">
        <v>3</v>
      </c>
      <c r="R524">
        <v>0.74250000000000005</v>
      </c>
      <c r="S524" s="3" t="s">
        <v>35</v>
      </c>
      <c r="T524">
        <v>2017</v>
      </c>
      <c r="U524" t="s">
        <v>291</v>
      </c>
      <c r="V524" s="2">
        <v>0.3125</v>
      </c>
    </row>
    <row r="525" spans="1:22" x14ac:dyDescent="0.25">
      <c r="A525" t="s">
        <v>1967</v>
      </c>
      <c r="B525" s="1">
        <v>42685</v>
      </c>
      <c r="C525" s="1">
        <v>42690</v>
      </c>
      <c r="D525" t="s">
        <v>23</v>
      </c>
      <c r="E525" t="s">
        <v>1968</v>
      </c>
      <c r="F525" t="s">
        <v>1969</v>
      </c>
      <c r="G525" t="s">
        <v>26</v>
      </c>
      <c r="H525" t="s">
        <v>27</v>
      </c>
      <c r="I525" t="s">
        <v>851</v>
      </c>
      <c r="J525" t="s">
        <v>256</v>
      </c>
      <c r="K525" t="s">
        <v>62</v>
      </c>
      <c r="L525" t="s">
        <v>1148</v>
      </c>
      <c r="M525" t="s">
        <v>32</v>
      </c>
      <c r="N525" t="s">
        <v>33</v>
      </c>
      <c r="O525" t="s">
        <v>1149</v>
      </c>
      <c r="P525">
        <v>257.98</v>
      </c>
      <c r="Q525">
        <v>2</v>
      </c>
      <c r="R525">
        <v>74.8142</v>
      </c>
      <c r="S525" s="3" t="s">
        <v>35</v>
      </c>
      <c r="T525">
        <v>2016</v>
      </c>
      <c r="U525" t="s">
        <v>118</v>
      </c>
      <c r="V525" s="2">
        <v>0.28999999999999998</v>
      </c>
    </row>
    <row r="526" spans="1:22" x14ac:dyDescent="0.25">
      <c r="A526" t="s">
        <v>1970</v>
      </c>
      <c r="B526" s="1">
        <v>42679</v>
      </c>
      <c r="C526" s="1">
        <v>42684</v>
      </c>
      <c r="D526" t="s">
        <v>23</v>
      </c>
      <c r="E526" t="s">
        <v>1971</v>
      </c>
      <c r="F526" t="s">
        <v>1972</v>
      </c>
      <c r="G526" t="s">
        <v>59</v>
      </c>
      <c r="H526" t="s">
        <v>27</v>
      </c>
      <c r="I526" t="s">
        <v>206</v>
      </c>
      <c r="J526" t="s">
        <v>207</v>
      </c>
      <c r="K526" t="s">
        <v>95</v>
      </c>
      <c r="L526" t="s">
        <v>1973</v>
      </c>
      <c r="M526" t="s">
        <v>32</v>
      </c>
      <c r="N526" t="s">
        <v>33</v>
      </c>
      <c r="O526" t="s">
        <v>1974</v>
      </c>
      <c r="P526">
        <v>23.988</v>
      </c>
      <c r="Q526">
        <v>2</v>
      </c>
      <c r="R526">
        <v>-15.992000000000001</v>
      </c>
      <c r="S526" s="3" t="s">
        <v>35</v>
      </c>
      <c r="T526">
        <v>2016</v>
      </c>
      <c r="U526" t="s">
        <v>118</v>
      </c>
      <c r="V526" s="2">
        <v>-0.66666666666666696</v>
      </c>
    </row>
    <row r="527" spans="1:22" x14ac:dyDescent="0.25">
      <c r="A527" t="s">
        <v>1975</v>
      </c>
      <c r="B527" s="1">
        <v>42652</v>
      </c>
      <c r="C527" s="1">
        <v>42658</v>
      </c>
      <c r="D527" t="s">
        <v>23</v>
      </c>
      <c r="E527" t="s">
        <v>1718</v>
      </c>
      <c r="F527" t="s">
        <v>1719</v>
      </c>
      <c r="G527" t="s">
        <v>59</v>
      </c>
      <c r="H527" t="s">
        <v>27</v>
      </c>
      <c r="I527" t="s">
        <v>111</v>
      </c>
      <c r="J527" t="s">
        <v>177</v>
      </c>
      <c r="K527" t="s">
        <v>95</v>
      </c>
      <c r="L527" t="s">
        <v>1420</v>
      </c>
      <c r="M527" t="s">
        <v>32</v>
      </c>
      <c r="N527" t="s">
        <v>33</v>
      </c>
      <c r="O527" t="s">
        <v>1421</v>
      </c>
      <c r="P527">
        <v>23.975999999999999</v>
      </c>
      <c r="Q527">
        <v>4</v>
      </c>
      <c r="R527">
        <v>-15.5844</v>
      </c>
      <c r="S527" s="3" t="s">
        <v>107</v>
      </c>
      <c r="T527">
        <v>2016</v>
      </c>
      <c r="U527" t="s">
        <v>133</v>
      </c>
      <c r="V527" s="2">
        <v>-0.65</v>
      </c>
    </row>
    <row r="528" spans="1:22" x14ac:dyDescent="0.25">
      <c r="A528" t="s">
        <v>1976</v>
      </c>
      <c r="B528" s="1">
        <v>41741</v>
      </c>
      <c r="C528" s="1">
        <v>41746</v>
      </c>
      <c r="D528" t="s">
        <v>23</v>
      </c>
      <c r="E528" t="s">
        <v>1977</v>
      </c>
      <c r="F528" t="s">
        <v>1978</v>
      </c>
      <c r="G528" t="s">
        <v>59</v>
      </c>
      <c r="H528" t="s">
        <v>27</v>
      </c>
      <c r="I528" t="s">
        <v>1979</v>
      </c>
      <c r="J528" t="s">
        <v>29</v>
      </c>
      <c r="K528" t="s">
        <v>30</v>
      </c>
      <c r="L528" t="s">
        <v>805</v>
      </c>
      <c r="M528" t="s">
        <v>32</v>
      </c>
      <c r="N528" t="s">
        <v>33</v>
      </c>
      <c r="O528" t="s">
        <v>806</v>
      </c>
      <c r="P528">
        <v>1075.088</v>
      </c>
      <c r="Q528">
        <v>14</v>
      </c>
      <c r="R528">
        <v>94.0702</v>
      </c>
      <c r="S528" s="3" t="s">
        <v>35</v>
      </c>
      <c r="T528">
        <v>2014</v>
      </c>
      <c r="U528" t="s">
        <v>291</v>
      </c>
      <c r="V528" s="2">
        <v>8.7499999999999994E-2</v>
      </c>
    </row>
    <row r="529" spans="1:22" x14ac:dyDescent="0.25">
      <c r="A529" t="s">
        <v>1976</v>
      </c>
      <c r="B529" s="1">
        <v>41741</v>
      </c>
      <c r="C529" s="1">
        <v>41746</v>
      </c>
      <c r="D529" t="s">
        <v>23</v>
      </c>
      <c r="E529" t="s">
        <v>1977</v>
      </c>
      <c r="F529" t="s">
        <v>1978</v>
      </c>
      <c r="G529" t="s">
        <v>59</v>
      </c>
      <c r="H529" t="s">
        <v>27</v>
      </c>
      <c r="I529" t="s">
        <v>1979</v>
      </c>
      <c r="J529" t="s">
        <v>29</v>
      </c>
      <c r="K529" t="s">
        <v>30</v>
      </c>
      <c r="L529" t="s">
        <v>990</v>
      </c>
      <c r="M529" t="s">
        <v>32</v>
      </c>
      <c r="N529" t="s">
        <v>33</v>
      </c>
      <c r="O529" t="s">
        <v>991</v>
      </c>
      <c r="P529">
        <v>438.36799999999999</v>
      </c>
      <c r="Q529">
        <v>4</v>
      </c>
      <c r="R529">
        <v>38.357199999999999</v>
      </c>
      <c r="S529" s="3" t="s">
        <v>35</v>
      </c>
      <c r="T529">
        <v>2014</v>
      </c>
      <c r="U529" t="s">
        <v>291</v>
      </c>
      <c r="V529" s="2">
        <v>8.7499999999999994E-2</v>
      </c>
    </row>
    <row r="530" spans="1:22" x14ac:dyDescent="0.25">
      <c r="A530" t="s">
        <v>1980</v>
      </c>
      <c r="B530" s="1">
        <v>42668</v>
      </c>
      <c r="C530" s="1">
        <v>42671</v>
      </c>
      <c r="D530" t="s">
        <v>56</v>
      </c>
      <c r="E530" t="s">
        <v>1981</v>
      </c>
      <c r="F530" t="s">
        <v>1982</v>
      </c>
      <c r="G530" t="s">
        <v>59</v>
      </c>
      <c r="H530" t="s">
        <v>27</v>
      </c>
      <c r="I530" t="s">
        <v>643</v>
      </c>
      <c r="J530" t="s">
        <v>288</v>
      </c>
      <c r="K530" t="s">
        <v>155</v>
      </c>
      <c r="L530" t="s">
        <v>556</v>
      </c>
      <c r="M530" t="s">
        <v>32</v>
      </c>
      <c r="N530" t="s">
        <v>33</v>
      </c>
      <c r="O530" t="s">
        <v>557</v>
      </c>
      <c r="P530">
        <v>783.96</v>
      </c>
      <c r="Q530">
        <v>5</v>
      </c>
      <c r="R530">
        <v>78.396000000000001</v>
      </c>
      <c r="S530" s="3" t="s">
        <v>172</v>
      </c>
      <c r="T530">
        <v>2016</v>
      </c>
      <c r="U530" t="s">
        <v>133</v>
      </c>
      <c r="V530" s="2">
        <v>0.1</v>
      </c>
    </row>
    <row r="531" spans="1:22" x14ac:dyDescent="0.25">
      <c r="A531" t="s">
        <v>1983</v>
      </c>
      <c r="B531" s="1">
        <v>42324</v>
      </c>
      <c r="C531" s="1">
        <v>42326</v>
      </c>
      <c r="D531" t="s">
        <v>40</v>
      </c>
      <c r="E531" t="s">
        <v>1984</v>
      </c>
      <c r="F531" t="s">
        <v>1985</v>
      </c>
      <c r="G531" t="s">
        <v>70</v>
      </c>
      <c r="H531" t="s">
        <v>27</v>
      </c>
      <c r="I531" t="s">
        <v>872</v>
      </c>
      <c r="J531" t="s">
        <v>185</v>
      </c>
      <c r="K531" t="s">
        <v>62</v>
      </c>
      <c r="L531" t="s">
        <v>1675</v>
      </c>
      <c r="M531" t="s">
        <v>32</v>
      </c>
      <c r="N531" t="s">
        <v>51</v>
      </c>
      <c r="O531" t="s">
        <v>1676</v>
      </c>
      <c r="P531">
        <v>999.96</v>
      </c>
      <c r="Q531">
        <v>4</v>
      </c>
      <c r="R531">
        <v>229.99080000000001</v>
      </c>
      <c r="S531" s="3" t="s">
        <v>65</v>
      </c>
      <c r="T531">
        <v>2015</v>
      </c>
      <c r="U531" t="s">
        <v>118</v>
      </c>
      <c r="V531" s="2">
        <v>0.23</v>
      </c>
    </row>
    <row r="532" spans="1:22" x14ac:dyDescent="0.25">
      <c r="A532" t="s">
        <v>1986</v>
      </c>
      <c r="B532" s="1">
        <v>42735</v>
      </c>
      <c r="C532" s="1">
        <v>42740</v>
      </c>
      <c r="D532" t="s">
        <v>23</v>
      </c>
      <c r="E532" t="s">
        <v>1987</v>
      </c>
      <c r="F532" t="s">
        <v>1988</v>
      </c>
      <c r="G532" t="s">
        <v>26</v>
      </c>
      <c r="H532" t="s">
        <v>27</v>
      </c>
      <c r="I532" t="s">
        <v>1989</v>
      </c>
      <c r="J532" t="s">
        <v>29</v>
      </c>
      <c r="K532" t="s">
        <v>30</v>
      </c>
      <c r="L532" t="s">
        <v>276</v>
      </c>
      <c r="M532" t="s">
        <v>32</v>
      </c>
      <c r="N532" t="s">
        <v>33</v>
      </c>
      <c r="O532" t="s">
        <v>277</v>
      </c>
      <c r="P532">
        <v>302.37599999999998</v>
      </c>
      <c r="Q532">
        <v>3</v>
      </c>
      <c r="R532">
        <v>22.6782</v>
      </c>
      <c r="S532" s="3" t="s">
        <v>35</v>
      </c>
      <c r="T532">
        <v>2016</v>
      </c>
      <c r="U532" t="s">
        <v>66</v>
      </c>
      <c r="V532" s="2">
        <v>7.4999999999999997E-2</v>
      </c>
    </row>
    <row r="533" spans="1:22" x14ac:dyDescent="0.25">
      <c r="A533" t="s">
        <v>1990</v>
      </c>
      <c r="B533" s="1">
        <v>41944</v>
      </c>
      <c r="C533" s="1">
        <v>41948</v>
      </c>
      <c r="D533" t="s">
        <v>23</v>
      </c>
      <c r="E533" t="s">
        <v>1991</v>
      </c>
      <c r="F533" t="s">
        <v>1992</v>
      </c>
      <c r="G533" t="s">
        <v>26</v>
      </c>
      <c r="H533" t="s">
        <v>27</v>
      </c>
      <c r="I533" t="s">
        <v>339</v>
      </c>
      <c r="J533" t="s">
        <v>340</v>
      </c>
      <c r="K533" t="s">
        <v>30</v>
      </c>
      <c r="L533" t="s">
        <v>1915</v>
      </c>
      <c r="M533" t="s">
        <v>32</v>
      </c>
      <c r="N533" t="s">
        <v>33</v>
      </c>
      <c r="O533" t="s">
        <v>1916</v>
      </c>
      <c r="P533">
        <v>155.976</v>
      </c>
      <c r="Q533">
        <v>3</v>
      </c>
      <c r="R533">
        <v>54.5916</v>
      </c>
      <c r="S533" s="3" t="s">
        <v>53</v>
      </c>
      <c r="T533">
        <v>2014</v>
      </c>
      <c r="U533" t="s">
        <v>118</v>
      </c>
      <c r="V533" s="2">
        <v>0.35</v>
      </c>
    </row>
    <row r="534" spans="1:22" x14ac:dyDescent="0.25">
      <c r="A534" t="s">
        <v>1993</v>
      </c>
      <c r="B534" s="1">
        <v>42530</v>
      </c>
      <c r="C534" s="1">
        <v>42533</v>
      </c>
      <c r="D534" t="s">
        <v>56</v>
      </c>
      <c r="E534" t="s">
        <v>1994</v>
      </c>
      <c r="F534" t="s">
        <v>1995</v>
      </c>
      <c r="G534" t="s">
        <v>26</v>
      </c>
      <c r="H534" t="s">
        <v>27</v>
      </c>
      <c r="I534" t="s">
        <v>1823</v>
      </c>
      <c r="J534" t="s">
        <v>288</v>
      </c>
      <c r="K534" t="s">
        <v>155</v>
      </c>
      <c r="L534" t="s">
        <v>1142</v>
      </c>
      <c r="M534" t="s">
        <v>32</v>
      </c>
      <c r="N534" t="s">
        <v>215</v>
      </c>
      <c r="O534" t="s">
        <v>1143</v>
      </c>
      <c r="P534">
        <v>695.7</v>
      </c>
      <c r="Q534">
        <v>2</v>
      </c>
      <c r="R534">
        <v>-27.827999999999999</v>
      </c>
      <c r="S534" s="3" t="s">
        <v>172</v>
      </c>
      <c r="T534">
        <v>2016</v>
      </c>
      <c r="U534" t="s">
        <v>36</v>
      </c>
      <c r="V534" s="2">
        <v>-0.04</v>
      </c>
    </row>
    <row r="535" spans="1:22" x14ac:dyDescent="0.25">
      <c r="A535" t="s">
        <v>1996</v>
      </c>
      <c r="B535" s="1">
        <v>42873</v>
      </c>
      <c r="C535" s="1">
        <v>42877</v>
      </c>
      <c r="D535" t="s">
        <v>23</v>
      </c>
      <c r="E535" t="s">
        <v>24</v>
      </c>
      <c r="F535" t="s">
        <v>25</v>
      </c>
      <c r="G535" t="s">
        <v>26</v>
      </c>
      <c r="H535" t="s">
        <v>27</v>
      </c>
      <c r="I535" t="s">
        <v>206</v>
      </c>
      <c r="J535" t="s">
        <v>207</v>
      </c>
      <c r="K535" t="s">
        <v>95</v>
      </c>
      <c r="L535" t="s">
        <v>1834</v>
      </c>
      <c r="M535" t="s">
        <v>32</v>
      </c>
      <c r="N535" t="s">
        <v>51</v>
      </c>
      <c r="O535" t="s">
        <v>1835</v>
      </c>
      <c r="P535">
        <v>36.048000000000002</v>
      </c>
      <c r="Q535">
        <v>3</v>
      </c>
      <c r="R535">
        <v>-0.9012</v>
      </c>
      <c r="S535" s="3" t="s">
        <v>53</v>
      </c>
      <c r="T535">
        <v>2017</v>
      </c>
      <c r="U535" t="s">
        <v>527</v>
      </c>
      <c r="V535" s="2">
        <v>-2.5000000000000001E-2</v>
      </c>
    </row>
    <row r="536" spans="1:22" x14ac:dyDescent="0.25">
      <c r="A536" t="s">
        <v>1997</v>
      </c>
      <c r="B536" s="1">
        <v>42874</v>
      </c>
      <c r="C536" s="1">
        <v>42878</v>
      </c>
      <c r="D536" t="s">
        <v>23</v>
      </c>
      <c r="E536" t="s">
        <v>1998</v>
      </c>
      <c r="F536" t="s">
        <v>1999</v>
      </c>
      <c r="G536" t="s">
        <v>26</v>
      </c>
      <c r="H536" t="s">
        <v>27</v>
      </c>
      <c r="I536" t="s">
        <v>1674</v>
      </c>
      <c r="J536" t="s">
        <v>1006</v>
      </c>
      <c r="K536" t="s">
        <v>155</v>
      </c>
      <c r="L536" t="s">
        <v>800</v>
      </c>
      <c r="M536" t="s">
        <v>32</v>
      </c>
      <c r="N536" t="s">
        <v>51</v>
      </c>
      <c r="O536" t="s">
        <v>801</v>
      </c>
      <c r="P536">
        <v>67.8</v>
      </c>
      <c r="Q536">
        <v>4</v>
      </c>
      <c r="R536">
        <v>4.0679999999999996</v>
      </c>
      <c r="S536" s="3" t="s">
        <v>53</v>
      </c>
      <c r="T536">
        <v>2017</v>
      </c>
      <c r="U536" t="s">
        <v>527</v>
      </c>
      <c r="V536" s="2">
        <v>0.06</v>
      </c>
    </row>
    <row r="537" spans="1:22" x14ac:dyDescent="0.25">
      <c r="A537" t="s">
        <v>1997</v>
      </c>
      <c r="B537" s="1">
        <v>42874</v>
      </c>
      <c r="C537" s="1">
        <v>42878</v>
      </c>
      <c r="D537" t="s">
        <v>23</v>
      </c>
      <c r="E537" t="s">
        <v>1998</v>
      </c>
      <c r="F537" t="s">
        <v>1999</v>
      </c>
      <c r="G537" t="s">
        <v>26</v>
      </c>
      <c r="H537" t="s">
        <v>27</v>
      </c>
      <c r="I537" t="s">
        <v>1674</v>
      </c>
      <c r="J537" t="s">
        <v>1006</v>
      </c>
      <c r="K537" t="s">
        <v>155</v>
      </c>
      <c r="L537" t="s">
        <v>2000</v>
      </c>
      <c r="M537" t="s">
        <v>32</v>
      </c>
      <c r="N537" t="s">
        <v>33</v>
      </c>
      <c r="O537" t="s">
        <v>2001</v>
      </c>
      <c r="P537">
        <v>377.97</v>
      </c>
      <c r="Q537">
        <v>3</v>
      </c>
      <c r="R537">
        <v>98.272199999999998</v>
      </c>
      <c r="S537" s="3" t="s">
        <v>53</v>
      </c>
      <c r="T537">
        <v>2017</v>
      </c>
      <c r="U537" t="s">
        <v>527</v>
      </c>
      <c r="V537" s="2">
        <v>0.26</v>
      </c>
    </row>
    <row r="538" spans="1:22" x14ac:dyDescent="0.25">
      <c r="A538" t="s">
        <v>2002</v>
      </c>
      <c r="B538" s="1">
        <v>42384</v>
      </c>
      <c r="C538" s="1">
        <v>42388</v>
      </c>
      <c r="D538" t="s">
        <v>23</v>
      </c>
      <c r="E538" t="s">
        <v>2003</v>
      </c>
      <c r="F538" t="s">
        <v>2004</v>
      </c>
      <c r="G538" t="s">
        <v>70</v>
      </c>
      <c r="H538" t="s">
        <v>27</v>
      </c>
      <c r="I538" t="s">
        <v>2005</v>
      </c>
      <c r="J538" t="s">
        <v>794</v>
      </c>
      <c r="K538" t="s">
        <v>95</v>
      </c>
      <c r="L538" t="s">
        <v>164</v>
      </c>
      <c r="M538" t="s">
        <v>32</v>
      </c>
      <c r="N538" t="s">
        <v>51</v>
      </c>
      <c r="O538" t="s">
        <v>165</v>
      </c>
      <c r="P538">
        <v>254.97</v>
      </c>
      <c r="Q538">
        <v>3</v>
      </c>
      <c r="R538">
        <v>91.789199999999994</v>
      </c>
      <c r="S538" s="3" t="s">
        <v>53</v>
      </c>
      <c r="T538">
        <v>2016</v>
      </c>
      <c r="U538" t="s">
        <v>54</v>
      </c>
      <c r="V538" s="2">
        <v>0.36</v>
      </c>
    </row>
    <row r="539" spans="1:22" x14ac:dyDescent="0.25">
      <c r="A539" t="s">
        <v>2006</v>
      </c>
      <c r="B539" s="1">
        <v>43031</v>
      </c>
      <c r="C539" s="1">
        <v>43037</v>
      </c>
      <c r="D539" t="s">
        <v>23</v>
      </c>
      <c r="E539" t="s">
        <v>2007</v>
      </c>
      <c r="F539" t="s">
        <v>2008</v>
      </c>
      <c r="G539" t="s">
        <v>59</v>
      </c>
      <c r="H539" t="s">
        <v>27</v>
      </c>
      <c r="I539" t="s">
        <v>129</v>
      </c>
      <c r="J539" t="s">
        <v>104</v>
      </c>
      <c r="K539" t="s">
        <v>95</v>
      </c>
      <c r="L539" t="s">
        <v>244</v>
      </c>
      <c r="M539" t="s">
        <v>32</v>
      </c>
      <c r="N539" t="s">
        <v>33</v>
      </c>
      <c r="O539" t="s">
        <v>245</v>
      </c>
      <c r="P539">
        <v>35.880000000000003</v>
      </c>
      <c r="Q539">
        <v>3</v>
      </c>
      <c r="R539">
        <v>10.0464</v>
      </c>
      <c r="S539" s="3" t="s">
        <v>107</v>
      </c>
      <c r="T539">
        <v>2017</v>
      </c>
      <c r="U539" t="s">
        <v>133</v>
      </c>
      <c r="V539" s="2">
        <v>0.28000000000000003</v>
      </c>
    </row>
    <row r="540" spans="1:22" x14ac:dyDescent="0.25">
      <c r="A540" t="s">
        <v>2009</v>
      </c>
      <c r="B540" s="1">
        <v>42373</v>
      </c>
      <c r="C540" s="1">
        <v>42378</v>
      </c>
      <c r="D540" t="s">
        <v>23</v>
      </c>
      <c r="E540" t="s">
        <v>2010</v>
      </c>
      <c r="F540" t="s">
        <v>2011</v>
      </c>
      <c r="G540" t="s">
        <v>59</v>
      </c>
      <c r="H540" t="s">
        <v>27</v>
      </c>
      <c r="I540" t="s">
        <v>153</v>
      </c>
      <c r="J540" t="s">
        <v>154</v>
      </c>
      <c r="K540" t="s">
        <v>155</v>
      </c>
      <c r="L540" t="s">
        <v>1728</v>
      </c>
      <c r="M540" t="s">
        <v>32</v>
      </c>
      <c r="N540" t="s">
        <v>381</v>
      </c>
      <c r="O540" t="s">
        <v>1729</v>
      </c>
      <c r="P540">
        <v>959.96799999999996</v>
      </c>
      <c r="Q540">
        <v>4</v>
      </c>
      <c r="R540">
        <v>119.996</v>
      </c>
      <c r="S540" s="3" t="s">
        <v>35</v>
      </c>
      <c r="T540">
        <v>2016</v>
      </c>
      <c r="U540" t="s">
        <v>54</v>
      </c>
      <c r="V540" s="2">
        <v>0.125</v>
      </c>
    </row>
    <row r="541" spans="1:22" x14ac:dyDescent="0.25">
      <c r="A541" t="s">
        <v>2012</v>
      </c>
      <c r="B541" s="1">
        <v>42259</v>
      </c>
      <c r="C541" s="1">
        <v>42264</v>
      </c>
      <c r="D541" t="s">
        <v>23</v>
      </c>
      <c r="E541" t="s">
        <v>127</v>
      </c>
      <c r="F541" t="s">
        <v>128</v>
      </c>
      <c r="G541" t="s">
        <v>26</v>
      </c>
      <c r="H541" t="s">
        <v>27</v>
      </c>
      <c r="I541" t="s">
        <v>103</v>
      </c>
      <c r="J541" t="s">
        <v>104</v>
      </c>
      <c r="K541" t="s">
        <v>95</v>
      </c>
      <c r="L541" t="s">
        <v>1728</v>
      </c>
      <c r="M541" t="s">
        <v>32</v>
      </c>
      <c r="N541" t="s">
        <v>381</v>
      </c>
      <c r="O541" t="s">
        <v>1729</v>
      </c>
      <c r="P541">
        <v>479.98399999999998</v>
      </c>
      <c r="Q541">
        <v>2</v>
      </c>
      <c r="R541">
        <v>59.997999999999998</v>
      </c>
      <c r="S541" s="3" t="s">
        <v>35</v>
      </c>
      <c r="T541">
        <v>2015</v>
      </c>
      <c r="U541" t="s">
        <v>81</v>
      </c>
      <c r="V541" s="2">
        <v>0.125</v>
      </c>
    </row>
    <row r="542" spans="1:22" x14ac:dyDescent="0.25">
      <c r="A542" t="s">
        <v>2013</v>
      </c>
      <c r="B542" s="1">
        <v>42289</v>
      </c>
      <c r="C542" s="1">
        <v>42294</v>
      </c>
      <c r="D542" t="s">
        <v>40</v>
      </c>
      <c r="E542" t="s">
        <v>2014</v>
      </c>
      <c r="F542" t="s">
        <v>2015</v>
      </c>
      <c r="G542" t="s">
        <v>26</v>
      </c>
      <c r="H542" t="s">
        <v>27</v>
      </c>
      <c r="I542" t="s">
        <v>2016</v>
      </c>
      <c r="J542" t="s">
        <v>669</v>
      </c>
      <c r="K542" t="s">
        <v>62</v>
      </c>
      <c r="L542" t="s">
        <v>1897</v>
      </c>
      <c r="M542" t="s">
        <v>32</v>
      </c>
      <c r="N542" t="s">
        <v>33</v>
      </c>
      <c r="O542" t="s">
        <v>1898</v>
      </c>
      <c r="P542">
        <v>135.72</v>
      </c>
      <c r="Q542">
        <v>3</v>
      </c>
      <c r="R542">
        <v>35.287199999999999</v>
      </c>
      <c r="S542" s="3" t="s">
        <v>35</v>
      </c>
      <c r="T542">
        <v>2015</v>
      </c>
      <c r="U542" t="s">
        <v>133</v>
      </c>
      <c r="V542" s="2">
        <v>0.26</v>
      </c>
    </row>
    <row r="543" spans="1:22" x14ac:dyDescent="0.25">
      <c r="A543" t="s">
        <v>2013</v>
      </c>
      <c r="B543" s="1">
        <v>42289</v>
      </c>
      <c r="C543" s="1">
        <v>42294</v>
      </c>
      <c r="D543" t="s">
        <v>40</v>
      </c>
      <c r="E543" t="s">
        <v>2014</v>
      </c>
      <c r="F543" t="s">
        <v>2015</v>
      </c>
      <c r="G543" t="s">
        <v>26</v>
      </c>
      <c r="H543" t="s">
        <v>27</v>
      </c>
      <c r="I543" t="s">
        <v>2016</v>
      </c>
      <c r="J543" t="s">
        <v>669</v>
      </c>
      <c r="K543" t="s">
        <v>62</v>
      </c>
      <c r="L543" t="s">
        <v>1191</v>
      </c>
      <c r="M543" t="s">
        <v>32</v>
      </c>
      <c r="N543" t="s">
        <v>33</v>
      </c>
      <c r="O543" t="s">
        <v>1192</v>
      </c>
      <c r="P543">
        <v>263.95999999999998</v>
      </c>
      <c r="Q543">
        <v>4</v>
      </c>
      <c r="R543">
        <v>71.269199999999998</v>
      </c>
      <c r="S543" s="3" t="s">
        <v>35</v>
      </c>
      <c r="T543">
        <v>2015</v>
      </c>
      <c r="U543" t="s">
        <v>133</v>
      </c>
      <c r="V543" s="2">
        <v>0.27</v>
      </c>
    </row>
    <row r="544" spans="1:22" x14ac:dyDescent="0.25">
      <c r="A544" t="s">
        <v>2017</v>
      </c>
      <c r="B544" s="1">
        <v>42710</v>
      </c>
      <c r="C544" s="1">
        <v>42716</v>
      </c>
      <c r="D544" t="s">
        <v>23</v>
      </c>
      <c r="E544" t="s">
        <v>938</v>
      </c>
      <c r="F544" t="s">
        <v>939</v>
      </c>
      <c r="G544" t="s">
        <v>26</v>
      </c>
      <c r="H544" t="s">
        <v>27</v>
      </c>
      <c r="I544" t="s">
        <v>481</v>
      </c>
      <c r="J544" t="s">
        <v>426</v>
      </c>
      <c r="K544" t="s">
        <v>30</v>
      </c>
      <c r="L544" t="s">
        <v>1168</v>
      </c>
      <c r="M544" t="s">
        <v>32</v>
      </c>
      <c r="N544" t="s">
        <v>33</v>
      </c>
      <c r="O544" t="s">
        <v>1853</v>
      </c>
      <c r="P544">
        <v>156.792</v>
      </c>
      <c r="Q544">
        <v>1</v>
      </c>
      <c r="R544">
        <v>13.7193</v>
      </c>
      <c r="S544" s="3" t="s">
        <v>107</v>
      </c>
      <c r="T544">
        <v>2016</v>
      </c>
      <c r="U544" t="s">
        <v>66</v>
      </c>
      <c r="V544" s="2">
        <v>8.7499999999999994E-2</v>
      </c>
    </row>
    <row r="545" spans="1:22" x14ac:dyDescent="0.25">
      <c r="A545" t="s">
        <v>2017</v>
      </c>
      <c r="B545" s="1">
        <v>42710</v>
      </c>
      <c r="C545" s="1">
        <v>42716</v>
      </c>
      <c r="D545" t="s">
        <v>23</v>
      </c>
      <c r="E545" t="s">
        <v>938</v>
      </c>
      <c r="F545" t="s">
        <v>939</v>
      </c>
      <c r="G545" t="s">
        <v>26</v>
      </c>
      <c r="H545" t="s">
        <v>27</v>
      </c>
      <c r="I545" t="s">
        <v>481</v>
      </c>
      <c r="J545" t="s">
        <v>426</v>
      </c>
      <c r="K545" t="s">
        <v>30</v>
      </c>
      <c r="L545" t="s">
        <v>1883</v>
      </c>
      <c r="M545" t="s">
        <v>32</v>
      </c>
      <c r="N545" t="s">
        <v>33</v>
      </c>
      <c r="O545" t="s">
        <v>1884</v>
      </c>
      <c r="P545">
        <v>431.976</v>
      </c>
      <c r="Q545">
        <v>3</v>
      </c>
      <c r="R545">
        <v>26.9985</v>
      </c>
      <c r="S545" s="3" t="s">
        <v>107</v>
      </c>
      <c r="T545">
        <v>2016</v>
      </c>
      <c r="U545" t="s">
        <v>66</v>
      </c>
      <c r="V545" s="2">
        <v>6.25E-2</v>
      </c>
    </row>
    <row r="546" spans="1:22" x14ac:dyDescent="0.25">
      <c r="A546" t="s">
        <v>2018</v>
      </c>
      <c r="B546" s="1">
        <v>43051</v>
      </c>
      <c r="C546" s="1">
        <v>43051</v>
      </c>
      <c r="D546" t="s">
        <v>677</v>
      </c>
      <c r="E546" t="s">
        <v>2019</v>
      </c>
      <c r="F546" t="s">
        <v>2020</v>
      </c>
      <c r="G546" t="s">
        <v>70</v>
      </c>
      <c r="H546" t="s">
        <v>27</v>
      </c>
      <c r="I546" t="s">
        <v>1217</v>
      </c>
      <c r="J546" t="s">
        <v>123</v>
      </c>
      <c r="K546" t="s">
        <v>30</v>
      </c>
      <c r="L546" t="s">
        <v>263</v>
      </c>
      <c r="M546" t="s">
        <v>32</v>
      </c>
      <c r="N546" t="s">
        <v>51</v>
      </c>
      <c r="O546" t="s">
        <v>264</v>
      </c>
      <c r="P546">
        <v>41.6</v>
      </c>
      <c r="Q546">
        <v>4</v>
      </c>
      <c r="R546">
        <v>13</v>
      </c>
      <c r="S546" s="3" t="s">
        <v>683</v>
      </c>
      <c r="T546">
        <v>2017</v>
      </c>
      <c r="U546" t="s">
        <v>118</v>
      </c>
      <c r="V546" s="2">
        <v>0.3125</v>
      </c>
    </row>
    <row r="547" spans="1:22" x14ac:dyDescent="0.25">
      <c r="A547" t="s">
        <v>2018</v>
      </c>
      <c r="B547" s="1">
        <v>43051</v>
      </c>
      <c r="C547" s="1">
        <v>43051</v>
      </c>
      <c r="D547" t="s">
        <v>677</v>
      </c>
      <c r="E547" t="s">
        <v>2019</v>
      </c>
      <c r="F547" t="s">
        <v>2020</v>
      </c>
      <c r="G547" t="s">
        <v>70</v>
      </c>
      <c r="H547" t="s">
        <v>27</v>
      </c>
      <c r="I547" t="s">
        <v>1217</v>
      </c>
      <c r="J547" t="s">
        <v>123</v>
      </c>
      <c r="K547" t="s">
        <v>30</v>
      </c>
      <c r="L547" t="s">
        <v>583</v>
      </c>
      <c r="M547" t="s">
        <v>32</v>
      </c>
      <c r="N547" t="s">
        <v>33</v>
      </c>
      <c r="O547" t="s">
        <v>584</v>
      </c>
      <c r="P547">
        <v>7.92</v>
      </c>
      <c r="Q547">
        <v>2</v>
      </c>
      <c r="R547">
        <v>0.69299999999999995</v>
      </c>
      <c r="S547" s="3" t="s">
        <v>683</v>
      </c>
      <c r="T547">
        <v>2017</v>
      </c>
      <c r="U547" t="s">
        <v>118</v>
      </c>
      <c r="V547" s="2">
        <v>8.7499999999999994E-2</v>
      </c>
    </row>
    <row r="548" spans="1:22" x14ac:dyDescent="0.25">
      <c r="A548" t="s">
        <v>2018</v>
      </c>
      <c r="B548" s="1">
        <v>43051</v>
      </c>
      <c r="C548" s="1">
        <v>43051</v>
      </c>
      <c r="D548" t="s">
        <v>677</v>
      </c>
      <c r="E548" t="s">
        <v>2019</v>
      </c>
      <c r="F548" t="s">
        <v>2020</v>
      </c>
      <c r="G548" t="s">
        <v>70</v>
      </c>
      <c r="H548" t="s">
        <v>27</v>
      </c>
      <c r="I548" t="s">
        <v>1217</v>
      </c>
      <c r="J548" t="s">
        <v>123</v>
      </c>
      <c r="K548" t="s">
        <v>30</v>
      </c>
      <c r="L548" t="s">
        <v>2021</v>
      </c>
      <c r="M548" t="s">
        <v>32</v>
      </c>
      <c r="N548" t="s">
        <v>33</v>
      </c>
      <c r="O548" t="s">
        <v>2022</v>
      </c>
      <c r="P548">
        <v>671.98400000000004</v>
      </c>
      <c r="Q548">
        <v>2</v>
      </c>
      <c r="R548">
        <v>50.398800000000001</v>
      </c>
      <c r="S548" s="3" t="s">
        <v>683</v>
      </c>
      <c r="T548">
        <v>2017</v>
      </c>
      <c r="U548" t="s">
        <v>118</v>
      </c>
      <c r="V548" s="2">
        <v>7.4999999999999997E-2</v>
      </c>
    </row>
    <row r="549" spans="1:22" x14ac:dyDescent="0.25">
      <c r="A549" t="s">
        <v>2023</v>
      </c>
      <c r="B549" s="1">
        <v>42600</v>
      </c>
      <c r="C549" s="1">
        <v>42606</v>
      </c>
      <c r="D549" t="s">
        <v>23</v>
      </c>
      <c r="E549" t="s">
        <v>1391</v>
      </c>
      <c r="F549" t="s">
        <v>1392</v>
      </c>
      <c r="G549" t="s">
        <v>59</v>
      </c>
      <c r="H549" t="s">
        <v>27</v>
      </c>
      <c r="I549" t="s">
        <v>103</v>
      </c>
      <c r="J549" t="s">
        <v>104</v>
      </c>
      <c r="K549" t="s">
        <v>95</v>
      </c>
      <c r="L549" t="s">
        <v>1065</v>
      </c>
      <c r="M549" t="s">
        <v>32</v>
      </c>
      <c r="N549" t="s">
        <v>33</v>
      </c>
      <c r="O549" t="s">
        <v>1066</v>
      </c>
      <c r="P549">
        <v>39.99</v>
      </c>
      <c r="Q549">
        <v>1</v>
      </c>
      <c r="R549">
        <v>11.597099999999999</v>
      </c>
      <c r="S549" s="3" t="s">
        <v>107</v>
      </c>
      <c r="T549">
        <v>2016</v>
      </c>
      <c r="U549" t="s">
        <v>46</v>
      </c>
      <c r="V549" s="2">
        <v>0.28999999999999998</v>
      </c>
    </row>
    <row r="550" spans="1:22" x14ac:dyDescent="0.25">
      <c r="A550" t="s">
        <v>2024</v>
      </c>
      <c r="B550" s="1">
        <v>42421</v>
      </c>
      <c r="C550" s="1">
        <v>42426</v>
      </c>
      <c r="D550" t="s">
        <v>40</v>
      </c>
      <c r="E550" t="s">
        <v>2025</v>
      </c>
      <c r="F550" t="s">
        <v>2026</v>
      </c>
      <c r="G550" t="s">
        <v>59</v>
      </c>
      <c r="H550" t="s">
        <v>27</v>
      </c>
      <c r="I550" t="s">
        <v>28</v>
      </c>
      <c r="J550" t="s">
        <v>29</v>
      </c>
      <c r="K550" t="s">
        <v>30</v>
      </c>
      <c r="L550" t="s">
        <v>1939</v>
      </c>
      <c r="M550" t="s">
        <v>32</v>
      </c>
      <c r="N550" t="s">
        <v>51</v>
      </c>
      <c r="O550" t="s">
        <v>1940</v>
      </c>
      <c r="P550">
        <v>12.99</v>
      </c>
      <c r="Q550">
        <v>1</v>
      </c>
      <c r="R550">
        <v>0.77939999999999998</v>
      </c>
      <c r="S550" s="3" t="s">
        <v>35</v>
      </c>
      <c r="T550">
        <v>2016</v>
      </c>
      <c r="U550" t="s">
        <v>180</v>
      </c>
      <c r="V550" s="2">
        <v>0.06</v>
      </c>
    </row>
    <row r="551" spans="1:22" x14ac:dyDescent="0.25">
      <c r="A551" t="s">
        <v>2027</v>
      </c>
      <c r="B551" s="1">
        <v>41811</v>
      </c>
      <c r="C551" s="1">
        <v>41815</v>
      </c>
      <c r="D551" t="s">
        <v>23</v>
      </c>
      <c r="E551" t="s">
        <v>1312</v>
      </c>
      <c r="F551" t="s">
        <v>1313</v>
      </c>
      <c r="G551" t="s">
        <v>26</v>
      </c>
      <c r="H551" t="s">
        <v>27</v>
      </c>
      <c r="I551" t="s">
        <v>206</v>
      </c>
      <c r="J551" t="s">
        <v>207</v>
      </c>
      <c r="K551" t="s">
        <v>95</v>
      </c>
      <c r="L551" t="s">
        <v>330</v>
      </c>
      <c r="M551" t="s">
        <v>32</v>
      </c>
      <c r="N551" t="s">
        <v>51</v>
      </c>
      <c r="O551" t="s">
        <v>331</v>
      </c>
      <c r="P551">
        <v>95.968000000000004</v>
      </c>
      <c r="Q551">
        <v>4</v>
      </c>
      <c r="R551">
        <v>28.790400000000002</v>
      </c>
      <c r="S551" s="3" t="s">
        <v>53</v>
      </c>
      <c r="T551">
        <v>2014</v>
      </c>
      <c r="U551" t="s">
        <v>36</v>
      </c>
      <c r="V551" s="2">
        <v>0.3</v>
      </c>
    </row>
    <row r="552" spans="1:22" x14ac:dyDescent="0.25">
      <c r="A552" t="s">
        <v>2027</v>
      </c>
      <c r="B552" s="1">
        <v>41811</v>
      </c>
      <c r="C552" s="1">
        <v>41815</v>
      </c>
      <c r="D552" t="s">
        <v>23</v>
      </c>
      <c r="E552" t="s">
        <v>1312</v>
      </c>
      <c r="F552" t="s">
        <v>1313</v>
      </c>
      <c r="G552" t="s">
        <v>26</v>
      </c>
      <c r="H552" t="s">
        <v>27</v>
      </c>
      <c r="I552" t="s">
        <v>206</v>
      </c>
      <c r="J552" t="s">
        <v>207</v>
      </c>
      <c r="K552" t="s">
        <v>95</v>
      </c>
      <c r="L552" t="s">
        <v>2028</v>
      </c>
      <c r="M552" t="s">
        <v>32</v>
      </c>
      <c r="N552" t="s">
        <v>215</v>
      </c>
      <c r="O552" t="s">
        <v>2029</v>
      </c>
      <c r="P552">
        <v>206.99100000000001</v>
      </c>
      <c r="Q552">
        <v>3</v>
      </c>
      <c r="R552">
        <v>-172.49250000000001</v>
      </c>
      <c r="S552" s="3" t="s">
        <v>53</v>
      </c>
      <c r="T552">
        <v>2014</v>
      </c>
      <c r="U552" t="s">
        <v>36</v>
      </c>
      <c r="V552" s="2">
        <v>-0.83333333333333304</v>
      </c>
    </row>
    <row r="553" spans="1:22" x14ac:dyDescent="0.25">
      <c r="A553" t="s">
        <v>2030</v>
      </c>
      <c r="B553" s="1">
        <v>42842</v>
      </c>
      <c r="C553" s="1">
        <v>42848</v>
      </c>
      <c r="D553" t="s">
        <v>23</v>
      </c>
      <c r="E553" t="s">
        <v>2031</v>
      </c>
      <c r="F553" t="s">
        <v>2032</v>
      </c>
      <c r="G553" t="s">
        <v>70</v>
      </c>
      <c r="H553" t="s">
        <v>27</v>
      </c>
      <c r="I553" t="s">
        <v>444</v>
      </c>
      <c r="J553" t="s">
        <v>147</v>
      </c>
      <c r="K553" t="s">
        <v>30</v>
      </c>
      <c r="L553" t="s">
        <v>214</v>
      </c>
      <c r="M553" t="s">
        <v>32</v>
      </c>
      <c r="N553" t="s">
        <v>215</v>
      </c>
      <c r="O553" t="s">
        <v>216</v>
      </c>
      <c r="P553">
        <v>2549.9850000000001</v>
      </c>
      <c r="Q553">
        <v>5</v>
      </c>
      <c r="R553">
        <v>-3399.98</v>
      </c>
      <c r="S553" s="3" t="s">
        <v>107</v>
      </c>
      <c r="T553">
        <v>2017</v>
      </c>
      <c r="U553" t="s">
        <v>291</v>
      </c>
      <c r="V553" s="2">
        <v>-1.3333333333333299</v>
      </c>
    </row>
    <row r="554" spans="1:22" x14ac:dyDescent="0.25">
      <c r="A554" t="s">
        <v>2033</v>
      </c>
      <c r="B554" s="1">
        <v>42605</v>
      </c>
      <c r="C554" s="1">
        <v>42612</v>
      </c>
      <c r="D554" t="s">
        <v>23</v>
      </c>
      <c r="E554" t="s">
        <v>1085</v>
      </c>
      <c r="F554" t="s">
        <v>1086</v>
      </c>
      <c r="G554" t="s">
        <v>70</v>
      </c>
      <c r="H554" t="s">
        <v>27</v>
      </c>
      <c r="I554" t="s">
        <v>2034</v>
      </c>
      <c r="J554" t="s">
        <v>61</v>
      </c>
      <c r="K554" t="s">
        <v>62</v>
      </c>
      <c r="L554" t="s">
        <v>1513</v>
      </c>
      <c r="M554" t="s">
        <v>32</v>
      </c>
      <c r="N554" t="s">
        <v>51</v>
      </c>
      <c r="O554" t="s">
        <v>1514</v>
      </c>
      <c r="P554">
        <v>666.4</v>
      </c>
      <c r="Q554">
        <v>7</v>
      </c>
      <c r="R554">
        <v>-33.32</v>
      </c>
      <c r="S554" s="3" t="s">
        <v>132</v>
      </c>
      <c r="T554">
        <v>2016</v>
      </c>
      <c r="U554" t="s">
        <v>46</v>
      </c>
      <c r="V554" s="2">
        <v>-0.05</v>
      </c>
    </row>
    <row r="555" spans="1:22" x14ac:dyDescent="0.25">
      <c r="A555" t="s">
        <v>2035</v>
      </c>
      <c r="B555" s="1">
        <v>42453</v>
      </c>
      <c r="C555" s="1">
        <v>42457</v>
      </c>
      <c r="D555" t="s">
        <v>23</v>
      </c>
      <c r="E555" t="s">
        <v>302</v>
      </c>
      <c r="F555" t="s">
        <v>303</v>
      </c>
      <c r="G555" t="s">
        <v>59</v>
      </c>
      <c r="H555" t="s">
        <v>27</v>
      </c>
      <c r="I555" t="s">
        <v>2036</v>
      </c>
      <c r="J555" t="s">
        <v>340</v>
      </c>
      <c r="K555" t="s">
        <v>30</v>
      </c>
      <c r="L555" t="s">
        <v>1933</v>
      </c>
      <c r="M555" t="s">
        <v>32</v>
      </c>
      <c r="N555" t="s">
        <v>33</v>
      </c>
      <c r="O555" t="s">
        <v>1934</v>
      </c>
      <c r="P555">
        <v>403.16800000000001</v>
      </c>
      <c r="Q555">
        <v>4</v>
      </c>
      <c r="R555">
        <v>25.198</v>
      </c>
      <c r="S555" s="3" t="s">
        <v>53</v>
      </c>
      <c r="T555">
        <v>2016</v>
      </c>
      <c r="U555" t="s">
        <v>89</v>
      </c>
      <c r="V555" s="2">
        <v>6.25E-2</v>
      </c>
    </row>
    <row r="556" spans="1:22" x14ac:dyDescent="0.25">
      <c r="A556" t="s">
        <v>2037</v>
      </c>
      <c r="B556" s="1">
        <v>42166</v>
      </c>
      <c r="C556" s="1">
        <v>42171</v>
      </c>
      <c r="D556" t="s">
        <v>23</v>
      </c>
      <c r="E556" t="s">
        <v>641</v>
      </c>
      <c r="F556" t="s">
        <v>642</v>
      </c>
      <c r="G556" t="s">
        <v>26</v>
      </c>
      <c r="H556" t="s">
        <v>27</v>
      </c>
      <c r="I556" t="s">
        <v>228</v>
      </c>
      <c r="J556" t="s">
        <v>229</v>
      </c>
      <c r="K556" t="s">
        <v>155</v>
      </c>
      <c r="L556" t="s">
        <v>1264</v>
      </c>
      <c r="M556" t="s">
        <v>32</v>
      </c>
      <c r="N556" t="s">
        <v>51</v>
      </c>
      <c r="O556" t="s">
        <v>1265</v>
      </c>
      <c r="P556">
        <v>53.7</v>
      </c>
      <c r="Q556">
        <v>6</v>
      </c>
      <c r="R556">
        <v>10.202999999999999</v>
      </c>
      <c r="S556" s="3" t="s">
        <v>35</v>
      </c>
      <c r="T556">
        <v>2015</v>
      </c>
      <c r="U556" t="s">
        <v>36</v>
      </c>
      <c r="V556" s="2">
        <v>0.19</v>
      </c>
    </row>
    <row r="557" spans="1:22" x14ac:dyDescent="0.25">
      <c r="A557" t="s">
        <v>2038</v>
      </c>
      <c r="B557" s="1">
        <v>42124</v>
      </c>
      <c r="C557" s="1">
        <v>42126</v>
      </c>
      <c r="D557" t="s">
        <v>40</v>
      </c>
      <c r="E557" t="s">
        <v>2039</v>
      </c>
      <c r="F557" t="s">
        <v>2040</v>
      </c>
      <c r="G557" t="s">
        <v>26</v>
      </c>
      <c r="H557" t="s">
        <v>27</v>
      </c>
      <c r="I557" t="s">
        <v>111</v>
      </c>
      <c r="J557" t="s">
        <v>177</v>
      </c>
      <c r="K557" t="s">
        <v>95</v>
      </c>
      <c r="L557" t="s">
        <v>765</v>
      </c>
      <c r="M557" t="s">
        <v>32</v>
      </c>
      <c r="N557" t="s">
        <v>33</v>
      </c>
      <c r="O557" t="s">
        <v>766</v>
      </c>
      <c r="P557">
        <v>1022.97</v>
      </c>
      <c r="Q557">
        <v>5</v>
      </c>
      <c r="R557">
        <v>-255.74250000000001</v>
      </c>
      <c r="S557" s="3" t="s">
        <v>65</v>
      </c>
      <c r="T557">
        <v>2015</v>
      </c>
      <c r="U557" t="s">
        <v>291</v>
      </c>
      <c r="V557" s="2">
        <v>-0.25</v>
      </c>
    </row>
    <row r="558" spans="1:22" x14ac:dyDescent="0.25">
      <c r="A558" t="s">
        <v>2041</v>
      </c>
      <c r="B558" s="1">
        <v>42827</v>
      </c>
      <c r="C558" s="1">
        <v>42829</v>
      </c>
      <c r="D558" t="s">
        <v>56</v>
      </c>
      <c r="E558" t="s">
        <v>2042</v>
      </c>
      <c r="F558" t="s">
        <v>2043</v>
      </c>
      <c r="G558" t="s">
        <v>70</v>
      </c>
      <c r="H558" t="s">
        <v>27</v>
      </c>
      <c r="I558" t="s">
        <v>176</v>
      </c>
      <c r="J558" t="s">
        <v>1006</v>
      </c>
      <c r="K558" t="s">
        <v>155</v>
      </c>
      <c r="L558" t="s">
        <v>359</v>
      </c>
      <c r="M558" t="s">
        <v>32</v>
      </c>
      <c r="N558" t="s">
        <v>51</v>
      </c>
      <c r="O558" t="s">
        <v>360</v>
      </c>
      <c r="P558">
        <v>360</v>
      </c>
      <c r="Q558">
        <v>4</v>
      </c>
      <c r="R558">
        <v>129.6</v>
      </c>
      <c r="S558" s="3" t="s">
        <v>65</v>
      </c>
      <c r="T558">
        <v>2017</v>
      </c>
      <c r="U558" t="s">
        <v>291</v>
      </c>
      <c r="V558" s="2">
        <v>0.36</v>
      </c>
    </row>
    <row r="559" spans="1:22" x14ac:dyDescent="0.25">
      <c r="A559" t="s">
        <v>2044</v>
      </c>
      <c r="B559" s="1">
        <v>42469</v>
      </c>
      <c r="C559" s="1">
        <v>42474</v>
      </c>
      <c r="D559" t="s">
        <v>40</v>
      </c>
      <c r="E559" t="s">
        <v>2045</v>
      </c>
      <c r="F559" t="s">
        <v>2046</v>
      </c>
      <c r="G559" t="s">
        <v>70</v>
      </c>
      <c r="H559" t="s">
        <v>27</v>
      </c>
      <c r="I559" t="s">
        <v>851</v>
      </c>
      <c r="J559" t="s">
        <v>256</v>
      </c>
      <c r="K559" t="s">
        <v>62</v>
      </c>
      <c r="L559" t="s">
        <v>1819</v>
      </c>
      <c r="M559" t="s">
        <v>32</v>
      </c>
      <c r="N559" t="s">
        <v>33</v>
      </c>
      <c r="O559" t="s">
        <v>1820</v>
      </c>
      <c r="P559">
        <v>517.9</v>
      </c>
      <c r="Q559">
        <v>2</v>
      </c>
      <c r="R559">
        <v>134.654</v>
      </c>
      <c r="S559" s="3" t="s">
        <v>35</v>
      </c>
      <c r="T559">
        <v>2016</v>
      </c>
      <c r="U559" t="s">
        <v>291</v>
      </c>
      <c r="V559" s="2">
        <v>0.26</v>
      </c>
    </row>
    <row r="560" spans="1:22" x14ac:dyDescent="0.25">
      <c r="A560" t="s">
        <v>2047</v>
      </c>
      <c r="B560" s="1">
        <v>42244</v>
      </c>
      <c r="C560" s="1">
        <v>42248</v>
      </c>
      <c r="D560" t="s">
        <v>23</v>
      </c>
      <c r="E560" t="s">
        <v>2048</v>
      </c>
      <c r="F560" t="s">
        <v>2049</v>
      </c>
      <c r="G560" t="s">
        <v>59</v>
      </c>
      <c r="H560" t="s">
        <v>27</v>
      </c>
      <c r="I560" t="s">
        <v>140</v>
      </c>
      <c r="J560" t="s">
        <v>78</v>
      </c>
      <c r="K560" t="s">
        <v>62</v>
      </c>
      <c r="L560" t="s">
        <v>1072</v>
      </c>
      <c r="M560" t="s">
        <v>32</v>
      </c>
      <c r="N560" t="s">
        <v>381</v>
      </c>
      <c r="O560" t="s">
        <v>1073</v>
      </c>
      <c r="P560">
        <v>2799.96</v>
      </c>
      <c r="Q560">
        <v>5</v>
      </c>
      <c r="R560">
        <v>874.98749999999995</v>
      </c>
      <c r="S560" s="3" t="s">
        <v>53</v>
      </c>
      <c r="T560">
        <v>2015</v>
      </c>
      <c r="U560" t="s">
        <v>46</v>
      </c>
      <c r="V560" s="2">
        <v>0.3125</v>
      </c>
    </row>
    <row r="561" spans="1:22" x14ac:dyDescent="0.25">
      <c r="A561" t="s">
        <v>2050</v>
      </c>
      <c r="B561" s="1">
        <v>42681</v>
      </c>
      <c r="C561" s="1">
        <v>42686</v>
      </c>
      <c r="D561" t="s">
        <v>23</v>
      </c>
      <c r="E561" t="s">
        <v>2051</v>
      </c>
      <c r="F561" t="s">
        <v>2052</v>
      </c>
      <c r="G561" t="s">
        <v>59</v>
      </c>
      <c r="H561" t="s">
        <v>27</v>
      </c>
      <c r="I561" t="s">
        <v>1458</v>
      </c>
      <c r="J561" t="s">
        <v>177</v>
      </c>
      <c r="K561" t="s">
        <v>95</v>
      </c>
      <c r="L561" t="s">
        <v>1573</v>
      </c>
      <c r="M561" t="s">
        <v>32</v>
      </c>
      <c r="N561" t="s">
        <v>51</v>
      </c>
      <c r="O561" t="s">
        <v>1574</v>
      </c>
      <c r="P561">
        <v>119.976</v>
      </c>
      <c r="Q561">
        <v>3</v>
      </c>
      <c r="R561">
        <v>22.4955</v>
      </c>
      <c r="S561" s="3" t="s">
        <v>35</v>
      </c>
      <c r="T561">
        <v>2016</v>
      </c>
      <c r="U561" t="s">
        <v>118</v>
      </c>
      <c r="V561" s="2">
        <v>0.1875</v>
      </c>
    </row>
    <row r="562" spans="1:22" x14ac:dyDescent="0.25">
      <c r="A562" t="s">
        <v>2053</v>
      </c>
      <c r="B562" s="1">
        <v>42335</v>
      </c>
      <c r="C562" s="1">
        <v>42337</v>
      </c>
      <c r="D562" t="s">
        <v>56</v>
      </c>
      <c r="E562" t="s">
        <v>2054</v>
      </c>
      <c r="F562" t="s">
        <v>2055</v>
      </c>
      <c r="G562" t="s">
        <v>59</v>
      </c>
      <c r="H562" t="s">
        <v>27</v>
      </c>
      <c r="I562" t="s">
        <v>1458</v>
      </c>
      <c r="J562" t="s">
        <v>94</v>
      </c>
      <c r="K562" t="s">
        <v>95</v>
      </c>
      <c r="L562" t="s">
        <v>2056</v>
      </c>
      <c r="M562" t="s">
        <v>32</v>
      </c>
      <c r="N562" t="s">
        <v>33</v>
      </c>
      <c r="O562" t="s">
        <v>2057</v>
      </c>
      <c r="P562">
        <v>83.97</v>
      </c>
      <c r="Q562">
        <v>3</v>
      </c>
      <c r="R562">
        <v>23.511600000000001</v>
      </c>
      <c r="S562" s="3" t="s">
        <v>65</v>
      </c>
      <c r="T562">
        <v>2015</v>
      </c>
      <c r="U562" t="s">
        <v>118</v>
      </c>
      <c r="V562" s="2">
        <v>0.28000000000000003</v>
      </c>
    </row>
    <row r="563" spans="1:22" x14ac:dyDescent="0.25">
      <c r="A563" t="s">
        <v>2053</v>
      </c>
      <c r="B563" s="1">
        <v>42335</v>
      </c>
      <c r="C563" s="1">
        <v>42337</v>
      </c>
      <c r="D563" t="s">
        <v>56</v>
      </c>
      <c r="E563" t="s">
        <v>2054</v>
      </c>
      <c r="F563" t="s">
        <v>2055</v>
      </c>
      <c r="G563" t="s">
        <v>59</v>
      </c>
      <c r="H563" t="s">
        <v>27</v>
      </c>
      <c r="I563" t="s">
        <v>1458</v>
      </c>
      <c r="J563" t="s">
        <v>94</v>
      </c>
      <c r="K563" t="s">
        <v>95</v>
      </c>
      <c r="L563" t="s">
        <v>2058</v>
      </c>
      <c r="M563" t="s">
        <v>32</v>
      </c>
      <c r="N563" t="s">
        <v>51</v>
      </c>
      <c r="O563" t="s">
        <v>2059</v>
      </c>
      <c r="P563">
        <v>104.97</v>
      </c>
      <c r="Q563">
        <v>3</v>
      </c>
      <c r="R563">
        <v>7.3479000000000001</v>
      </c>
      <c r="S563" s="3" t="s">
        <v>65</v>
      </c>
      <c r="T563">
        <v>2015</v>
      </c>
      <c r="U563" t="s">
        <v>118</v>
      </c>
      <c r="V563" s="2">
        <v>7.0000000000000007E-2</v>
      </c>
    </row>
    <row r="564" spans="1:22" x14ac:dyDescent="0.25">
      <c r="A564" t="s">
        <v>2060</v>
      </c>
      <c r="B564" s="1">
        <v>42807</v>
      </c>
      <c r="C564" s="1">
        <v>42812</v>
      </c>
      <c r="D564" t="s">
        <v>40</v>
      </c>
      <c r="E564" t="s">
        <v>2061</v>
      </c>
      <c r="F564" t="s">
        <v>2062</v>
      </c>
      <c r="G564" t="s">
        <v>70</v>
      </c>
      <c r="H564" t="s">
        <v>27</v>
      </c>
      <c r="I564" t="s">
        <v>1749</v>
      </c>
      <c r="J564" t="s">
        <v>889</v>
      </c>
      <c r="K564" t="s">
        <v>30</v>
      </c>
      <c r="L564" t="s">
        <v>878</v>
      </c>
      <c r="M564" t="s">
        <v>32</v>
      </c>
      <c r="N564" t="s">
        <v>33</v>
      </c>
      <c r="O564" t="s">
        <v>879</v>
      </c>
      <c r="P564">
        <v>140.73599999999999</v>
      </c>
      <c r="Q564">
        <v>8</v>
      </c>
      <c r="R564">
        <v>49.257599999999996</v>
      </c>
      <c r="S564" s="3" t="s">
        <v>35</v>
      </c>
      <c r="T564">
        <v>2017</v>
      </c>
      <c r="U564" t="s">
        <v>89</v>
      </c>
      <c r="V564" s="2">
        <v>0.35</v>
      </c>
    </row>
    <row r="565" spans="1:22" x14ac:dyDescent="0.25">
      <c r="A565" t="s">
        <v>2060</v>
      </c>
      <c r="B565" s="1">
        <v>42807</v>
      </c>
      <c r="C565" s="1">
        <v>42812</v>
      </c>
      <c r="D565" t="s">
        <v>40</v>
      </c>
      <c r="E565" t="s">
        <v>2061</v>
      </c>
      <c r="F565" t="s">
        <v>2062</v>
      </c>
      <c r="G565" t="s">
        <v>70</v>
      </c>
      <c r="H565" t="s">
        <v>27</v>
      </c>
      <c r="I565" t="s">
        <v>1749</v>
      </c>
      <c r="J565" t="s">
        <v>889</v>
      </c>
      <c r="K565" t="s">
        <v>30</v>
      </c>
      <c r="L565" t="s">
        <v>2063</v>
      </c>
      <c r="M565" t="s">
        <v>32</v>
      </c>
      <c r="N565" t="s">
        <v>51</v>
      </c>
      <c r="O565" t="s">
        <v>2064</v>
      </c>
      <c r="P565">
        <v>214.95</v>
      </c>
      <c r="Q565">
        <v>5</v>
      </c>
      <c r="R565">
        <v>88.129499999999993</v>
      </c>
      <c r="S565" s="3" t="s">
        <v>35</v>
      </c>
      <c r="T565">
        <v>2017</v>
      </c>
      <c r="U565" t="s">
        <v>89</v>
      </c>
      <c r="V565" s="2">
        <v>0.41</v>
      </c>
    </row>
    <row r="566" spans="1:22" x14ac:dyDescent="0.25">
      <c r="A566" t="s">
        <v>2065</v>
      </c>
      <c r="B566" s="1">
        <v>42982</v>
      </c>
      <c r="C566" s="1">
        <v>42983</v>
      </c>
      <c r="D566" t="s">
        <v>56</v>
      </c>
      <c r="E566" t="s">
        <v>2066</v>
      </c>
      <c r="F566" t="s">
        <v>2067</v>
      </c>
      <c r="G566" t="s">
        <v>70</v>
      </c>
      <c r="H566" t="s">
        <v>27</v>
      </c>
      <c r="I566" t="s">
        <v>2068</v>
      </c>
      <c r="J566" t="s">
        <v>29</v>
      </c>
      <c r="K566" t="s">
        <v>30</v>
      </c>
      <c r="L566" t="s">
        <v>998</v>
      </c>
      <c r="M566" t="s">
        <v>32</v>
      </c>
      <c r="N566" t="s">
        <v>33</v>
      </c>
      <c r="O566" t="s">
        <v>999</v>
      </c>
      <c r="P566">
        <v>43.176000000000002</v>
      </c>
      <c r="Q566">
        <v>3</v>
      </c>
      <c r="R566">
        <v>15.111599999999999</v>
      </c>
      <c r="S566" s="3" t="s">
        <v>112</v>
      </c>
      <c r="T566">
        <v>2017</v>
      </c>
      <c r="U566" t="s">
        <v>81</v>
      </c>
      <c r="V566" s="2">
        <v>0.35</v>
      </c>
    </row>
    <row r="567" spans="1:22" x14ac:dyDescent="0.25">
      <c r="A567" t="s">
        <v>2069</v>
      </c>
      <c r="B567" s="1">
        <v>42882</v>
      </c>
      <c r="C567" s="1">
        <v>42888</v>
      </c>
      <c r="D567" t="s">
        <v>23</v>
      </c>
      <c r="E567" t="s">
        <v>1466</v>
      </c>
      <c r="F567" t="s">
        <v>1467</v>
      </c>
      <c r="G567" t="s">
        <v>70</v>
      </c>
      <c r="H567" t="s">
        <v>27</v>
      </c>
      <c r="I567" t="s">
        <v>444</v>
      </c>
      <c r="J567" t="s">
        <v>804</v>
      </c>
      <c r="K567" t="s">
        <v>155</v>
      </c>
      <c r="L567" t="s">
        <v>1883</v>
      </c>
      <c r="M567" t="s">
        <v>32</v>
      </c>
      <c r="N567" t="s">
        <v>33</v>
      </c>
      <c r="O567" t="s">
        <v>1884</v>
      </c>
      <c r="P567">
        <v>539.97</v>
      </c>
      <c r="Q567">
        <v>3</v>
      </c>
      <c r="R567">
        <v>134.99250000000001</v>
      </c>
      <c r="S567" s="3" t="s">
        <v>107</v>
      </c>
      <c r="T567">
        <v>2017</v>
      </c>
      <c r="U567" t="s">
        <v>527</v>
      </c>
      <c r="V567" s="2">
        <v>0.25</v>
      </c>
    </row>
    <row r="568" spans="1:22" x14ac:dyDescent="0.25">
      <c r="A568" t="s">
        <v>2070</v>
      </c>
      <c r="B568" s="1">
        <v>42775</v>
      </c>
      <c r="C568" s="1">
        <v>42780</v>
      </c>
      <c r="D568" t="s">
        <v>23</v>
      </c>
      <c r="E568" t="s">
        <v>2071</v>
      </c>
      <c r="F568" t="s">
        <v>2072</v>
      </c>
      <c r="G568" t="s">
        <v>26</v>
      </c>
      <c r="H568" t="s">
        <v>27</v>
      </c>
      <c r="I568" t="s">
        <v>71</v>
      </c>
      <c r="J568" t="s">
        <v>61</v>
      </c>
      <c r="K568" t="s">
        <v>62</v>
      </c>
      <c r="L568" t="s">
        <v>795</v>
      </c>
      <c r="M568" t="s">
        <v>32</v>
      </c>
      <c r="N568" t="s">
        <v>51</v>
      </c>
      <c r="O568" t="s">
        <v>796</v>
      </c>
      <c r="P568">
        <v>127.98399999999999</v>
      </c>
      <c r="Q568">
        <v>2</v>
      </c>
      <c r="R568">
        <v>15.997999999999999</v>
      </c>
      <c r="S568" s="3" t="s">
        <v>35</v>
      </c>
      <c r="T568">
        <v>2017</v>
      </c>
      <c r="U568" t="s">
        <v>180</v>
      </c>
      <c r="V568" s="2">
        <v>0.125</v>
      </c>
    </row>
    <row r="569" spans="1:22" x14ac:dyDescent="0.25">
      <c r="A569" t="s">
        <v>2073</v>
      </c>
      <c r="B569" s="1">
        <v>42825</v>
      </c>
      <c r="C569" s="1">
        <v>42827</v>
      </c>
      <c r="D569" t="s">
        <v>40</v>
      </c>
      <c r="E569" t="s">
        <v>2074</v>
      </c>
      <c r="F569" t="s">
        <v>2075</v>
      </c>
      <c r="G569" t="s">
        <v>70</v>
      </c>
      <c r="H569" t="s">
        <v>27</v>
      </c>
      <c r="I569" t="s">
        <v>2076</v>
      </c>
      <c r="J569" t="s">
        <v>804</v>
      </c>
      <c r="K569" t="s">
        <v>155</v>
      </c>
      <c r="L569" t="s">
        <v>2077</v>
      </c>
      <c r="M569" t="s">
        <v>32</v>
      </c>
      <c r="N569" t="s">
        <v>33</v>
      </c>
      <c r="O569" t="s">
        <v>2078</v>
      </c>
      <c r="P569">
        <v>671.93</v>
      </c>
      <c r="Q569">
        <v>7</v>
      </c>
      <c r="R569">
        <v>188.1404</v>
      </c>
      <c r="S569" s="3" t="s">
        <v>65</v>
      </c>
      <c r="T569">
        <v>2017</v>
      </c>
      <c r="U569" t="s">
        <v>89</v>
      </c>
      <c r="V569" s="2">
        <v>0.28000000000000003</v>
      </c>
    </row>
    <row r="570" spans="1:22" x14ac:dyDescent="0.25">
      <c r="A570" t="s">
        <v>2079</v>
      </c>
      <c r="B570" s="1">
        <v>42432</v>
      </c>
      <c r="C570" s="1">
        <v>42437</v>
      </c>
      <c r="D570" t="s">
        <v>23</v>
      </c>
      <c r="E570" t="s">
        <v>24</v>
      </c>
      <c r="F570" t="s">
        <v>25</v>
      </c>
      <c r="G570" t="s">
        <v>26</v>
      </c>
      <c r="H570" t="s">
        <v>27</v>
      </c>
      <c r="I570" t="s">
        <v>1458</v>
      </c>
      <c r="J570" t="s">
        <v>94</v>
      </c>
      <c r="K570" t="s">
        <v>95</v>
      </c>
      <c r="L570" t="s">
        <v>805</v>
      </c>
      <c r="M570" t="s">
        <v>32</v>
      </c>
      <c r="N570" t="s">
        <v>33</v>
      </c>
      <c r="O570" t="s">
        <v>806</v>
      </c>
      <c r="P570">
        <v>479.95</v>
      </c>
      <c r="Q570">
        <v>5</v>
      </c>
      <c r="R570">
        <v>129.5865</v>
      </c>
      <c r="S570" s="3" t="s">
        <v>35</v>
      </c>
      <c r="T570">
        <v>2016</v>
      </c>
      <c r="U570" t="s">
        <v>89</v>
      </c>
      <c r="V570" s="2">
        <v>0.27</v>
      </c>
    </row>
    <row r="571" spans="1:22" x14ac:dyDescent="0.25">
      <c r="A571" t="s">
        <v>2080</v>
      </c>
      <c r="B571" s="1">
        <v>42605</v>
      </c>
      <c r="C571" s="1">
        <v>42612</v>
      </c>
      <c r="D571" t="s">
        <v>23</v>
      </c>
      <c r="E571" t="s">
        <v>2081</v>
      </c>
      <c r="F571" t="s">
        <v>2082</v>
      </c>
      <c r="G571" t="s">
        <v>26</v>
      </c>
      <c r="H571" t="s">
        <v>27</v>
      </c>
      <c r="I571" t="s">
        <v>481</v>
      </c>
      <c r="J571" t="s">
        <v>426</v>
      </c>
      <c r="K571" t="s">
        <v>30</v>
      </c>
      <c r="L571" t="s">
        <v>2083</v>
      </c>
      <c r="M571" t="s">
        <v>32</v>
      </c>
      <c r="N571" t="s">
        <v>215</v>
      </c>
      <c r="O571" t="s">
        <v>2084</v>
      </c>
      <c r="P571">
        <v>837.6</v>
      </c>
      <c r="Q571">
        <v>3</v>
      </c>
      <c r="R571">
        <v>62.82</v>
      </c>
      <c r="S571" s="3" t="s">
        <v>132</v>
      </c>
      <c r="T571">
        <v>2016</v>
      </c>
      <c r="U571" t="s">
        <v>46</v>
      </c>
      <c r="V571" s="2">
        <v>7.4999999999999997E-2</v>
      </c>
    </row>
    <row r="572" spans="1:22" x14ac:dyDescent="0.25">
      <c r="A572" t="s">
        <v>2085</v>
      </c>
      <c r="B572" s="1">
        <v>42166</v>
      </c>
      <c r="C572" s="1">
        <v>42167</v>
      </c>
      <c r="D572" t="s">
        <v>56</v>
      </c>
      <c r="E572" t="s">
        <v>1397</v>
      </c>
      <c r="F572" t="s">
        <v>1398</v>
      </c>
      <c r="G572" t="s">
        <v>59</v>
      </c>
      <c r="H572" t="s">
        <v>27</v>
      </c>
      <c r="I572" t="s">
        <v>2086</v>
      </c>
      <c r="J572" t="s">
        <v>288</v>
      </c>
      <c r="K572" t="s">
        <v>155</v>
      </c>
      <c r="L572" t="s">
        <v>578</v>
      </c>
      <c r="M572" t="s">
        <v>32</v>
      </c>
      <c r="N572" t="s">
        <v>33</v>
      </c>
      <c r="O572" t="s">
        <v>579</v>
      </c>
      <c r="P572">
        <v>249.584</v>
      </c>
      <c r="Q572">
        <v>2</v>
      </c>
      <c r="R572">
        <v>31.198</v>
      </c>
      <c r="S572" s="3" t="s">
        <v>112</v>
      </c>
      <c r="T572">
        <v>2015</v>
      </c>
      <c r="U572" t="s">
        <v>36</v>
      </c>
      <c r="V572" s="2">
        <v>0.125</v>
      </c>
    </row>
    <row r="573" spans="1:22" x14ac:dyDescent="0.25">
      <c r="A573" t="s">
        <v>2087</v>
      </c>
      <c r="B573" s="1">
        <v>42986</v>
      </c>
      <c r="C573" s="1">
        <v>42990</v>
      </c>
      <c r="D573" t="s">
        <v>23</v>
      </c>
      <c r="E573" t="s">
        <v>2088</v>
      </c>
      <c r="F573" t="s">
        <v>2089</v>
      </c>
      <c r="G573" t="s">
        <v>26</v>
      </c>
      <c r="H573" t="s">
        <v>27</v>
      </c>
      <c r="I573" t="s">
        <v>206</v>
      </c>
      <c r="J573" t="s">
        <v>207</v>
      </c>
      <c r="K573" t="s">
        <v>95</v>
      </c>
      <c r="L573" t="s">
        <v>1060</v>
      </c>
      <c r="M573" t="s">
        <v>32</v>
      </c>
      <c r="N573" t="s">
        <v>33</v>
      </c>
      <c r="O573" t="s">
        <v>2090</v>
      </c>
      <c r="P573">
        <v>258.52800000000002</v>
      </c>
      <c r="Q573">
        <v>2</v>
      </c>
      <c r="R573">
        <v>-47.396799999999999</v>
      </c>
      <c r="S573" s="3" t="s">
        <v>53</v>
      </c>
      <c r="T573">
        <v>2017</v>
      </c>
      <c r="U573" t="s">
        <v>81</v>
      </c>
      <c r="V573" s="2">
        <v>-0.18333333333333299</v>
      </c>
    </row>
    <row r="574" spans="1:22" x14ac:dyDescent="0.25">
      <c r="A574" t="s">
        <v>2091</v>
      </c>
      <c r="B574" s="1">
        <v>41989</v>
      </c>
      <c r="C574" s="1">
        <v>41990</v>
      </c>
      <c r="D574" t="s">
        <v>56</v>
      </c>
      <c r="E574" t="s">
        <v>2092</v>
      </c>
      <c r="F574" t="s">
        <v>2093</v>
      </c>
      <c r="G574" t="s">
        <v>70</v>
      </c>
      <c r="H574" t="s">
        <v>27</v>
      </c>
      <c r="I574" t="s">
        <v>28</v>
      </c>
      <c r="J574" t="s">
        <v>29</v>
      </c>
      <c r="K574" t="s">
        <v>30</v>
      </c>
      <c r="L574" t="s">
        <v>654</v>
      </c>
      <c r="M574" t="s">
        <v>32</v>
      </c>
      <c r="N574" t="s">
        <v>51</v>
      </c>
      <c r="O574" t="s">
        <v>655</v>
      </c>
      <c r="P574">
        <v>395</v>
      </c>
      <c r="Q574">
        <v>5</v>
      </c>
      <c r="R574">
        <v>39.5</v>
      </c>
      <c r="S574" s="3" t="s">
        <v>112</v>
      </c>
      <c r="T574">
        <v>2014</v>
      </c>
      <c r="U574" t="s">
        <v>66</v>
      </c>
      <c r="V574" s="2">
        <v>0.1</v>
      </c>
    </row>
    <row r="575" spans="1:22" x14ac:dyDescent="0.25">
      <c r="A575" t="s">
        <v>2091</v>
      </c>
      <c r="B575" s="1">
        <v>41989</v>
      </c>
      <c r="C575" s="1">
        <v>41990</v>
      </c>
      <c r="D575" t="s">
        <v>56</v>
      </c>
      <c r="E575" t="s">
        <v>2092</v>
      </c>
      <c r="F575" t="s">
        <v>2093</v>
      </c>
      <c r="G575" t="s">
        <v>70</v>
      </c>
      <c r="H575" t="s">
        <v>27</v>
      </c>
      <c r="I575" t="s">
        <v>28</v>
      </c>
      <c r="J575" t="s">
        <v>29</v>
      </c>
      <c r="K575" t="s">
        <v>30</v>
      </c>
      <c r="L575" t="s">
        <v>63</v>
      </c>
      <c r="M575" t="s">
        <v>32</v>
      </c>
      <c r="N575" t="s">
        <v>33</v>
      </c>
      <c r="O575" t="s">
        <v>64</v>
      </c>
      <c r="P575">
        <v>627.16800000000001</v>
      </c>
      <c r="Q575">
        <v>4</v>
      </c>
      <c r="R575">
        <v>70.556399999999996</v>
      </c>
      <c r="S575" s="3" t="s">
        <v>112</v>
      </c>
      <c r="T575">
        <v>2014</v>
      </c>
      <c r="U575" t="s">
        <v>66</v>
      </c>
      <c r="V575" s="2">
        <v>0.1125</v>
      </c>
    </row>
    <row r="576" spans="1:22" x14ac:dyDescent="0.25">
      <c r="A576" t="s">
        <v>2094</v>
      </c>
      <c r="B576" s="1">
        <v>43051</v>
      </c>
      <c r="C576" s="1">
        <v>43057</v>
      </c>
      <c r="D576" t="s">
        <v>23</v>
      </c>
      <c r="E576" t="s">
        <v>2095</v>
      </c>
      <c r="F576" t="s">
        <v>2096</v>
      </c>
      <c r="G576" t="s">
        <v>70</v>
      </c>
      <c r="H576" t="s">
        <v>27</v>
      </c>
      <c r="I576" t="s">
        <v>262</v>
      </c>
      <c r="J576" t="s">
        <v>61</v>
      </c>
      <c r="K576" t="s">
        <v>62</v>
      </c>
      <c r="L576" t="s">
        <v>2097</v>
      </c>
      <c r="M576" t="s">
        <v>32</v>
      </c>
      <c r="N576" t="s">
        <v>33</v>
      </c>
      <c r="O576" t="s">
        <v>2098</v>
      </c>
      <c r="P576">
        <v>67.992000000000004</v>
      </c>
      <c r="Q576">
        <v>1</v>
      </c>
      <c r="R576">
        <v>8.4990000000000006</v>
      </c>
      <c r="S576" s="3" t="s">
        <v>107</v>
      </c>
      <c r="T576">
        <v>2017</v>
      </c>
      <c r="U576" t="s">
        <v>118</v>
      </c>
      <c r="V576" s="2">
        <v>0.125</v>
      </c>
    </row>
    <row r="577" spans="1:22" x14ac:dyDescent="0.25">
      <c r="A577" t="s">
        <v>2094</v>
      </c>
      <c r="B577" s="1">
        <v>43051</v>
      </c>
      <c r="C577" s="1">
        <v>43057</v>
      </c>
      <c r="D577" t="s">
        <v>23</v>
      </c>
      <c r="E577" t="s">
        <v>2095</v>
      </c>
      <c r="F577" t="s">
        <v>2096</v>
      </c>
      <c r="G577" t="s">
        <v>70</v>
      </c>
      <c r="H577" t="s">
        <v>27</v>
      </c>
      <c r="I577" t="s">
        <v>262</v>
      </c>
      <c r="J577" t="s">
        <v>61</v>
      </c>
      <c r="K577" t="s">
        <v>62</v>
      </c>
      <c r="L577" t="s">
        <v>1405</v>
      </c>
      <c r="M577" t="s">
        <v>32</v>
      </c>
      <c r="N577" t="s">
        <v>51</v>
      </c>
      <c r="O577" t="s">
        <v>1406</v>
      </c>
      <c r="P577">
        <v>44.783999999999999</v>
      </c>
      <c r="Q577">
        <v>2</v>
      </c>
      <c r="R577">
        <v>-0.55979999999999996</v>
      </c>
      <c r="S577" s="3" t="s">
        <v>107</v>
      </c>
      <c r="T577">
        <v>2017</v>
      </c>
      <c r="U577" t="s">
        <v>118</v>
      </c>
      <c r="V577" s="2">
        <v>-1.2500000000000001E-2</v>
      </c>
    </row>
    <row r="578" spans="1:22" x14ac:dyDescent="0.25">
      <c r="A578" t="s">
        <v>2099</v>
      </c>
      <c r="B578" s="1">
        <v>43003</v>
      </c>
      <c r="C578" s="1">
        <v>43005</v>
      </c>
      <c r="D578" t="s">
        <v>40</v>
      </c>
      <c r="E578" t="s">
        <v>469</v>
      </c>
      <c r="F578" t="s">
        <v>470</v>
      </c>
      <c r="G578" t="s">
        <v>26</v>
      </c>
      <c r="H578" t="s">
        <v>27</v>
      </c>
      <c r="I578" t="s">
        <v>1071</v>
      </c>
      <c r="J578" t="s">
        <v>177</v>
      </c>
      <c r="K578" t="s">
        <v>95</v>
      </c>
      <c r="L578" t="s">
        <v>330</v>
      </c>
      <c r="M578" t="s">
        <v>32</v>
      </c>
      <c r="N578" t="s">
        <v>51</v>
      </c>
      <c r="O578" t="s">
        <v>331</v>
      </c>
      <c r="P578">
        <v>119.96</v>
      </c>
      <c r="Q578">
        <v>5</v>
      </c>
      <c r="R578">
        <v>35.988</v>
      </c>
      <c r="S578" s="3" t="s">
        <v>65</v>
      </c>
      <c r="T578">
        <v>2017</v>
      </c>
      <c r="U578" t="s">
        <v>81</v>
      </c>
      <c r="V578" s="2">
        <v>0.3</v>
      </c>
    </row>
    <row r="579" spans="1:22" x14ac:dyDescent="0.25">
      <c r="A579" t="s">
        <v>2100</v>
      </c>
      <c r="B579" s="1">
        <v>42777</v>
      </c>
      <c r="C579" s="1">
        <v>42779</v>
      </c>
      <c r="D579" t="s">
        <v>40</v>
      </c>
      <c r="E579" t="s">
        <v>2101</v>
      </c>
      <c r="F579" t="s">
        <v>2102</v>
      </c>
      <c r="G579" t="s">
        <v>59</v>
      </c>
      <c r="H579" t="s">
        <v>27</v>
      </c>
      <c r="I579" t="s">
        <v>481</v>
      </c>
      <c r="J579" t="s">
        <v>426</v>
      </c>
      <c r="K579" t="s">
        <v>30</v>
      </c>
      <c r="L579" t="s">
        <v>831</v>
      </c>
      <c r="M579" t="s">
        <v>32</v>
      </c>
      <c r="N579" t="s">
        <v>33</v>
      </c>
      <c r="O579" t="s">
        <v>832</v>
      </c>
      <c r="P579">
        <v>88.775999999999996</v>
      </c>
      <c r="Q579">
        <v>3</v>
      </c>
      <c r="R579">
        <v>7.7679</v>
      </c>
      <c r="S579" s="3" t="s">
        <v>65</v>
      </c>
      <c r="T579">
        <v>2017</v>
      </c>
      <c r="U579" t="s">
        <v>180</v>
      </c>
      <c r="V579" s="2">
        <v>8.7499999999999994E-2</v>
      </c>
    </row>
    <row r="580" spans="1:22" x14ac:dyDescent="0.25">
      <c r="A580" t="s">
        <v>2103</v>
      </c>
      <c r="B580" s="1">
        <v>42353</v>
      </c>
      <c r="C580" s="1">
        <v>42356</v>
      </c>
      <c r="D580" t="s">
        <v>56</v>
      </c>
      <c r="E580" t="s">
        <v>2104</v>
      </c>
      <c r="F580" t="s">
        <v>2105</v>
      </c>
      <c r="G580" t="s">
        <v>26</v>
      </c>
      <c r="H580" t="s">
        <v>27</v>
      </c>
      <c r="I580" t="s">
        <v>1458</v>
      </c>
      <c r="J580" t="s">
        <v>177</v>
      </c>
      <c r="K580" t="s">
        <v>95</v>
      </c>
      <c r="L580" t="s">
        <v>841</v>
      </c>
      <c r="M580" t="s">
        <v>32</v>
      </c>
      <c r="N580" t="s">
        <v>51</v>
      </c>
      <c r="O580" t="s">
        <v>1306</v>
      </c>
      <c r="P580">
        <v>2025.36</v>
      </c>
      <c r="Q580">
        <v>6</v>
      </c>
      <c r="R580">
        <v>607.60799999999995</v>
      </c>
      <c r="S580" s="3" t="s">
        <v>172</v>
      </c>
      <c r="T580">
        <v>2015</v>
      </c>
      <c r="U580" t="s">
        <v>66</v>
      </c>
      <c r="V580" s="2">
        <v>0.3</v>
      </c>
    </row>
    <row r="581" spans="1:22" x14ac:dyDescent="0.25">
      <c r="A581" t="s">
        <v>2103</v>
      </c>
      <c r="B581" s="1">
        <v>42353</v>
      </c>
      <c r="C581" s="1">
        <v>42356</v>
      </c>
      <c r="D581" t="s">
        <v>56</v>
      </c>
      <c r="E581" t="s">
        <v>2104</v>
      </c>
      <c r="F581" t="s">
        <v>2105</v>
      </c>
      <c r="G581" t="s">
        <v>26</v>
      </c>
      <c r="H581" t="s">
        <v>27</v>
      </c>
      <c r="I581" t="s">
        <v>1458</v>
      </c>
      <c r="J581" t="s">
        <v>177</v>
      </c>
      <c r="K581" t="s">
        <v>95</v>
      </c>
      <c r="L581" t="s">
        <v>2106</v>
      </c>
      <c r="M581" t="s">
        <v>32</v>
      </c>
      <c r="N581" t="s">
        <v>215</v>
      </c>
      <c r="O581" t="s">
        <v>2107</v>
      </c>
      <c r="P581">
        <v>1799.9939999999999</v>
      </c>
      <c r="Q581">
        <v>2</v>
      </c>
      <c r="R581">
        <v>-2639.9911999999999</v>
      </c>
      <c r="S581" s="3" t="s">
        <v>172</v>
      </c>
      <c r="T581">
        <v>2015</v>
      </c>
      <c r="U581" t="s">
        <v>66</v>
      </c>
      <c r="V581" s="2">
        <v>-1.4666666666666699</v>
      </c>
    </row>
    <row r="582" spans="1:22" x14ac:dyDescent="0.25">
      <c r="A582" t="s">
        <v>2103</v>
      </c>
      <c r="B582" s="1">
        <v>42353</v>
      </c>
      <c r="C582" s="1">
        <v>42356</v>
      </c>
      <c r="D582" t="s">
        <v>56</v>
      </c>
      <c r="E582" t="s">
        <v>2104</v>
      </c>
      <c r="F582" t="s">
        <v>2105</v>
      </c>
      <c r="G582" t="s">
        <v>26</v>
      </c>
      <c r="H582" t="s">
        <v>27</v>
      </c>
      <c r="I582" t="s">
        <v>1458</v>
      </c>
      <c r="J582" t="s">
        <v>177</v>
      </c>
      <c r="K582" t="s">
        <v>95</v>
      </c>
      <c r="L582" t="s">
        <v>2097</v>
      </c>
      <c r="M582" t="s">
        <v>32</v>
      </c>
      <c r="N582" t="s">
        <v>33</v>
      </c>
      <c r="O582" t="s">
        <v>2098</v>
      </c>
      <c r="P582">
        <v>101.988</v>
      </c>
      <c r="Q582">
        <v>2</v>
      </c>
      <c r="R582">
        <v>-16.998000000000001</v>
      </c>
      <c r="S582" s="3" t="s">
        <v>172</v>
      </c>
      <c r="T582">
        <v>2015</v>
      </c>
      <c r="U582" t="s">
        <v>66</v>
      </c>
      <c r="V582" s="2">
        <v>-0.16666666666666699</v>
      </c>
    </row>
    <row r="583" spans="1:22" x14ac:dyDescent="0.25">
      <c r="A583" t="s">
        <v>2108</v>
      </c>
      <c r="B583" s="1">
        <v>42240</v>
      </c>
      <c r="C583" s="1">
        <v>42244</v>
      </c>
      <c r="D583" t="s">
        <v>23</v>
      </c>
      <c r="E583" t="s">
        <v>2109</v>
      </c>
      <c r="F583" t="s">
        <v>2110</v>
      </c>
      <c r="G583" t="s">
        <v>59</v>
      </c>
      <c r="H583" t="s">
        <v>27</v>
      </c>
      <c r="I583" t="s">
        <v>103</v>
      </c>
      <c r="J583" t="s">
        <v>104</v>
      </c>
      <c r="K583" t="s">
        <v>95</v>
      </c>
      <c r="L583" t="s">
        <v>263</v>
      </c>
      <c r="M583" t="s">
        <v>32</v>
      </c>
      <c r="N583" t="s">
        <v>51</v>
      </c>
      <c r="O583" t="s">
        <v>264</v>
      </c>
      <c r="P583">
        <v>26</v>
      </c>
      <c r="Q583">
        <v>2</v>
      </c>
      <c r="R583">
        <v>11.7</v>
      </c>
      <c r="S583" s="3" t="s">
        <v>53</v>
      </c>
      <c r="T583">
        <v>2015</v>
      </c>
      <c r="U583" t="s">
        <v>46</v>
      </c>
      <c r="V583" s="2">
        <v>0.45</v>
      </c>
    </row>
    <row r="584" spans="1:22" x14ac:dyDescent="0.25">
      <c r="A584" t="s">
        <v>2111</v>
      </c>
      <c r="B584" s="1">
        <v>42455</v>
      </c>
      <c r="C584" s="1">
        <v>42456</v>
      </c>
      <c r="D584" t="s">
        <v>56</v>
      </c>
      <c r="E584" t="s">
        <v>543</v>
      </c>
      <c r="F584" t="s">
        <v>544</v>
      </c>
      <c r="G584" t="s">
        <v>26</v>
      </c>
      <c r="H584" t="s">
        <v>27</v>
      </c>
      <c r="I584" t="s">
        <v>460</v>
      </c>
      <c r="J584" t="s">
        <v>154</v>
      </c>
      <c r="K584" t="s">
        <v>155</v>
      </c>
      <c r="L584" t="s">
        <v>1155</v>
      </c>
      <c r="M584" t="s">
        <v>32</v>
      </c>
      <c r="N584" t="s">
        <v>51</v>
      </c>
      <c r="O584" t="s">
        <v>1156</v>
      </c>
      <c r="P584">
        <v>119.976</v>
      </c>
      <c r="Q584">
        <v>3</v>
      </c>
      <c r="R584">
        <v>-17.996400000000001</v>
      </c>
      <c r="S584" s="3" t="s">
        <v>112</v>
      </c>
      <c r="T584">
        <v>2016</v>
      </c>
      <c r="U584" t="s">
        <v>89</v>
      </c>
      <c r="V584" s="2">
        <v>-0.15</v>
      </c>
    </row>
    <row r="585" spans="1:22" x14ac:dyDescent="0.25">
      <c r="A585" t="s">
        <v>2112</v>
      </c>
      <c r="B585" s="1">
        <v>41903</v>
      </c>
      <c r="C585" s="1">
        <v>41907</v>
      </c>
      <c r="D585" t="s">
        <v>23</v>
      </c>
      <c r="E585" t="s">
        <v>2113</v>
      </c>
      <c r="F585" t="s">
        <v>2114</v>
      </c>
      <c r="G585" t="s">
        <v>26</v>
      </c>
      <c r="H585" t="s">
        <v>27</v>
      </c>
      <c r="I585" t="s">
        <v>43</v>
      </c>
      <c r="J585" t="s">
        <v>29</v>
      </c>
      <c r="K585" t="s">
        <v>30</v>
      </c>
      <c r="L585" t="s">
        <v>2115</v>
      </c>
      <c r="M585" t="s">
        <v>32</v>
      </c>
      <c r="N585" t="s">
        <v>33</v>
      </c>
      <c r="O585" t="s">
        <v>2116</v>
      </c>
      <c r="P585">
        <v>239.98400000000001</v>
      </c>
      <c r="Q585">
        <v>2</v>
      </c>
      <c r="R585">
        <v>23.9984</v>
      </c>
      <c r="S585" s="3" t="s">
        <v>53</v>
      </c>
      <c r="T585">
        <v>2014</v>
      </c>
      <c r="U585" t="s">
        <v>81</v>
      </c>
      <c r="V585" s="2">
        <v>0.1</v>
      </c>
    </row>
    <row r="586" spans="1:22" x14ac:dyDescent="0.25">
      <c r="A586" t="s">
        <v>2117</v>
      </c>
      <c r="B586" s="1">
        <v>43001</v>
      </c>
      <c r="C586" s="1">
        <v>43007</v>
      </c>
      <c r="D586" t="s">
        <v>23</v>
      </c>
      <c r="E586" t="s">
        <v>1015</v>
      </c>
      <c r="F586" t="s">
        <v>1016</v>
      </c>
      <c r="G586" t="s">
        <v>26</v>
      </c>
      <c r="H586" t="s">
        <v>27</v>
      </c>
      <c r="I586" t="s">
        <v>2118</v>
      </c>
      <c r="J586" t="s">
        <v>147</v>
      </c>
      <c r="K586" t="s">
        <v>30</v>
      </c>
      <c r="L586" t="s">
        <v>1269</v>
      </c>
      <c r="M586" t="s">
        <v>32</v>
      </c>
      <c r="N586" t="s">
        <v>51</v>
      </c>
      <c r="O586" t="s">
        <v>1270</v>
      </c>
      <c r="P586">
        <v>47.984000000000002</v>
      </c>
      <c r="Q586">
        <v>2</v>
      </c>
      <c r="R586">
        <v>0.5998</v>
      </c>
      <c r="S586" s="3" t="s">
        <v>107</v>
      </c>
      <c r="T586">
        <v>2017</v>
      </c>
      <c r="U586" t="s">
        <v>81</v>
      </c>
      <c r="V586" s="2">
        <v>1.2500000000000001E-2</v>
      </c>
    </row>
    <row r="587" spans="1:22" x14ac:dyDescent="0.25">
      <c r="A587" t="s">
        <v>2119</v>
      </c>
      <c r="B587" s="1">
        <v>43048</v>
      </c>
      <c r="C587" s="1">
        <v>43051</v>
      </c>
      <c r="D587" t="s">
        <v>40</v>
      </c>
      <c r="E587" t="s">
        <v>870</v>
      </c>
      <c r="F587" t="s">
        <v>871</v>
      </c>
      <c r="G587" t="s">
        <v>59</v>
      </c>
      <c r="H587" t="s">
        <v>27</v>
      </c>
      <c r="I587" t="s">
        <v>1557</v>
      </c>
      <c r="J587" t="s">
        <v>1035</v>
      </c>
      <c r="K587" t="s">
        <v>95</v>
      </c>
      <c r="L587" t="s">
        <v>867</v>
      </c>
      <c r="M587" t="s">
        <v>32</v>
      </c>
      <c r="N587" t="s">
        <v>51</v>
      </c>
      <c r="O587" t="s">
        <v>868</v>
      </c>
      <c r="P587">
        <v>826.62</v>
      </c>
      <c r="Q587">
        <v>3</v>
      </c>
      <c r="R587">
        <v>355.44659999999999</v>
      </c>
      <c r="S587" s="3" t="s">
        <v>172</v>
      </c>
      <c r="T587">
        <v>2017</v>
      </c>
      <c r="U587" t="s">
        <v>118</v>
      </c>
      <c r="V587" s="2">
        <v>0.43</v>
      </c>
    </row>
    <row r="588" spans="1:22" x14ac:dyDescent="0.25">
      <c r="A588" t="s">
        <v>2120</v>
      </c>
      <c r="B588" s="1">
        <v>42806</v>
      </c>
      <c r="C588" s="1">
        <v>42811</v>
      </c>
      <c r="D588" t="s">
        <v>23</v>
      </c>
      <c r="E588" t="s">
        <v>2121</v>
      </c>
      <c r="F588" t="s">
        <v>2122</v>
      </c>
      <c r="G588" t="s">
        <v>59</v>
      </c>
      <c r="H588" t="s">
        <v>27</v>
      </c>
      <c r="I588" t="s">
        <v>2123</v>
      </c>
      <c r="J588" t="s">
        <v>1249</v>
      </c>
      <c r="K588" t="s">
        <v>95</v>
      </c>
      <c r="L588" t="s">
        <v>1030</v>
      </c>
      <c r="M588" t="s">
        <v>32</v>
      </c>
      <c r="N588" t="s">
        <v>33</v>
      </c>
      <c r="O588" t="s">
        <v>1031</v>
      </c>
      <c r="P588">
        <v>69.930000000000007</v>
      </c>
      <c r="Q588">
        <v>7</v>
      </c>
      <c r="R588">
        <v>32.1678</v>
      </c>
      <c r="S588" s="3" t="s">
        <v>35</v>
      </c>
      <c r="T588">
        <v>2017</v>
      </c>
      <c r="U588" t="s">
        <v>89</v>
      </c>
      <c r="V588" s="2">
        <v>0.46</v>
      </c>
    </row>
    <row r="589" spans="1:22" x14ac:dyDescent="0.25">
      <c r="A589" t="s">
        <v>2124</v>
      </c>
      <c r="B589" s="1">
        <v>43010</v>
      </c>
      <c r="C589" s="1">
        <v>43016</v>
      </c>
      <c r="D589" t="s">
        <v>23</v>
      </c>
      <c r="E589" t="s">
        <v>1555</v>
      </c>
      <c r="F589" t="s">
        <v>1556</v>
      </c>
      <c r="G589" t="s">
        <v>59</v>
      </c>
      <c r="H589" t="s">
        <v>27</v>
      </c>
      <c r="I589" t="s">
        <v>103</v>
      </c>
      <c r="J589" t="s">
        <v>104</v>
      </c>
      <c r="K589" t="s">
        <v>95</v>
      </c>
      <c r="L589" t="s">
        <v>966</v>
      </c>
      <c r="M589" t="s">
        <v>32</v>
      </c>
      <c r="N589" t="s">
        <v>33</v>
      </c>
      <c r="O589" t="s">
        <v>967</v>
      </c>
      <c r="P589">
        <v>65.989999999999995</v>
      </c>
      <c r="Q589">
        <v>1</v>
      </c>
      <c r="R589">
        <v>17.157399999999999</v>
      </c>
      <c r="S589" s="3" t="s">
        <v>107</v>
      </c>
      <c r="T589">
        <v>2017</v>
      </c>
      <c r="U589" t="s">
        <v>133</v>
      </c>
      <c r="V589" s="2">
        <v>0.26</v>
      </c>
    </row>
    <row r="590" spans="1:22" x14ac:dyDescent="0.25">
      <c r="A590" t="s">
        <v>2125</v>
      </c>
      <c r="B590" s="1">
        <v>42938</v>
      </c>
      <c r="C590" s="1">
        <v>42944</v>
      </c>
      <c r="D590" t="s">
        <v>23</v>
      </c>
      <c r="E590" t="s">
        <v>1318</v>
      </c>
      <c r="F590" t="s">
        <v>1319</v>
      </c>
      <c r="G590" t="s">
        <v>59</v>
      </c>
      <c r="H590" t="s">
        <v>27</v>
      </c>
      <c r="I590" t="s">
        <v>103</v>
      </c>
      <c r="J590" t="s">
        <v>104</v>
      </c>
      <c r="K590" t="s">
        <v>95</v>
      </c>
      <c r="L590" t="s">
        <v>386</v>
      </c>
      <c r="M590" t="s">
        <v>32</v>
      </c>
      <c r="N590" t="s">
        <v>33</v>
      </c>
      <c r="O590" t="s">
        <v>387</v>
      </c>
      <c r="P590">
        <v>29.97</v>
      </c>
      <c r="Q590">
        <v>3</v>
      </c>
      <c r="R590">
        <v>14.085900000000001</v>
      </c>
      <c r="S590" s="3" t="s">
        <v>107</v>
      </c>
      <c r="T590">
        <v>2017</v>
      </c>
      <c r="U590" t="s">
        <v>332</v>
      </c>
      <c r="V590" s="2">
        <v>0.47</v>
      </c>
    </row>
    <row r="591" spans="1:22" x14ac:dyDescent="0.25">
      <c r="A591" t="s">
        <v>2126</v>
      </c>
      <c r="B591" s="1">
        <v>41974</v>
      </c>
      <c r="C591" s="1">
        <v>41980</v>
      </c>
      <c r="D591" t="s">
        <v>23</v>
      </c>
      <c r="E591" t="s">
        <v>2127</v>
      </c>
      <c r="F591" t="s">
        <v>2128</v>
      </c>
      <c r="G591" t="s">
        <v>26</v>
      </c>
      <c r="H591" t="s">
        <v>27</v>
      </c>
      <c r="I591" t="s">
        <v>460</v>
      </c>
      <c r="J591" t="s">
        <v>154</v>
      </c>
      <c r="K591" t="s">
        <v>155</v>
      </c>
      <c r="L591" t="s">
        <v>2129</v>
      </c>
      <c r="M591" t="s">
        <v>32</v>
      </c>
      <c r="N591" t="s">
        <v>33</v>
      </c>
      <c r="O591" t="s">
        <v>2130</v>
      </c>
      <c r="P591">
        <v>95.968000000000004</v>
      </c>
      <c r="Q591">
        <v>4</v>
      </c>
      <c r="R591">
        <v>9.5968</v>
      </c>
      <c r="S591" s="3" t="s">
        <v>107</v>
      </c>
      <c r="T591">
        <v>2014</v>
      </c>
      <c r="U591" t="s">
        <v>66</v>
      </c>
      <c r="V591" s="2">
        <v>0.1</v>
      </c>
    </row>
    <row r="592" spans="1:22" x14ac:dyDescent="0.25">
      <c r="A592" t="s">
        <v>2131</v>
      </c>
      <c r="B592" s="1">
        <v>41953</v>
      </c>
      <c r="C592" s="1">
        <v>41959</v>
      </c>
      <c r="D592" t="s">
        <v>23</v>
      </c>
      <c r="E592" t="s">
        <v>1586</v>
      </c>
      <c r="F592" t="s">
        <v>1587</v>
      </c>
      <c r="G592" t="s">
        <v>26</v>
      </c>
      <c r="H592" t="s">
        <v>27</v>
      </c>
      <c r="I592" t="s">
        <v>300</v>
      </c>
      <c r="J592" t="s">
        <v>29</v>
      </c>
      <c r="K592" t="s">
        <v>30</v>
      </c>
      <c r="L592" t="s">
        <v>638</v>
      </c>
      <c r="M592" t="s">
        <v>32</v>
      </c>
      <c r="N592" t="s">
        <v>33</v>
      </c>
      <c r="O592" t="s">
        <v>639</v>
      </c>
      <c r="P592">
        <v>601.53599999999994</v>
      </c>
      <c r="Q592">
        <v>8</v>
      </c>
      <c r="R592">
        <v>60.153599999999997</v>
      </c>
      <c r="S592" s="3" t="s">
        <v>107</v>
      </c>
      <c r="T592">
        <v>2014</v>
      </c>
      <c r="U592" t="s">
        <v>118</v>
      </c>
      <c r="V592" s="2">
        <v>0.1</v>
      </c>
    </row>
    <row r="593" spans="1:22" x14ac:dyDescent="0.25">
      <c r="A593" t="s">
        <v>2131</v>
      </c>
      <c r="B593" s="1">
        <v>41953</v>
      </c>
      <c r="C593" s="1">
        <v>41959</v>
      </c>
      <c r="D593" t="s">
        <v>23</v>
      </c>
      <c r="E593" t="s">
        <v>1586</v>
      </c>
      <c r="F593" t="s">
        <v>1587</v>
      </c>
      <c r="G593" t="s">
        <v>26</v>
      </c>
      <c r="H593" t="s">
        <v>27</v>
      </c>
      <c r="I593" t="s">
        <v>300</v>
      </c>
      <c r="J593" t="s">
        <v>29</v>
      </c>
      <c r="K593" t="s">
        <v>30</v>
      </c>
      <c r="L593" t="s">
        <v>1105</v>
      </c>
      <c r="M593" t="s">
        <v>32</v>
      </c>
      <c r="N593" t="s">
        <v>51</v>
      </c>
      <c r="O593" t="s">
        <v>1106</v>
      </c>
      <c r="P593">
        <v>10.99</v>
      </c>
      <c r="Q593">
        <v>1</v>
      </c>
      <c r="R593">
        <v>4.2861000000000002</v>
      </c>
      <c r="S593" s="3" t="s">
        <v>107</v>
      </c>
      <c r="T593">
        <v>2014</v>
      </c>
      <c r="U593" t="s">
        <v>118</v>
      </c>
      <c r="V593" s="2">
        <v>0.39</v>
      </c>
    </row>
    <row r="594" spans="1:22" x14ac:dyDescent="0.25">
      <c r="A594" t="s">
        <v>2132</v>
      </c>
      <c r="B594" s="1">
        <v>42378</v>
      </c>
      <c r="C594" s="1">
        <v>42384</v>
      </c>
      <c r="D594" t="s">
        <v>23</v>
      </c>
      <c r="E594" t="s">
        <v>403</v>
      </c>
      <c r="F594" t="s">
        <v>404</v>
      </c>
      <c r="G594" t="s">
        <v>59</v>
      </c>
      <c r="H594" t="s">
        <v>27</v>
      </c>
      <c r="I594" t="s">
        <v>1725</v>
      </c>
      <c r="J594" t="s">
        <v>29</v>
      </c>
      <c r="K594" t="s">
        <v>30</v>
      </c>
      <c r="L594" t="s">
        <v>2133</v>
      </c>
      <c r="M594" t="s">
        <v>32</v>
      </c>
      <c r="N594" t="s">
        <v>51</v>
      </c>
      <c r="O594" t="s">
        <v>2134</v>
      </c>
      <c r="P594">
        <v>349.95</v>
      </c>
      <c r="Q594">
        <v>5</v>
      </c>
      <c r="R594">
        <v>118.983</v>
      </c>
      <c r="S594" s="3" t="s">
        <v>107</v>
      </c>
      <c r="T594">
        <v>2016</v>
      </c>
      <c r="U594" t="s">
        <v>54</v>
      </c>
      <c r="V594" s="2">
        <v>0.34</v>
      </c>
    </row>
    <row r="595" spans="1:22" x14ac:dyDescent="0.25">
      <c r="A595" t="s">
        <v>2132</v>
      </c>
      <c r="B595" s="1">
        <v>42378</v>
      </c>
      <c r="C595" s="1">
        <v>42384</v>
      </c>
      <c r="D595" t="s">
        <v>23</v>
      </c>
      <c r="E595" t="s">
        <v>403</v>
      </c>
      <c r="F595" t="s">
        <v>404</v>
      </c>
      <c r="G595" t="s">
        <v>59</v>
      </c>
      <c r="H595" t="s">
        <v>27</v>
      </c>
      <c r="I595" t="s">
        <v>1725</v>
      </c>
      <c r="J595" t="s">
        <v>29</v>
      </c>
      <c r="K595" t="s">
        <v>30</v>
      </c>
      <c r="L595" t="s">
        <v>124</v>
      </c>
      <c r="M595" t="s">
        <v>32</v>
      </c>
      <c r="N595" t="s">
        <v>33</v>
      </c>
      <c r="O595" t="s">
        <v>125</v>
      </c>
      <c r="P595">
        <v>377.928</v>
      </c>
      <c r="Q595">
        <v>9</v>
      </c>
      <c r="R595">
        <v>141.72300000000001</v>
      </c>
      <c r="S595" s="3" t="s">
        <v>107</v>
      </c>
      <c r="T595">
        <v>2016</v>
      </c>
      <c r="U595" t="s">
        <v>54</v>
      </c>
      <c r="V595" s="2">
        <v>0.375</v>
      </c>
    </row>
    <row r="596" spans="1:22" x14ac:dyDescent="0.25">
      <c r="A596" t="s">
        <v>2135</v>
      </c>
      <c r="B596" s="1">
        <v>41772</v>
      </c>
      <c r="C596" s="1">
        <v>41776</v>
      </c>
      <c r="D596" t="s">
        <v>23</v>
      </c>
      <c r="E596" t="s">
        <v>690</v>
      </c>
      <c r="F596" t="s">
        <v>691</v>
      </c>
      <c r="G596" t="s">
        <v>26</v>
      </c>
      <c r="H596" t="s">
        <v>27</v>
      </c>
      <c r="I596" t="s">
        <v>983</v>
      </c>
      <c r="J596" t="s">
        <v>29</v>
      </c>
      <c r="K596" t="s">
        <v>30</v>
      </c>
      <c r="L596" t="s">
        <v>1573</v>
      </c>
      <c r="M596" t="s">
        <v>32</v>
      </c>
      <c r="N596" t="s">
        <v>51</v>
      </c>
      <c r="O596" t="s">
        <v>1574</v>
      </c>
      <c r="P596">
        <v>149.97</v>
      </c>
      <c r="Q596">
        <v>3</v>
      </c>
      <c r="R596">
        <v>52.4895</v>
      </c>
      <c r="S596" s="3" t="s">
        <v>53</v>
      </c>
      <c r="T596">
        <v>2014</v>
      </c>
      <c r="U596" t="s">
        <v>527</v>
      </c>
      <c r="V596" s="2">
        <v>0.35</v>
      </c>
    </row>
    <row r="597" spans="1:22" x14ac:dyDescent="0.25">
      <c r="A597" t="s">
        <v>2136</v>
      </c>
      <c r="B597" s="1">
        <v>43049</v>
      </c>
      <c r="C597" s="1">
        <v>43055</v>
      </c>
      <c r="D597" t="s">
        <v>23</v>
      </c>
      <c r="E597" t="s">
        <v>1477</v>
      </c>
      <c r="F597" t="s">
        <v>1478</v>
      </c>
      <c r="G597" t="s">
        <v>59</v>
      </c>
      <c r="H597" t="s">
        <v>27</v>
      </c>
      <c r="I597" t="s">
        <v>103</v>
      </c>
      <c r="J597" t="s">
        <v>104</v>
      </c>
      <c r="K597" t="s">
        <v>95</v>
      </c>
      <c r="L597" t="s">
        <v>1060</v>
      </c>
      <c r="M597" t="s">
        <v>32</v>
      </c>
      <c r="N597" t="s">
        <v>33</v>
      </c>
      <c r="O597" t="s">
        <v>2090</v>
      </c>
      <c r="P597">
        <v>430.88</v>
      </c>
      <c r="Q597">
        <v>2</v>
      </c>
      <c r="R597">
        <v>124.9552</v>
      </c>
      <c r="S597" s="3" t="s">
        <v>107</v>
      </c>
      <c r="T597">
        <v>2017</v>
      </c>
      <c r="U597" t="s">
        <v>118</v>
      </c>
      <c r="V597" s="2">
        <v>0.28999999999999998</v>
      </c>
    </row>
    <row r="598" spans="1:22" x14ac:dyDescent="0.25">
      <c r="A598" t="s">
        <v>2137</v>
      </c>
      <c r="B598" s="1">
        <v>42279</v>
      </c>
      <c r="C598" s="1">
        <v>42285</v>
      </c>
      <c r="D598" t="s">
        <v>23</v>
      </c>
      <c r="E598" t="s">
        <v>2138</v>
      </c>
      <c r="F598" t="s">
        <v>2139</v>
      </c>
      <c r="G598" t="s">
        <v>59</v>
      </c>
      <c r="H598" t="s">
        <v>27</v>
      </c>
      <c r="I598" t="s">
        <v>1040</v>
      </c>
      <c r="J598" t="s">
        <v>794</v>
      </c>
      <c r="K598" t="s">
        <v>95</v>
      </c>
      <c r="L598" t="s">
        <v>359</v>
      </c>
      <c r="M598" t="s">
        <v>32</v>
      </c>
      <c r="N598" t="s">
        <v>51</v>
      </c>
      <c r="O598" t="s">
        <v>360</v>
      </c>
      <c r="P598">
        <v>90</v>
      </c>
      <c r="Q598">
        <v>1</v>
      </c>
      <c r="R598">
        <v>32.4</v>
      </c>
      <c r="S598" s="3" t="s">
        <v>107</v>
      </c>
      <c r="T598">
        <v>2015</v>
      </c>
      <c r="U598" t="s">
        <v>133</v>
      </c>
      <c r="V598" s="2">
        <v>0.36</v>
      </c>
    </row>
    <row r="599" spans="1:22" x14ac:dyDescent="0.25">
      <c r="A599" t="s">
        <v>2140</v>
      </c>
      <c r="B599" s="1">
        <v>41914</v>
      </c>
      <c r="C599" s="1">
        <v>41917</v>
      </c>
      <c r="D599" t="s">
        <v>56</v>
      </c>
      <c r="E599" t="s">
        <v>565</v>
      </c>
      <c r="F599" t="s">
        <v>566</v>
      </c>
      <c r="G599" t="s">
        <v>59</v>
      </c>
      <c r="H599" t="s">
        <v>27</v>
      </c>
      <c r="I599" t="s">
        <v>2141</v>
      </c>
      <c r="J599" t="s">
        <v>123</v>
      </c>
      <c r="K599" t="s">
        <v>30</v>
      </c>
      <c r="L599" t="s">
        <v>334</v>
      </c>
      <c r="M599" t="s">
        <v>32</v>
      </c>
      <c r="N599" t="s">
        <v>33</v>
      </c>
      <c r="O599" t="s">
        <v>335</v>
      </c>
      <c r="P599">
        <v>318.39999999999998</v>
      </c>
      <c r="Q599">
        <v>2</v>
      </c>
      <c r="R599">
        <v>107.46</v>
      </c>
      <c r="S599" s="3" t="s">
        <v>172</v>
      </c>
      <c r="T599">
        <v>2014</v>
      </c>
      <c r="U599" t="s">
        <v>133</v>
      </c>
      <c r="V599" s="2">
        <v>0.33750000000000002</v>
      </c>
    </row>
    <row r="600" spans="1:22" x14ac:dyDescent="0.25">
      <c r="A600" t="s">
        <v>2140</v>
      </c>
      <c r="B600" s="1">
        <v>41914</v>
      </c>
      <c r="C600" s="1">
        <v>41917</v>
      </c>
      <c r="D600" t="s">
        <v>56</v>
      </c>
      <c r="E600" t="s">
        <v>565</v>
      </c>
      <c r="F600" t="s">
        <v>566</v>
      </c>
      <c r="G600" t="s">
        <v>59</v>
      </c>
      <c r="H600" t="s">
        <v>27</v>
      </c>
      <c r="I600" t="s">
        <v>2141</v>
      </c>
      <c r="J600" t="s">
        <v>123</v>
      </c>
      <c r="K600" t="s">
        <v>30</v>
      </c>
      <c r="L600" t="s">
        <v>805</v>
      </c>
      <c r="M600" t="s">
        <v>32</v>
      </c>
      <c r="N600" t="s">
        <v>33</v>
      </c>
      <c r="O600" t="s">
        <v>806</v>
      </c>
      <c r="P600">
        <v>230.376</v>
      </c>
      <c r="Q600">
        <v>3</v>
      </c>
      <c r="R600">
        <v>20.157900000000001</v>
      </c>
      <c r="S600" s="3" t="s">
        <v>172</v>
      </c>
      <c r="T600">
        <v>2014</v>
      </c>
      <c r="U600" t="s">
        <v>133</v>
      </c>
      <c r="V600" s="2">
        <v>8.7499999999999994E-2</v>
      </c>
    </row>
    <row r="601" spans="1:22" x14ac:dyDescent="0.25">
      <c r="A601" t="s">
        <v>2140</v>
      </c>
      <c r="B601" s="1">
        <v>41914</v>
      </c>
      <c r="C601" s="1">
        <v>41917</v>
      </c>
      <c r="D601" t="s">
        <v>56</v>
      </c>
      <c r="E601" t="s">
        <v>565</v>
      </c>
      <c r="F601" t="s">
        <v>566</v>
      </c>
      <c r="G601" t="s">
        <v>59</v>
      </c>
      <c r="H601" t="s">
        <v>27</v>
      </c>
      <c r="I601" t="s">
        <v>2141</v>
      </c>
      <c r="J601" t="s">
        <v>123</v>
      </c>
      <c r="K601" t="s">
        <v>30</v>
      </c>
      <c r="L601" t="s">
        <v>1264</v>
      </c>
      <c r="M601" t="s">
        <v>32</v>
      </c>
      <c r="N601" t="s">
        <v>51</v>
      </c>
      <c r="O601" t="s">
        <v>1265</v>
      </c>
      <c r="P601">
        <v>7.16</v>
      </c>
      <c r="Q601">
        <v>1</v>
      </c>
      <c r="R601">
        <v>-8.9499999999999996E-2</v>
      </c>
      <c r="S601" s="3" t="s">
        <v>172</v>
      </c>
      <c r="T601">
        <v>2014</v>
      </c>
      <c r="U601" t="s">
        <v>133</v>
      </c>
      <c r="V601" s="2">
        <v>-1.2500000000000001E-2</v>
      </c>
    </row>
    <row r="602" spans="1:22" x14ac:dyDescent="0.25">
      <c r="A602" t="s">
        <v>2142</v>
      </c>
      <c r="B602" s="1">
        <v>42694</v>
      </c>
      <c r="C602" s="1">
        <v>42701</v>
      </c>
      <c r="D602" t="s">
        <v>23</v>
      </c>
      <c r="E602" t="s">
        <v>2143</v>
      </c>
      <c r="F602" t="s">
        <v>2144</v>
      </c>
      <c r="G602" t="s">
        <v>59</v>
      </c>
      <c r="H602" t="s">
        <v>27</v>
      </c>
      <c r="I602" t="s">
        <v>71</v>
      </c>
      <c r="J602" t="s">
        <v>61</v>
      </c>
      <c r="K602" t="s">
        <v>62</v>
      </c>
      <c r="L602" t="s">
        <v>2145</v>
      </c>
      <c r="M602" t="s">
        <v>32</v>
      </c>
      <c r="N602" t="s">
        <v>33</v>
      </c>
      <c r="O602" t="s">
        <v>2146</v>
      </c>
      <c r="P602">
        <v>122.92</v>
      </c>
      <c r="Q602">
        <v>7</v>
      </c>
      <c r="R602">
        <v>46.094999999999999</v>
      </c>
      <c r="S602" s="3" t="s">
        <v>132</v>
      </c>
      <c r="T602">
        <v>2016</v>
      </c>
      <c r="U602" t="s">
        <v>118</v>
      </c>
      <c r="V602" s="2">
        <v>0.375</v>
      </c>
    </row>
    <row r="603" spans="1:22" x14ac:dyDescent="0.25">
      <c r="A603" t="s">
        <v>2147</v>
      </c>
      <c r="B603" s="1">
        <v>43070</v>
      </c>
      <c r="C603" s="1">
        <v>43074</v>
      </c>
      <c r="D603" t="s">
        <v>23</v>
      </c>
      <c r="E603" t="s">
        <v>2148</v>
      </c>
      <c r="F603" t="s">
        <v>2149</v>
      </c>
      <c r="G603" t="s">
        <v>26</v>
      </c>
      <c r="H603" t="s">
        <v>27</v>
      </c>
      <c r="I603" t="s">
        <v>2150</v>
      </c>
      <c r="J603" t="s">
        <v>61</v>
      </c>
      <c r="K603" t="s">
        <v>62</v>
      </c>
      <c r="L603" t="s">
        <v>2151</v>
      </c>
      <c r="M603" t="s">
        <v>32</v>
      </c>
      <c r="N603" t="s">
        <v>33</v>
      </c>
      <c r="O603" t="s">
        <v>2152</v>
      </c>
      <c r="P603">
        <v>219.8</v>
      </c>
      <c r="Q603">
        <v>5</v>
      </c>
      <c r="R603">
        <v>24.727499999999999</v>
      </c>
      <c r="S603" s="3" t="s">
        <v>53</v>
      </c>
      <c r="T603">
        <v>2017</v>
      </c>
      <c r="U603" t="s">
        <v>66</v>
      </c>
      <c r="V603" s="2">
        <v>0.1125</v>
      </c>
    </row>
    <row r="604" spans="1:22" x14ac:dyDescent="0.25">
      <c r="A604" t="s">
        <v>2153</v>
      </c>
      <c r="B604" s="1">
        <v>43079</v>
      </c>
      <c r="C604" s="1">
        <v>43081</v>
      </c>
      <c r="D604" t="s">
        <v>40</v>
      </c>
      <c r="E604" t="s">
        <v>2154</v>
      </c>
      <c r="F604" t="s">
        <v>2155</v>
      </c>
      <c r="G604" t="s">
        <v>59</v>
      </c>
      <c r="H604" t="s">
        <v>27</v>
      </c>
      <c r="I604" t="s">
        <v>481</v>
      </c>
      <c r="J604" t="s">
        <v>426</v>
      </c>
      <c r="K604" t="s">
        <v>30</v>
      </c>
      <c r="L604" t="s">
        <v>1161</v>
      </c>
      <c r="M604" t="s">
        <v>32</v>
      </c>
      <c r="N604" t="s">
        <v>51</v>
      </c>
      <c r="O604" t="s">
        <v>1162</v>
      </c>
      <c r="P604">
        <v>49.08</v>
      </c>
      <c r="Q604">
        <v>3</v>
      </c>
      <c r="R604">
        <v>4.9080000000000004</v>
      </c>
      <c r="S604" s="3" t="s">
        <v>65</v>
      </c>
      <c r="T604">
        <v>2017</v>
      </c>
      <c r="U604" t="s">
        <v>66</v>
      </c>
      <c r="V604" s="2">
        <v>0.1</v>
      </c>
    </row>
    <row r="605" spans="1:22" x14ac:dyDescent="0.25">
      <c r="A605" t="s">
        <v>2156</v>
      </c>
      <c r="B605" s="1">
        <v>42630</v>
      </c>
      <c r="C605" s="1">
        <v>42634</v>
      </c>
      <c r="D605" t="s">
        <v>23</v>
      </c>
      <c r="E605" t="s">
        <v>2157</v>
      </c>
      <c r="F605" t="s">
        <v>2158</v>
      </c>
      <c r="G605" t="s">
        <v>70</v>
      </c>
      <c r="H605" t="s">
        <v>27</v>
      </c>
      <c r="I605" t="s">
        <v>481</v>
      </c>
      <c r="J605" t="s">
        <v>426</v>
      </c>
      <c r="K605" t="s">
        <v>30</v>
      </c>
      <c r="L605" t="s">
        <v>807</v>
      </c>
      <c r="M605" t="s">
        <v>32</v>
      </c>
      <c r="N605" t="s">
        <v>33</v>
      </c>
      <c r="O605" t="s">
        <v>808</v>
      </c>
      <c r="P605">
        <v>105.584</v>
      </c>
      <c r="Q605">
        <v>2</v>
      </c>
      <c r="R605">
        <v>7.9188000000000001</v>
      </c>
      <c r="S605" s="3" t="s">
        <v>53</v>
      </c>
      <c r="T605">
        <v>2016</v>
      </c>
      <c r="U605" t="s">
        <v>81</v>
      </c>
      <c r="V605" s="2">
        <v>7.4999999999999997E-2</v>
      </c>
    </row>
    <row r="606" spans="1:22" x14ac:dyDescent="0.25">
      <c r="A606" t="s">
        <v>2159</v>
      </c>
      <c r="B606" s="1">
        <v>43035</v>
      </c>
      <c r="C606" s="1">
        <v>43038</v>
      </c>
      <c r="D606" t="s">
        <v>40</v>
      </c>
      <c r="E606" t="s">
        <v>2160</v>
      </c>
      <c r="F606" t="s">
        <v>2161</v>
      </c>
      <c r="G606" t="s">
        <v>70</v>
      </c>
      <c r="H606" t="s">
        <v>27</v>
      </c>
      <c r="I606" t="s">
        <v>140</v>
      </c>
      <c r="J606" t="s">
        <v>78</v>
      </c>
      <c r="K606" t="s">
        <v>62</v>
      </c>
      <c r="L606" t="s">
        <v>1610</v>
      </c>
      <c r="M606" t="s">
        <v>32</v>
      </c>
      <c r="N606" t="s">
        <v>33</v>
      </c>
      <c r="O606" t="s">
        <v>1611</v>
      </c>
      <c r="P606">
        <v>27.184000000000001</v>
      </c>
      <c r="Q606">
        <v>2</v>
      </c>
      <c r="R606">
        <v>2.0388000000000002</v>
      </c>
      <c r="S606" s="3" t="s">
        <v>172</v>
      </c>
      <c r="T606">
        <v>2017</v>
      </c>
      <c r="U606" t="s">
        <v>133</v>
      </c>
      <c r="V606" s="2">
        <v>7.4999999999999997E-2</v>
      </c>
    </row>
    <row r="607" spans="1:22" x14ac:dyDescent="0.25">
      <c r="A607" t="s">
        <v>2162</v>
      </c>
      <c r="B607" s="1">
        <v>42559</v>
      </c>
      <c r="C607" s="1">
        <v>42565</v>
      </c>
      <c r="D607" t="s">
        <v>23</v>
      </c>
      <c r="E607" t="s">
        <v>1095</v>
      </c>
      <c r="F607" t="s">
        <v>1096</v>
      </c>
      <c r="G607" t="s">
        <v>26</v>
      </c>
      <c r="H607" t="s">
        <v>27</v>
      </c>
      <c r="I607" t="s">
        <v>481</v>
      </c>
      <c r="J607" t="s">
        <v>426</v>
      </c>
      <c r="K607" t="s">
        <v>30</v>
      </c>
      <c r="L607" t="s">
        <v>304</v>
      </c>
      <c r="M607" t="s">
        <v>32</v>
      </c>
      <c r="N607" t="s">
        <v>33</v>
      </c>
      <c r="O607" t="s">
        <v>305</v>
      </c>
      <c r="P607">
        <v>107.98399999999999</v>
      </c>
      <c r="Q607">
        <v>1</v>
      </c>
      <c r="R607">
        <v>9.4486000000000008</v>
      </c>
      <c r="S607" s="3" t="s">
        <v>107</v>
      </c>
      <c r="T607">
        <v>2016</v>
      </c>
      <c r="U607" t="s">
        <v>332</v>
      </c>
      <c r="V607" s="2">
        <v>8.7499999999999994E-2</v>
      </c>
    </row>
    <row r="608" spans="1:22" x14ac:dyDescent="0.25">
      <c r="A608" t="s">
        <v>2163</v>
      </c>
      <c r="B608" s="1">
        <v>41960</v>
      </c>
      <c r="C608" s="1">
        <v>41962</v>
      </c>
      <c r="D608" t="s">
        <v>56</v>
      </c>
      <c r="E608" t="s">
        <v>2164</v>
      </c>
      <c r="F608" t="s">
        <v>2165</v>
      </c>
      <c r="G608" t="s">
        <v>59</v>
      </c>
      <c r="H608" t="s">
        <v>27</v>
      </c>
      <c r="I608" t="s">
        <v>43</v>
      </c>
      <c r="J608" t="s">
        <v>29</v>
      </c>
      <c r="K608" t="s">
        <v>30</v>
      </c>
      <c r="L608" t="s">
        <v>1155</v>
      </c>
      <c r="M608" t="s">
        <v>32</v>
      </c>
      <c r="N608" t="s">
        <v>51</v>
      </c>
      <c r="O608" t="s">
        <v>1156</v>
      </c>
      <c r="P608">
        <v>99.98</v>
      </c>
      <c r="Q608">
        <v>2</v>
      </c>
      <c r="R608">
        <v>7.9984000000000002</v>
      </c>
      <c r="S608" s="3" t="s">
        <v>65</v>
      </c>
      <c r="T608">
        <v>2014</v>
      </c>
      <c r="U608" t="s">
        <v>118</v>
      </c>
      <c r="V608" s="2">
        <v>0.08</v>
      </c>
    </row>
    <row r="609" spans="1:22" x14ac:dyDescent="0.25">
      <c r="A609" t="s">
        <v>2166</v>
      </c>
      <c r="B609" s="1">
        <v>41781</v>
      </c>
      <c r="C609" s="1">
        <v>41788</v>
      </c>
      <c r="D609" t="s">
        <v>23</v>
      </c>
      <c r="E609" t="s">
        <v>2167</v>
      </c>
      <c r="F609" t="s">
        <v>2168</v>
      </c>
      <c r="G609" t="s">
        <v>26</v>
      </c>
      <c r="H609" t="s">
        <v>27</v>
      </c>
      <c r="I609" t="s">
        <v>222</v>
      </c>
      <c r="J609" t="s">
        <v>555</v>
      </c>
      <c r="K609" t="s">
        <v>155</v>
      </c>
      <c r="L609" t="s">
        <v>852</v>
      </c>
      <c r="M609" t="s">
        <v>32</v>
      </c>
      <c r="N609" t="s">
        <v>33</v>
      </c>
      <c r="O609" t="s">
        <v>853</v>
      </c>
      <c r="P609">
        <v>135.97999999999999</v>
      </c>
      <c r="Q609">
        <v>2</v>
      </c>
      <c r="R609">
        <v>33.994999999999997</v>
      </c>
      <c r="S609" s="3" t="s">
        <v>132</v>
      </c>
      <c r="T609">
        <v>2014</v>
      </c>
      <c r="U609" t="s">
        <v>527</v>
      </c>
      <c r="V609" s="2">
        <v>0.25</v>
      </c>
    </row>
    <row r="610" spans="1:22" x14ac:dyDescent="0.25">
      <c r="A610" t="s">
        <v>2166</v>
      </c>
      <c r="B610" s="1">
        <v>41781</v>
      </c>
      <c r="C610" s="1">
        <v>41788</v>
      </c>
      <c r="D610" t="s">
        <v>23</v>
      </c>
      <c r="E610" t="s">
        <v>2167</v>
      </c>
      <c r="F610" t="s">
        <v>2168</v>
      </c>
      <c r="G610" t="s">
        <v>26</v>
      </c>
      <c r="H610" t="s">
        <v>27</v>
      </c>
      <c r="I610" t="s">
        <v>222</v>
      </c>
      <c r="J610" t="s">
        <v>555</v>
      </c>
      <c r="K610" t="s">
        <v>155</v>
      </c>
      <c r="L610" t="s">
        <v>2169</v>
      </c>
      <c r="M610" t="s">
        <v>32</v>
      </c>
      <c r="N610" t="s">
        <v>33</v>
      </c>
      <c r="O610" t="s">
        <v>2170</v>
      </c>
      <c r="P610">
        <v>44.95</v>
      </c>
      <c r="Q610">
        <v>1</v>
      </c>
      <c r="R610">
        <v>12.586</v>
      </c>
      <c r="S610" s="3" t="s">
        <v>132</v>
      </c>
      <c r="T610">
        <v>2014</v>
      </c>
      <c r="U610" t="s">
        <v>527</v>
      </c>
      <c r="V610" s="2">
        <v>0.28000000000000003</v>
      </c>
    </row>
    <row r="611" spans="1:22" x14ac:dyDescent="0.25">
      <c r="A611" t="s">
        <v>2171</v>
      </c>
      <c r="B611" s="1">
        <v>41835</v>
      </c>
      <c r="C611" s="1">
        <v>41839</v>
      </c>
      <c r="D611" t="s">
        <v>23</v>
      </c>
      <c r="E611" t="s">
        <v>266</v>
      </c>
      <c r="F611" t="s">
        <v>267</v>
      </c>
      <c r="G611" t="s">
        <v>59</v>
      </c>
      <c r="H611" t="s">
        <v>27</v>
      </c>
      <c r="I611" t="s">
        <v>1700</v>
      </c>
      <c r="J611" t="s">
        <v>1701</v>
      </c>
      <c r="K611" t="s">
        <v>62</v>
      </c>
      <c r="L611" t="s">
        <v>1956</v>
      </c>
      <c r="M611" t="s">
        <v>32</v>
      </c>
      <c r="N611" t="s">
        <v>51</v>
      </c>
      <c r="O611" t="s">
        <v>1957</v>
      </c>
      <c r="P611">
        <v>2.97</v>
      </c>
      <c r="Q611">
        <v>3</v>
      </c>
      <c r="R611">
        <v>1.3068</v>
      </c>
      <c r="S611" s="3" t="s">
        <v>53</v>
      </c>
      <c r="T611">
        <v>2014</v>
      </c>
      <c r="U611" t="s">
        <v>332</v>
      </c>
      <c r="V611" s="2">
        <v>0.44</v>
      </c>
    </row>
    <row r="612" spans="1:22" x14ac:dyDescent="0.25">
      <c r="A612" t="s">
        <v>2172</v>
      </c>
      <c r="B612" s="1">
        <v>42365</v>
      </c>
      <c r="C612" s="1">
        <v>42367</v>
      </c>
      <c r="D612" t="s">
        <v>40</v>
      </c>
      <c r="E612" t="s">
        <v>1977</v>
      </c>
      <c r="F612" t="s">
        <v>1978</v>
      </c>
      <c r="G612" t="s">
        <v>59</v>
      </c>
      <c r="H612" t="s">
        <v>27</v>
      </c>
      <c r="I612" t="s">
        <v>2173</v>
      </c>
      <c r="J612" t="s">
        <v>29</v>
      </c>
      <c r="K612" t="s">
        <v>30</v>
      </c>
      <c r="L612" t="s">
        <v>1956</v>
      </c>
      <c r="M612" t="s">
        <v>32</v>
      </c>
      <c r="N612" t="s">
        <v>51</v>
      </c>
      <c r="O612" t="s">
        <v>1957</v>
      </c>
      <c r="P612">
        <v>7.92</v>
      </c>
      <c r="Q612">
        <v>8</v>
      </c>
      <c r="R612">
        <v>3.4847999999999999</v>
      </c>
      <c r="S612" s="3" t="s">
        <v>65</v>
      </c>
      <c r="T612">
        <v>2015</v>
      </c>
      <c r="U612" t="s">
        <v>66</v>
      </c>
      <c r="V612" s="2">
        <v>0.44</v>
      </c>
    </row>
    <row r="613" spans="1:22" x14ac:dyDescent="0.25">
      <c r="A613" t="s">
        <v>2174</v>
      </c>
      <c r="B613" s="1">
        <v>42863</v>
      </c>
      <c r="C613" s="1">
        <v>42867</v>
      </c>
      <c r="D613" t="s">
        <v>23</v>
      </c>
      <c r="E613" t="s">
        <v>2175</v>
      </c>
      <c r="F613" t="s">
        <v>2176</v>
      </c>
      <c r="G613" t="s">
        <v>70</v>
      </c>
      <c r="H613" t="s">
        <v>27</v>
      </c>
      <c r="I613" t="s">
        <v>28</v>
      </c>
      <c r="J613" t="s">
        <v>29</v>
      </c>
      <c r="K613" t="s">
        <v>30</v>
      </c>
      <c r="L613" t="s">
        <v>1072</v>
      </c>
      <c r="M613" t="s">
        <v>32</v>
      </c>
      <c r="N613" t="s">
        <v>381</v>
      </c>
      <c r="O613" t="s">
        <v>1073</v>
      </c>
      <c r="P613">
        <v>3359.9520000000002</v>
      </c>
      <c r="Q613">
        <v>6</v>
      </c>
      <c r="R613">
        <v>1049.9849999999999</v>
      </c>
      <c r="S613" s="3" t="s">
        <v>53</v>
      </c>
      <c r="T613">
        <v>2017</v>
      </c>
      <c r="U613" t="s">
        <v>527</v>
      </c>
      <c r="V613" s="2">
        <v>0.3125</v>
      </c>
    </row>
    <row r="614" spans="1:22" x14ac:dyDescent="0.25">
      <c r="A614" t="s">
        <v>2177</v>
      </c>
      <c r="B614" s="1">
        <v>41734</v>
      </c>
      <c r="C614" s="1">
        <v>41738</v>
      </c>
      <c r="D614" t="s">
        <v>40</v>
      </c>
      <c r="E614" t="s">
        <v>2178</v>
      </c>
      <c r="F614" t="s">
        <v>2179</v>
      </c>
      <c r="G614" t="s">
        <v>59</v>
      </c>
      <c r="H614" t="s">
        <v>27</v>
      </c>
      <c r="I614" t="s">
        <v>1845</v>
      </c>
      <c r="J614" t="s">
        <v>693</v>
      </c>
      <c r="K614" t="s">
        <v>155</v>
      </c>
      <c r="L614" t="s">
        <v>1399</v>
      </c>
      <c r="M614" t="s">
        <v>32</v>
      </c>
      <c r="N614" t="s">
        <v>33</v>
      </c>
      <c r="O614" t="s">
        <v>1400</v>
      </c>
      <c r="P614">
        <v>28.99</v>
      </c>
      <c r="Q614">
        <v>1</v>
      </c>
      <c r="R614">
        <v>8.4070999999999998</v>
      </c>
      <c r="S614" s="3" t="s">
        <v>53</v>
      </c>
      <c r="T614">
        <v>2014</v>
      </c>
      <c r="U614" t="s">
        <v>291</v>
      </c>
      <c r="V614" s="2">
        <v>0.28999999999999998</v>
      </c>
    </row>
    <row r="615" spans="1:22" x14ac:dyDescent="0.25">
      <c r="A615" t="s">
        <v>2180</v>
      </c>
      <c r="B615" s="1">
        <v>41899</v>
      </c>
      <c r="C615" s="1">
        <v>41906</v>
      </c>
      <c r="D615" t="s">
        <v>23</v>
      </c>
      <c r="E615" t="s">
        <v>2181</v>
      </c>
      <c r="F615" t="s">
        <v>2182</v>
      </c>
      <c r="G615" t="s">
        <v>26</v>
      </c>
      <c r="H615" t="s">
        <v>27</v>
      </c>
      <c r="I615" t="s">
        <v>1425</v>
      </c>
      <c r="J615" t="s">
        <v>154</v>
      </c>
      <c r="K615" t="s">
        <v>155</v>
      </c>
      <c r="L615" t="s">
        <v>1233</v>
      </c>
      <c r="M615" t="s">
        <v>32</v>
      </c>
      <c r="N615" t="s">
        <v>51</v>
      </c>
      <c r="O615" t="s">
        <v>1234</v>
      </c>
      <c r="P615">
        <v>47.984000000000002</v>
      </c>
      <c r="Q615">
        <v>2</v>
      </c>
      <c r="R615">
        <v>13.195600000000001</v>
      </c>
      <c r="S615" s="3" t="s">
        <v>132</v>
      </c>
      <c r="T615">
        <v>2014</v>
      </c>
      <c r="U615" t="s">
        <v>81</v>
      </c>
      <c r="V615" s="2">
        <v>0.27500000000000002</v>
      </c>
    </row>
    <row r="616" spans="1:22" x14ac:dyDescent="0.25">
      <c r="A616" t="s">
        <v>2183</v>
      </c>
      <c r="B616" s="1">
        <v>42351</v>
      </c>
      <c r="C616" s="1">
        <v>42353</v>
      </c>
      <c r="D616" t="s">
        <v>56</v>
      </c>
      <c r="E616" t="s">
        <v>1353</v>
      </c>
      <c r="F616" t="s">
        <v>1354</v>
      </c>
      <c r="G616" t="s">
        <v>26</v>
      </c>
      <c r="H616" t="s">
        <v>27</v>
      </c>
      <c r="I616" t="s">
        <v>2184</v>
      </c>
      <c r="J616" t="s">
        <v>29</v>
      </c>
      <c r="K616" t="s">
        <v>30</v>
      </c>
      <c r="L616" t="s">
        <v>765</v>
      </c>
      <c r="M616" t="s">
        <v>32</v>
      </c>
      <c r="N616" t="s">
        <v>33</v>
      </c>
      <c r="O616" t="s">
        <v>918</v>
      </c>
      <c r="P616">
        <v>494.37599999999998</v>
      </c>
      <c r="Q616">
        <v>3</v>
      </c>
      <c r="R616">
        <v>49.437600000000003</v>
      </c>
      <c r="S616" s="3" t="s">
        <v>65</v>
      </c>
      <c r="T616">
        <v>2015</v>
      </c>
      <c r="U616" t="s">
        <v>66</v>
      </c>
      <c r="V616" s="2">
        <v>0.1</v>
      </c>
    </row>
    <row r="617" spans="1:22" x14ac:dyDescent="0.25">
      <c r="A617" t="s">
        <v>2183</v>
      </c>
      <c r="B617" s="1">
        <v>42351</v>
      </c>
      <c r="C617" s="1">
        <v>42353</v>
      </c>
      <c r="D617" t="s">
        <v>56</v>
      </c>
      <c r="E617" t="s">
        <v>1353</v>
      </c>
      <c r="F617" t="s">
        <v>1354</v>
      </c>
      <c r="G617" t="s">
        <v>26</v>
      </c>
      <c r="H617" t="s">
        <v>27</v>
      </c>
      <c r="I617" t="s">
        <v>2184</v>
      </c>
      <c r="J617" t="s">
        <v>29</v>
      </c>
      <c r="K617" t="s">
        <v>30</v>
      </c>
      <c r="L617" t="s">
        <v>148</v>
      </c>
      <c r="M617" t="s">
        <v>32</v>
      </c>
      <c r="N617" t="s">
        <v>51</v>
      </c>
      <c r="O617" t="s">
        <v>149</v>
      </c>
      <c r="P617">
        <v>248.85</v>
      </c>
      <c r="Q617">
        <v>5</v>
      </c>
      <c r="R617">
        <v>27.3735</v>
      </c>
      <c r="S617" s="3" t="s">
        <v>65</v>
      </c>
      <c r="T617">
        <v>2015</v>
      </c>
      <c r="U617" t="s">
        <v>66</v>
      </c>
      <c r="V617" s="2">
        <v>0.11</v>
      </c>
    </row>
    <row r="618" spans="1:22" x14ac:dyDescent="0.25">
      <c r="A618" t="s">
        <v>2183</v>
      </c>
      <c r="B618" s="1">
        <v>42351</v>
      </c>
      <c r="C618" s="1">
        <v>42353</v>
      </c>
      <c r="D618" t="s">
        <v>56</v>
      </c>
      <c r="E618" t="s">
        <v>1353</v>
      </c>
      <c r="F618" t="s">
        <v>1354</v>
      </c>
      <c r="G618" t="s">
        <v>26</v>
      </c>
      <c r="H618" t="s">
        <v>27</v>
      </c>
      <c r="I618" t="s">
        <v>2184</v>
      </c>
      <c r="J618" t="s">
        <v>29</v>
      </c>
      <c r="K618" t="s">
        <v>30</v>
      </c>
      <c r="L618" t="s">
        <v>2185</v>
      </c>
      <c r="M618" t="s">
        <v>32</v>
      </c>
      <c r="N618" t="s">
        <v>51</v>
      </c>
      <c r="O618" t="s">
        <v>2186</v>
      </c>
      <c r="P618">
        <v>36.24</v>
      </c>
      <c r="Q618">
        <v>1</v>
      </c>
      <c r="R618">
        <v>15.220800000000001</v>
      </c>
      <c r="S618" s="3" t="s">
        <v>65</v>
      </c>
      <c r="T618">
        <v>2015</v>
      </c>
      <c r="U618" t="s">
        <v>66</v>
      </c>
      <c r="V618" s="2">
        <v>0.42</v>
      </c>
    </row>
    <row r="619" spans="1:22" x14ac:dyDescent="0.25">
      <c r="A619" t="s">
        <v>2187</v>
      </c>
      <c r="B619" s="1">
        <v>43009</v>
      </c>
      <c r="C619" s="1">
        <v>43011</v>
      </c>
      <c r="D619" t="s">
        <v>56</v>
      </c>
      <c r="E619" t="s">
        <v>1229</v>
      </c>
      <c r="F619" t="s">
        <v>1230</v>
      </c>
      <c r="G619" t="s">
        <v>70</v>
      </c>
      <c r="H619" t="s">
        <v>27</v>
      </c>
      <c r="I619" t="s">
        <v>103</v>
      </c>
      <c r="J619" t="s">
        <v>104</v>
      </c>
      <c r="K619" t="s">
        <v>95</v>
      </c>
      <c r="L619" t="s">
        <v>2188</v>
      </c>
      <c r="M619" t="s">
        <v>32</v>
      </c>
      <c r="N619" t="s">
        <v>215</v>
      </c>
      <c r="O619" t="s">
        <v>2189</v>
      </c>
      <c r="P619">
        <v>1704.89</v>
      </c>
      <c r="Q619">
        <v>11</v>
      </c>
      <c r="R619">
        <v>767.20050000000003</v>
      </c>
      <c r="S619" s="3" t="s">
        <v>65</v>
      </c>
      <c r="T619">
        <v>2017</v>
      </c>
      <c r="U619" t="s">
        <v>133</v>
      </c>
      <c r="V619" s="2">
        <v>0.45</v>
      </c>
    </row>
    <row r="620" spans="1:22" x14ac:dyDescent="0.25">
      <c r="A620" t="s">
        <v>2190</v>
      </c>
      <c r="B620" s="1">
        <v>43055</v>
      </c>
      <c r="C620" s="1">
        <v>43055</v>
      </c>
      <c r="D620" t="s">
        <v>677</v>
      </c>
      <c r="E620" t="s">
        <v>915</v>
      </c>
      <c r="F620" t="s">
        <v>916</v>
      </c>
      <c r="G620" t="s">
        <v>59</v>
      </c>
      <c r="H620" t="s">
        <v>27</v>
      </c>
      <c r="I620" t="s">
        <v>43</v>
      </c>
      <c r="J620" t="s">
        <v>29</v>
      </c>
      <c r="K620" t="s">
        <v>30</v>
      </c>
      <c r="L620" t="s">
        <v>1440</v>
      </c>
      <c r="M620" t="s">
        <v>32</v>
      </c>
      <c r="N620" t="s">
        <v>215</v>
      </c>
      <c r="O620" t="s">
        <v>1441</v>
      </c>
      <c r="P620">
        <v>1919.9760000000001</v>
      </c>
      <c r="Q620">
        <v>3</v>
      </c>
      <c r="R620">
        <v>215.9973</v>
      </c>
      <c r="S620" s="3" t="s">
        <v>683</v>
      </c>
      <c r="T620">
        <v>2017</v>
      </c>
      <c r="U620" t="s">
        <v>118</v>
      </c>
      <c r="V620" s="2">
        <v>0.1125</v>
      </c>
    </row>
    <row r="621" spans="1:22" x14ac:dyDescent="0.25">
      <c r="A621" t="s">
        <v>2191</v>
      </c>
      <c r="B621" s="1">
        <v>41961</v>
      </c>
      <c r="C621" s="1">
        <v>41965</v>
      </c>
      <c r="D621" t="s">
        <v>23</v>
      </c>
      <c r="E621" t="s">
        <v>2192</v>
      </c>
      <c r="F621" t="s">
        <v>2193</v>
      </c>
      <c r="G621" t="s">
        <v>26</v>
      </c>
      <c r="H621" t="s">
        <v>27</v>
      </c>
      <c r="I621" t="s">
        <v>206</v>
      </c>
      <c r="J621" t="s">
        <v>207</v>
      </c>
      <c r="K621" t="s">
        <v>95</v>
      </c>
      <c r="L621" t="s">
        <v>2194</v>
      </c>
      <c r="M621" t="s">
        <v>32</v>
      </c>
      <c r="N621" t="s">
        <v>33</v>
      </c>
      <c r="O621" t="s">
        <v>2195</v>
      </c>
      <c r="P621">
        <v>539.96400000000006</v>
      </c>
      <c r="Q621">
        <v>6</v>
      </c>
      <c r="R621">
        <v>-107.9928</v>
      </c>
      <c r="S621" s="3" t="s">
        <v>53</v>
      </c>
      <c r="T621">
        <v>2014</v>
      </c>
      <c r="U621" t="s">
        <v>118</v>
      </c>
      <c r="V621" s="2">
        <v>-0.2</v>
      </c>
    </row>
    <row r="622" spans="1:22" x14ac:dyDescent="0.25">
      <c r="A622" t="s">
        <v>2196</v>
      </c>
      <c r="B622" s="1">
        <v>42003</v>
      </c>
      <c r="C622" s="1">
        <v>42005</v>
      </c>
      <c r="D622" t="s">
        <v>40</v>
      </c>
      <c r="E622" t="s">
        <v>1058</v>
      </c>
      <c r="F622" t="s">
        <v>1059</v>
      </c>
      <c r="G622" t="s">
        <v>59</v>
      </c>
      <c r="H622" t="s">
        <v>27</v>
      </c>
      <c r="I622" t="s">
        <v>600</v>
      </c>
      <c r="J622" t="s">
        <v>61</v>
      </c>
      <c r="K622" t="s">
        <v>62</v>
      </c>
      <c r="L622" t="s">
        <v>1580</v>
      </c>
      <c r="M622" t="s">
        <v>32</v>
      </c>
      <c r="N622" t="s">
        <v>33</v>
      </c>
      <c r="O622" t="s">
        <v>1581</v>
      </c>
      <c r="P622">
        <v>217.584</v>
      </c>
      <c r="Q622">
        <v>2</v>
      </c>
      <c r="R622">
        <v>19.038599999999999</v>
      </c>
      <c r="S622" s="3" t="s">
        <v>65</v>
      </c>
      <c r="T622">
        <v>2014</v>
      </c>
      <c r="U622" t="s">
        <v>66</v>
      </c>
      <c r="V622" s="2">
        <v>8.7499999999999994E-2</v>
      </c>
    </row>
    <row r="623" spans="1:22" x14ac:dyDescent="0.25">
      <c r="A623" t="s">
        <v>2196</v>
      </c>
      <c r="B623" s="1">
        <v>42003</v>
      </c>
      <c r="C623" s="1">
        <v>42005</v>
      </c>
      <c r="D623" t="s">
        <v>40</v>
      </c>
      <c r="E623" t="s">
        <v>1058</v>
      </c>
      <c r="F623" t="s">
        <v>1059</v>
      </c>
      <c r="G623" t="s">
        <v>59</v>
      </c>
      <c r="H623" t="s">
        <v>27</v>
      </c>
      <c r="I623" t="s">
        <v>600</v>
      </c>
      <c r="J623" t="s">
        <v>61</v>
      </c>
      <c r="K623" t="s">
        <v>62</v>
      </c>
      <c r="L623" t="s">
        <v>990</v>
      </c>
      <c r="M623" t="s">
        <v>32</v>
      </c>
      <c r="N623" t="s">
        <v>33</v>
      </c>
      <c r="O623" t="s">
        <v>991</v>
      </c>
      <c r="P623">
        <v>328.77600000000001</v>
      </c>
      <c r="Q623">
        <v>3</v>
      </c>
      <c r="R623">
        <v>28.767900000000001</v>
      </c>
      <c r="S623" s="3" t="s">
        <v>65</v>
      </c>
      <c r="T623">
        <v>2014</v>
      </c>
      <c r="U623" t="s">
        <v>66</v>
      </c>
      <c r="V623" s="2">
        <v>8.7499999999999994E-2</v>
      </c>
    </row>
    <row r="624" spans="1:22" x14ac:dyDescent="0.25">
      <c r="A624" t="s">
        <v>2196</v>
      </c>
      <c r="B624" s="1">
        <v>42003</v>
      </c>
      <c r="C624" s="1">
        <v>42005</v>
      </c>
      <c r="D624" t="s">
        <v>40</v>
      </c>
      <c r="E624" t="s">
        <v>1058</v>
      </c>
      <c r="F624" t="s">
        <v>1059</v>
      </c>
      <c r="G624" t="s">
        <v>59</v>
      </c>
      <c r="H624" t="s">
        <v>27</v>
      </c>
      <c r="I624" t="s">
        <v>600</v>
      </c>
      <c r="J624" t="s">
        <v>61</v>
      </c>
      <c r="K624" t="s">
        <v>62</v>
      </c>
      <c r="L624" t="s">
        <v>330</v>
      </c>
      <c r="M624" t="s">
        <v>32</v>
      </c>
      <c r="N624" t="s">
        <v>51</v>
      </c>
      <c r="O624" t="s">
        <v>331</v>
      </c>
      <c r="P624">
        <v>47.984000000000002</v>
      </c>
      <c r="Q624">
        <v>2</v>
      </c>
      <c r="R624">
        <v>14.395200000000001</v>
      </c>
      <c r="S624" s="3" t="s">
        <v>65</v>
      </c>
      <c r="T624">
        <v>2014</v>
      </c>
      <c r="U624" t="s">
        <v>66</v>
      </c>
      <c r="V624" s="2">
        <v>0.3</v>
      </c>
    </row>
    <row r="625" spans="1:22" x14ac:dyDescent="0.25">
      <c r="A625" t="s">
        <v>2197</v>
      </c>
      <c r="B625" s="1">
        <v>41954</v>
      </c>
      <c r="C625" s="1">
        <v>41958</v>
      </c>
      <c r="D625" t="s">
        <v>23</v>
      </c>
      <c r="E625" t="s">
        <v>975</v>
      </c>
      <c r="F625" t="s">
        <v>976</v>
      </c>
      <c r="G625" t="s">
        <v>26</v>
      </c>
      <c r="H625" t="s">
        <v>27</v>
      </c>
      <c r="I625" t="s">
        <v>71</v>
      </c>
      <c r="J625" t="s">
        <v>61</v>
      </c>
      <c r="K625" t="s">
        <v>62</v>
      </c>
      <c r="L625" t="s">
        <v>1111</v>
      </c>
      <c r="M625" t="s">
        <v>32</v>
      </c>
      <c r="N625" t="s">
        <v>33</v>
      </c>
      <c r="O625" t="s">
        <v>1112</v>
      </c>
      <c r="P625">
        <v>148.47999999999999</v>
      </c>
      <c r="Q625">
        <v>2</v>
      </c>
      <c r="R625">
        <v>16.704000000000001</v>
      </c>
      <c r="S625" s="3" t="s">
        <v>53</v>
      </c>
      <c r="T625">
        <v>2014</v>
      </c>
      <c r="U625" t="s">
        <v>118</v>
      </c>
      <c r="V625" s="2">
        <v>0.1125</v>
      </c>
    </row>
    <row r="626" spans="1:22" x14ac:dyDescent="0.25">
      <c r="A626" t="s">
        <v>2197</v>
      </c>
      <c r="B626" s="1">
        <v>41954</v>
      </c>
      <c r="C626" s="1">
        <v>41958</v>
      </c>
      <c r="D626" t="s">
        <v>23</v>
      </c>
      <c r="E626" t="s">
        <v>975</v>
      </c>
      <c r="F626" t="s">
        <v>976</v>
      </c>
      <c r="G626" t="s">
        <v>26</v>
      </c>
      <c r="H626" t="s">
        <v>27</v>
      </c>
      <c r="I626" t="s">
        <v>71</v>
      </c>
      <c r="J626" t="s">
        <v>61</v>
      </c>
      <c r="K626" t="s">
        <v>62</v>
      </c>
      <c r="L626" t="s">
        <v>1452</v>
      </c>
      <c r="M626" t="s">
        <v>32</v>
      </c>
      <c r="N626" t="s">
        <v>33</v>
      </c>
      <c r="O626" t="s">
        <v>1453</v>
      </c>
      <c r="P626">
        <v>241.17599999999999</v>
      </c>
      <c r="Q626">
        <v>3</v>
      </c>
      <c r="R626">
        <v>15.073499999999999</v>
      </c>
      <c r="S626" s="3" t="s">
        <v>53</v>
      </c>
      <c r="T626">
        <v>2014</v>
      </c>
      <c r="U626" t="s">
        <v>118</v>
      </c>
      <c r="V626" s="2">
        <v>6.25E-2</v>
      </c>
    </row>
    <row r="627" spans="1:22" x14ac:dyDescent="0.25">
      <c r="A627" t="s">
        <v>2198</v>
      </c>
      <c r="B627" s="1">
        <v>43083</v>
      </c>
      <c r="C627" s="1">
        <v>43089</v>
      </c>
      <c r="D627" t="s">
        <v>23</v>
      </c>
      <c r="E627" t="s">
        <v>1708</v>
      </c>
      <c r="F627" t="s">
        <v>1709</v>
      </c>
      <c r="G627" t="s">
        <v>70</v>
      </c>
      <c r="H627" t="s">
        <v>27</v>
      </c>
      <c r="I627" t="s">
        <v>140</v>
      </c>
      <c r="J627" t="s">
        <v>78</v>
      </c>
      <c r="K627" t="s">
        <v>62</v>
      </c>
      <c r="L627" t="s">
        <v>2199</v>
      </c>
      <c r="M627" t="s">
        <v>32</v>
      </c>
      <c r="N627" t="s">
        <v>51</v>
      </c>
      <c r="O627" t="s">
        <v>2200</v>
      </c>
      <c r="P627">
        <v>227.976</v>
      </c>
      <c r="Q627">
        <v>3</v>
      </c>
      <c r="R627">
        <v>28.497</v>
      </c>
      <c r="S627" s="3" t="s">
        <v>107</v>
      </c>
      <c r="T627">
        <v>2017</v>
      </c>
      <c r="U627" t="s">
        <v>66</v>
      </c>
      <c r="V627" s="2">
        <v>0.125</v>
      </c>
    </row>
    <row r="628" spans="1:22" x14ac:dyDescent="0.25">
      <c r="A628" t="s">
        <v>2198</v>
      </c>
      <c r="B628" s="1">
        <v>43083</v>
      </c>
      <c r="C628" s="1">
        <v>43089</v>
      </c>
      <c r="D628" t="s">
        <v>23</v>
      </c>
      <c r="E628" t="s">
        <v>1708</v>
      </c>
      <c r="F628" t="s">
        <v>1709</v>
      </c>
      <c r="G628" t="s">
        <v>70</v>
      </c>
      <c r="H628" t="s">
        <v>27</v>
      </c>
      <c r="I628" t="s">
        <v>140</v>
      </c>
      <c r="J628" t="s">
        <v>78</v>
      </c>
      <c r="K628" t="s">
        <v>62</v>
      </c>
      <c r="L628" t="s">
        <v>2145</v>
      </c>
      <c r="M628" t="s">
        <v>32</v>
      </c>
      <c r="N628" t="s">
        <v>33</v>
      </c>
      <c r="O628" t="s">
        <v>2146</v>
      </c>
      <c r="P628">
        <v>52.68</v>
      </c>
      <c r="Q628">
        <v>3</v>
      </c>
      <c r="R628">
        <v>19.754999999999999</v>
      </c>
      <c r="S628" s="3" t="s">
        <v>107</v>
      </c>
      <c r="T628">
        <v>2017</v>
      </c>
      <c r="U628" t="s">
        <v>66</v>
      </c>
      <c r="V628" s="2">
        <v>0.375</v>
      </c>
    </row>
    <row r="629" spans="1:22" x14ac:dyDescent="0.25">
      <c r="A629" t="s">
        <v>2201</v>
      </c>
      <c r="B629" s="1">
        <v>42968</v>
      </c>
      <c r="C629" s="1">
        <v>42969</v>
      </c>
      <c r="D629" t="s">
        <v>56</v>
      </c>
      <c r="E629" t="s">
        <v>2202</v>
      </c>
      <c r="F629" t="s">
        <v>2203</v>
      </c>
      <c r="G629" t="s">
        <v>26</v>
      </c>
      <c r="H629" t="s">
        <v>27</v>
      </c>
      <c r="I629" t="s">
        <v>983</v>
      </c>
      <c r="J629" t="s">
        <v>29</v>
      </c>
      <c r="K629" t="s">
        <v>30</v>
      </c>
      <c r="L629" t="s">
        <v>622</v>
      </c>
      <c r="M629" t="s">
        <v>32</v>
      </c>
      <c r="N629" t="s">
        <v>33</v>
      </c>
      <c r="O629" t="s">
        <v>623</v>
      </c>
      <c r="P629">
        <v>431.96800000000002</v>
      </c>
      <c r="Q629">
        <v>4</v>
      </c>
      <c r="R629">
        <v>37.797199999999997</v>
      </c>
      <c r="S629" s="3" t="s">
        <v>112</v>
      </c>
      <c r="T629">
        <v>2017</v>
      </c>
      <c r="U629" t="s">
        <v>46</v>
      </c>
      <c r="V629" s="2">
        <v>8.7499999999999994E-2</v>
      </c>
    </row>
    <row r="630" spans="1:22" x14ac:dyDescent="0.25">
      <c r="A630" t="s">
        <v>2204</v>
      </c>
      <c r="B630" s="1">
        <v>42609</v>
      </c>
      <c r="C630" s="1">
        <v>42614</v>
      </c>
      <c r="D630" t="s">
        <v>40</v>
      </c>
      <c r="E630" t="s">
        <v>109</v>
      </c>
      <c r="F630" t="s">
        <v>110</v>
      </c>
      <c r="G630" t="s">
        <v>26</v>
      </c>
      <c r="H630" t="s">
        <v>27</v>
      </c>
      <c r="I630" t="s">
        <v>2205</v>
      </c>
      <c r="J630" t="s">
        <v>1249</v>
      </c>
      <c r="K630" t="s">
        <v>95</v>
      </c>
      <c r="L630" t="s">
        <v>295</v>
      </c>
      <c r="M630" t="s">
        <v>32</v>
      </c>
      <c r="N630" t="s">
        <v>33</v>
      </c>
      <c r="O630" t="s">
        <v>296</v>
      </c>
      <c r="P630">
        <v>59.97</v>
      </c>
      <c r="Q630">
        <v>3</v>
      </c>
      <c r="R630">
        <v>28.785599999999999</v>
      </c>
      <c r="S630" s="3" t="s">
        <v>35</v>
      </c>
      <c r="T630">
        <v>2016</v>
      </c>
      <c r="U630" t="s">
        <v>46</v>
      </c>
      <c r="V630" s="2">
        <v>0.48</v>
      </c>
    </row>
    <row r="631" spans="1:22" x14ac:dyDescent="0.25">
      <c r="A631" t="s">
        <v>2206</v>
      </c>
      <c r="B631" s="1">
        <v>42730</v>
      </c>
      <c r="C631" s="1">
        <v>42735</v>
      </c>
      <c r="D631" t="s">
        <v>23</v>
      </c>
      <c r="E631" t="s">
        <v>612</v>
      </c>
      <c r="F631" t="s">
        <v>613</v>
      </c>
      <c r="G631" t="s">
        <v>26</v>
      </c>
      <c r="H631" t="s">
        <v>27</v>
      </c>
      <c r="I631" t="s">
        <v>103</v>
      </c>
      <c r="J631" t="s">
        <v>104</v>
      </c>
      <c r="K631" t="s">
        <v>95</v>
      </c>
      <c r="L631" t="s">
        <v>1269</v>
      </c>
      <c r="M631" t="s">
        <v>32</v>
      </c>
      <c r="N631" t="s">
        <v>51</v>
      </c>
      <c r="O631" t="s">
        <v>1270</v>
      </c>
      <c r="P631">
        <v>89.97</v>
      </c>
      <c r="Q631">
        <v>3</v>
      </c>
      <c r="R631">
        <v>18.893699999999999</v>
      </c>
      <c r="S631" s="3" t="s">
        <v>35</v>
      </c>
      <c r="T631">
        <v>2016</v>
      </c>
      <c r="U631" t="s">
        <v>66</v>
      </c>
      <c r="V631" s="2">
        <v>0.21</v>
      </c>
    </row>
    <row r="632" spans="1:22" x14ac:dyDescent="0.25">
      <c r="A632" t="s">
        <v>2207</v>
      </c>
      <c r="B632" s="1">
        <v>41905</v>
      </c>
      <c r="C632" s="1">
        <v>41910</v>
      </c>
      <c r="D632" t="s">
        <v>23</v>
      </c>
      <c r="E632" t="s">
        <v>870</v>
      </c>
      <c r="F632" t="s">
        <v>871</v>
      </c>
      <c r="G632" t="s">
        <v>59</v>
      </c>
      <c r="H632" t="s">
        <v>27</v>
      </c>
      <c r="I632" t="s">
        <v>300</v>
      </c>
      <c r="J632" t="s">
        <v>29</v>
      </c>
      <c r="K632" t="s">
        <v>30</v>
      </c>
      <c r="L632" t="s">
        <v>124</v>
      </c>
      <c r="M632" t="s">
        <v>32</v>
      </c>
      <c r="N632" t="s">
        <v>33</v>
      </c>
      <c r="O632" t="s">
        <v>125</v>
      </c>
      <c r="P632">
        <v>83.983999999999995</v>
      </c>
      <c r="Q632">
        <v>2</v>
      </c>
      <c r="R632">
        <v>31.494</v>
      </c>
      <c r="S632" s="3" t="s">
        <v>35</v>
      </c>
      <c r="T632">
        <v>2014</v>
      </c>
      <c r="U632" t="s">
        <v>81</v>
      </c>
      <c r="V632" s="2">
        <v>0.375</v>
      </c>
    </row>
    <row r="633" spans="1:22" x14ac:dyDescent="0.25">
      <c r="A633" t="s">
        <v>2208</v>
      </c>
      <c r="B633" s="1">
        <v>41839</v>
      </c>
      <c r="C633" s="1">
        <v>41844</v>
      </c>
      <c r="D633" t="s">
        <v>23</v>
      </c>
      <c r="E633" t="s">
        <v>2209</v>
      </c>
      <c r="F633" t="s">
        <v>2210</v>
      </c>
      <c r="G633" t="s">
        <v>59</v>
      </c>
      <c r="H633" t="s">
        <v>27</v>
      </c>
      <c r="I633" t="s">
        <v>1450</v>
      </c>
      <c r="J633" t="s">
        <v>1451</v>
      </c>
      <c r="K633" t="s">
        <v>95</v>
      </c>
      <c r="L633" t="s">
        <v>1437</v>
      </c>
      <c r="M633" t="s">
        <v>32</v>
      </c>
      <c r="N633" t="s">
        <v>33</v>
      </c>
      <c r="O633" t="s">
        <v>1438</v>
      </c>
      <c r="P633">
        <v>359.98</v>
      </c>
      <c r="Q633">
        <v>2</v>
      </c>
      <c r="R633">
        <v>93.594800000000006</v>
      </c>
      <c r="S633" s="3" t="s">
        <v>35</v>
      </c>
      <c r="T633">
        <v>2014</v>
      </c>
      <c r="U633" t="s">
        <v>332</v>
      </c>
      <c r="V633" s="2">
        <v>0.26</v>
      </c>
    </row>
    <row r="634" spans="1:22" x14ac:dyDescent="0.25">
      <c r="A634" t="s">
        <v>2211</v>
      </c>
      <c r="B634" s="1">
        <v>42496</v>
      </c>
      <c r="C634" s="1">
        <v>42500</v>
      </c>
      <c r="D634" t="s">
        <v>23</v>
      </c>
      <c r="E634" t="s">
        <v>1761</v>
      </c>
      <c r="F634" t="s">
        <v>1762</v>
      </c>
      <c r="G634" t="s">
        <v>26</v>
      </c>
      <c r="H634" t="s">
        <v>27</v>
      </c>
      <c r="I634" t="s">
        <v>140</v>
      </c>
      <c r="J634" t="s">
        <v>78</v>
      </c>
      <c r="K634" t="s">
        <v>62</v>
      </c>
      <c r="L634" t="s">
        <v>1161</v>
      </c>
      <c r="M634" t="s">
        <v>32</v>
      </c>
      <c r="N634" t="s">
        <v>51</v>
      </c>
      <c r="O634" t="s">
        <v>1162</v>
      </c>
      <c r="P634">
        <v>26.175999999999998</v>
      </c>
      <c r="Q634">
        <v>2</v>
      </c>
      <c r="R634">
        <v>-3.2719999999999998</v>
      </c>
      <c r="S634" s="3" t="s">
        <v>53</v>
      </c>
      <c r="T634">
        <v>2016</v>
      </c>
      <c r="U634" t="s">
        <v>527</v>
      </c>
      <c r="V634" s="2">
        <v>-0.125</v>
      </c>
    </row>
    <row r="635" spans="1:22" x14ac:dyDescent="0.25">
      <c r="A635" t="s">
        <v>2212</v>
      </c>
      <c r="B635" s="1">
        <v>42454</v>
      </c>
      <c r="C635" s="1">
        <v>42454</v>
      </c>
      <c r="D635" t="s">
        <v>677</v>
      </c>
      <c r="E635" t="s">
        <v>2127</v>
      </c>
      <c r="F635" t="s">
        <v>2128</v>
      </c>
      <c r="G635" t="s">
        <v>26</v>
      </c>
      <c r="H635" t="s">
        <v>27</v>
      </c>
      <c r="I635" t="s">
        <v>477</v>
      </c>
      <c r="J635" t="s">
        <v>200</v>
      </c>
      <c r="K635" t="s">
        <v>62</v>
      </c>
      <c r="L635" t="s">
        <v>289</v>
      </c>
      <c r="M635" t="s">
        <v>32</v>
      </c>
      <c r="N635" t="s">
        <v>51</v>
      </c>
      <c r="O635" t="s">
        <v>290</v>
      </c>
      <c r="P635">
        <v>1287.45</v>
      </c>
      <c r="Q635">
        <v>5</v>
      </c>
      <c r="R635">
        <v>244.6155</v>
      </c>
      <c r="S635" s="3" t="s">
        <v>683</v>
      </c>
      <c r="T635">
        <v>2016</v>
      </c>
      <c r="U635" t="s">
        <v>89</v>
      </c>
      <c r="V635" s="2">
        <v>0.19</v>
      </c>
    </row>
    <row r="636" spans="1:22" x14ac:dyDescent="0.25">
      <c r="A636" t="s">
        <v>2213</v>
      </c>
      <c r="B636" s="1">
        <v>42342</v>
      </c>
      <c r="C636" s="1">
        <v>42348</v>
      </c>
      <c r="D636" t="s">
        <v>23</v>
      </c>
      <c r="E636" t="s">
        <v>2214</v>
      </c>
      <c r="F636" t="s">
        <v>2215</v>
      </c>
      <c r="G636" t="s">
        <v>26</v>
      </c>
      <c r="H636" t="s">
        <v>27</v>
      </c>
      <c r="I636" t="s">
        <v>2216</v>
      </c>
      <c r="J636" t="s">
        <v>104</v>
      </c>
      <c r="K636" t="s">
        <v>95</v>
      </c>
      <c r="L636" t="s">
        <v>518</v>
      </c>
      <c r="M636" t="s">
        <v>32</v>
      </c>
      <c r="N636" t="s">
        <v>33</v>
      </c>
      <c r="O636" t="s">
        <v>519</v>
      </c>
      <c r="P636">
        <v>39.96</v>
      </c>
      <c r="Q636">
        <v>4</v>
      </c>
      <c r="R636">
        <v>10.3896</v>
      </c>
      <c r="S636" s="3" t="s">
        <v>107</v>
      </c>
      <c r="T636">
        <v>2015</v>
      </c>
      <c r="U636" t="s">
        <v>66</v>
      </c>
      <c r="V636" s="2">
        <v>0.26</v>
      </c>
    </row>
    <row r="637" spans="1:22" x14ac:dyDescent="0.25">
      <c r="A637" t="s">
        <v>2217</v>
      </c>
      <c r="B637" s="1">
        <v>42342</v>
      </c>
      <c r="C637" s="1">
        <v>42347</v>
      </c>
      <c r="D637" t="s">
        <v>40</v>
      </c>
      <c r="E637" t="s">
        <v>1583</v>
      </c>
      <c r="F637" t="s">
        <v>1584</v>
      </c>
      <c r="G637" t="s">
        <v>26</v>
      </c>
      <c r="H637" t="s">
        <v>27</v>
      </c>
      <c r="I637" t="s">
        <v>103</v>
      </c>
      <c r="J637" t="s">
        <v>104</v>
      </c>
      <c r="K637" t="s">
        <v>95</v>
      </c>
      <c r="L637" t="s">
        <v>1092</v>
      </c>
      <c r="M637" t="s">
        <v>32</v>
      </c>
      <c r="N637" t="s">
        <v>33</v>
      </c>
      <c r="O637" t="s">
        <v>1093</v>
      </c>
      <c r="P637">
        <v>1799.75</v>
      </c>
      <c r="Q637">
        <v>5</v>
      </c>
      <c r="R637">
        <v>539.92499999999995</v>
      </c>
      <c r="S637" s="3" t="s">
        <v>35</v>
      </c>
      <c r="T637">
        <v>2015</v>
      </c>
      <c r="U637" t="s">
        <v>66</v>
      </c>
      <c r="V637" s="2">
        <v>0.3</v>
      </c>
    </row>
    <row r="638" spans="1:22" x14ac:dyDescent="0.25">
      <c r="A638" t="s">
        <v>2218</v>
      </c>
      <c r="B638" s="1">
        <v>43015</v>
      </c>
      <c r="C638" s="1">
        <v>43019</v>
      </c>
      <c r="D638" t="s">
        <v>23</v>
      </c>
      <c r="E638" t="s">
        <v>2003</v>
      </c>
      <c r="F638" t="s">
        <v>2004</v>
      </c>
      <c r="G638" t="s">
        <v>70</v>
      </c>
      <c r="H638" t="s">
        <v>27</v>
      </c>
      <c r="I638" t="s">
        <v>153</v>
      </c>
      <c r="J638" t="s">
        <v>154</v>
      </c>
      <c r="K638" t="s">
        <v>155</v>
      </c>
      <c r="L638" t="s">
        <v>1049</v>
      </c>
      <c r="M638" t="s">
        <v>32</v>
      </c>
      <c r="N638" t="s">
        <v>33</v>
      </c>
      <c r="O638" t="s">
        <v>1050</v>
      </c>
      <c r="P638">
        <v>222.38399999999999</v>
      </c>
      <c r="Q638">
        <v>2</v>
      </c>
      <c r="R638">
        <v>16.678799999999999</v>
      </c>
      <c r="S638" s="3" t="s">
        <v>53</v>
      </c>
      <c r="T638">
        <v>2017</v>
      </c>
      <c r="U638" t="s">
        <v>133</v>
      </c>
      <c r="V638" s="2">
        <v>7.4999999999999997E-2</v>
      </c>
    </row>
    <row r="639" spans="1:22" x14ac:dyDescent="0.25">
      <c r="A639" t="s">
        <v>2219</v>
      </c>
      <c r="B639" s="1">
        <v>41860</v>
      </c>
      <c r="C639" s="1">
        <v>41864</v>
      </c>
      <c r="D639" t="s">
        <v>23</v>
      </c>
      <c r="E639" t="s">
        <v>2220</v>
      </c>
      <c r="F639" t="s">
        <v>2221</v>
      </c>
      <c r="G639" t="s">
        <v>70</v>
      </c>
      <c r="H639" t="s">
        <v>27</v>
      </c>
      <c r="I639" t="s">
        <v>481</v>
      </c>
      <c r="J639" t="s">
        <v>426</v>
      </c>
      <c r="K639" t="s">
        <v>30</v>
      </c>
      <c r="L639" t="s">
        <v>765</v>
      </c>
      <c r="M639" t="s">
        <v>32</v>
      </c>
      <c r="N639" t="s">
        <v>33</v>
      </c>
      <c r="O639" t="s">
        <v>766</v>
      </c>
      <c r="P639">
        <v>1091.1679999999999</v>
      </c>
      <c r="Q639">
        <v>4</v>
      </c>
      <c r="R639">
        <v>68.197999999999993</v>
      </c>
      <c r="S639" s="3" t="s">
        <v>53</v>
      </c>
      <c r="T639">
        <v>2014</v>
      </c>
      <c r="U639" t="s">
        <v>46</v>
      </c>
      <c r="V639" s="2">
        <v>6.25E-2</v>
      </c>
    </row>
    <row r="640" spans="1:22" x14ac:dyDescent="0.25">
      <c r="A640" t="s">
        <v>2219</v>
      </c>
      <c r="B640" s="1">
        <v>41860</v>
      </c>
      <c r="C640" s="1">
        <v>41864</v>
      </c>
      <c r="D640" t="s">
        <v>23</v>
      </c>
      <c r="E640" t="s">
        <v>2220</v>
      </c>
      <c r="F640" t="s">
        <v>2221</v>
      </c>
      <c r="G640" t="s">
        <v>70</v>
      </c>
      <c r="H640" t="s">
        <v>27</v>
      </c>
      <c r="I640" t="s">
        <v>481</v>
      </c>
      <c r="J640" t="s">
        <v>426</v>
      </c>
      <c r="K640" t="s">
        <v>30</v>
      </c>
      <c r="L640" t="s">
        <v>1315</v>
      </c>
      <c r="M640" t="s">
        <v>32</v>
      </c>
      <c r="N640" t="s">
        <v>33</v>
      </c>
      <c r="O640" t="s">
        <v>1316</v>
      </c>
      <c r="P640">
        <v>219.16800000000001</v>
      </c>
      <c r="Q640">
        <v>2</v>
      </c>
      <c r="R640">
        <v>-43.833599999999997</v>
      </c>
      <c r="S640" s="3" t="s">
        <v>53</v>
      </c>
      <c r="T640">
        <v>2014</v>
      </c>
      <c r="U640" t="s">
        <v>46</v>
      </c>
      <c r="V640" s="2">
        <v>-0.2</v>
      </c>
    </row>
    <row r="641" spans="1:22" x14ac:dyDescent="0.25">
      <c r="A641" t="s">
        <v>2222</v>
      </c>
      <c r="B641" s="1">
        <v>41964</v>
      </c>
      <c r="C641" s="1">
        <v>41969</v>
      </c>
      <c r="D641" t="s">
        <v>23</v>
      </c>
      <c r="E641" t="s">
        <v>2223</v>
      </c>
      <c r="F641" t="s">
        <v>2224</v>
      </c>
      <c r="G641" t="s">
        <v>59</v>
      </c>
      <c r="H641" t="s">
        <v>27</v>
      </c>
      <c r="I641" t="s">
        <v>2225</v>
      </c>
      <c r="J641" t="s">
        <v>804</v>
      </c>
      <c r="K641" t="s">
        <v>155</v>
      </c>
      <c r="L641" t="s">
        <v>831</v>
      </c>
      <c r="M641" t="s">
        <v>32</v>
      </c>
      <c r="N641" t="s">
        <v>33</v>
      </c>
      <c r="O641" t="s">
        <v>832</v>
      </c>
      <c r="P641">
        <v>36.99</v>
      </c>
      <c r="Q641">
        <v>1</v>
      </c>
      <c r="R641">
        <v>9.9872999999999994</v>
      </c>
      <c r="S641" s="3" t="s">
        <v>35</v>
      </c>
      <c r="T641">
        <v>2014</v>
      </c>
      <c r="U641" t="s">
        <v>118</v>
      </c>
      <c r="V641" s="2">
        <v>0.27</v>
      </c>
    </row>
    <row r="642" spans="1:22" x14ac:dyDescent="0.25">
      <c r="A642" t="s">
        <v>2226</v>
      </c>
      <c r="B642" s="1">
        <v>42518</v>
      </c>
      <c r="C642" s="1">
        <v>42524</v>
      </c>
      <c r="D642" t="s">
        <v>23</v>
      </c>
      <c r="E642" t="s">
        <v>1308</v>
      </c>
      <c r="F642" t="s">
        <v>1309</v>
      </c>
      <c r="G642" t="s">
        <v>26</v>
      </c>
      <c r="H642" t="s">
        <v>27</v>
      </c>
      <c r="I642" t="s">
        <v>28</v>
      </c>
      <c r="J642" t="s">
        <v>29</v>
      </c>
      <c r="K642" t="s">
        <v>30</v>
      </c>
      <c r="L642" t="s">
        <v>1518</v>
      </c>
      <c r="M642" t="s">
        <v>32</v>
      </c>
      <c r="N642" t="s">
        <v>51</v>
      </c>
      <c r="O642" t="s">
        <v>1519</v>
      </c>
      <c r="P642">
        <v>131.6</v>
      </c>
      <c r="Q642">
        <v>7</v>
      </c>
      <c r="R642">
        <v>7.8959999999999999</v>
      </c>
      <c r="S642" s="3" t="s">
        <v>107</v>
      </c>
      <c r="T642">
        <v>2016</v>
      </c>
      <c r="U642" t="s">
        <v>527</v>
      </c>
      <c r="V642" s="2">
        <v>0.06</v>
      </c>
    </row>
    <row r="643" spans="1:22" x14ac:dyDescent="0.25">
      <c r="A643" t="s">
        <v>2226</v>
      </c>
      <c r="B643" s="1">
        <v>42518</v>
      </c>
      <c r="C643" s="1">
        <v>42524</v>
      </c>
      <c r="D643" t="s">
        <v>23</v>
      </c>
      <c r="E643" t="s">
        <v>1308</v>
      </c>
      <c r="F643" t="s">
        <v>1309</v>
      </c>
      <c r="G643" t="s">
        <v>26</v>
      </c>
      <c r="H643" t="s">
        <v>27</v>
      </c>
      <c r="I643" t="s">
        <v>28</v>
      </c>
      <c r="J643" t="s">
        <v>29</v>
      </c>
      <c r="K643" t="s">
        <v>30</v>
      </c>
      <c r="L643" t="s">
        <v>2083</v>
      </c>
      <c r="M643" t="s">
        <v>32</v>
      </c>
      <c r="N643" t="s">
        <v>215</v>
      </c>
      <c r="O643" t="s">
        <v>2084</v>
      </c>
      <c r="P643">
        <v>558.4</v>
      </c>
      <c r="Q643">
        <v>2</v>
      </c>
      <c r="R643">
        <v>41.88</v>
      </c>
      <c r="S643" s="3" t="s">
        <v>107</v>
      </c>
      <c r="T643">
        <v>2016</v>
      </c>
      <c r="U643" t="s">
        <v>527</v>
      </c>
      <c r="V643" s="2">
        <v>7.4999999999999997E-2</v>
      </c>
    </row>
    <row r="644" spans="1:22" x14ac:dyDescent="0.25">
      <c r="A644" t="s">
        <v>2227</v>
      </c>
      <c r="B644" s="1">
        <v>41714</v>
      </c>
      <c r="C644" s="1">
        <v>41719</v>
      </c>
      <c r="D644" t="s">
        <v>40</v>
      </c>
      <c r="E644" t="s">
        <v>1774</v>
      </c>
      <c r="F644" t="s">
        <v>1775</v>
      </c>
      <c r="G644" t="s">
        <v>70</v>
      </c>
      <c r="H644" t="s">
        <v>27</v>
      </c>
      <c r="I644" t="s">
        <v>1425</v>
      </c>
      <c r="J644" t="s">
        <v>154</v>
      </c>
      <c r="K644" t="s">
        <v>155</v>
      </c>
      <c r="L644" t="s">
        <v>2228</v>
      </c>
      <c r="M644" t="s">
        <v>32</v>
      </c>
      <c r="N644" t="s">
        <v>33</v>
      </c>
      <c r="O644" t="s">
        <v>2229</v>
      </c>
      <c r="P644">
        <v>471.92</v>
      </c>
      <c r="Q644">
        <v>2</v>
      </c>
      <c r="R644">
        <v>29.495000000000001</v>
      </c>
      <c r="S644" s="3" t="s">
        <v>35</v>
      </c>
      <c r="T644">
        <v>2014</v>
      </c>
      <c r="U644" t="s">
        <v>89</v>
      </c>
      <c r="V644" s="2">
        <v>6.25E-2</v>
      </c>
    </row>
    <row r="645" spans="1:22" x14ac:dyDescent="0.25">
      <c r="A645" t="s">
        <v>2230</v>
      </c>
      <c r="B645" s="1">
        <v>42994</v>
      </c>
      <c r="C645" s="1">
        <v>42996</v>
      </c>
      <c r="D645" t="s">
        <v>56</v>
      </c>
      <c r="E645" t="s">
        <v>2231</v>
      </c>
      <c r="F645" t="s">
        <v>2232</v>
      </c>
      <c r="G645" t="s">
        <v>26</v>
      </c>
      <c r="H645" t="s">
        <v>27</v>
      </c>
      <c r="I645" t="s">
        <v>206</v>
      </c>
      <c r="J645" t="s">
        <v>207</v>
      </c>
      <c r="K645" t="s">
        <v>95</v>
      </c>
      <c r="L645" t="s">
        <v>1233</v>
      </c>
      <c r="M645" t="s">
        <v>32</v>
      </c>
      <c r="N645" t="s">
        <v>51</v>
      </c>
      <c r="O645" t="s">
        <v>1234</v>
      </c>
      <c r="P645">
        <v>71.975999999999999</v>
      </c>
      <c r="Q645">
        <v>3</v>
      </c>
      <c r="R645">
        <v>19.793399999999998</v>
      </c>
      <c r="S645" s="3" t="s">
        <v>65</v>
      </c>
      <c r="T645">
        <v>2017</v>
      </c>
      <c r="U645" t="s">
        <v>81</v>
      </c>
      <c r="V645" s="2">
        <v>0.27500000000000002</v>
      </c>
    </row>
    <row r="646" spans="1:22" x14ac:dyDescent="0.25">
      <c r="A646" t="s">
        <v>2230</v>
      </c>
      <c r="B646" s="1">
        <v>42994</v>
      </c>
      <c r="C646" s="1">
        <v>42996</v>
      </c>
      <c r="D646" t="s">
        <v>56</v>
      </c>
      <c r="E646" t="s">
        <v>2231</v>
      </c>
      <c r="F646" t="s">
        <v>2232</v>
      </c>
      <c r="G646" t="s">
        <v>26</v>
      </c>
      <c r="H646" t="s">
        <v>27</v>
      </c>
      <c r="I646" t="s">
        <v>206</v>
      </c>
      <c r="J646" t="s">
        <v>207</v>
      </c>
      <c r="K646" t="s">
        <v>95</v>
      </c>
      <c r="L646" t="s">
        <v>330</v>
      </c>
      <c r="M646" t="s">
        <v>32</v>
      </c>
      <c r="N646" t="s">
        <v>51</v>
      </c>
      <c r="O646" t="s">
        <v>331</v>
      </c>
      <c r="P646">
        <v>47.984000000000002</v>
      </c>
      <c r="Q646">
        <v>2</v>
      </c>
      <c r="R646">
        <v>14.395200000000001</v>
      </c>
      <c r="S646" s="3" t="s">
        <v>65</v>
      </c>
      <c r="T646">
        <v>2017</v>
      </c>
      <c r="U646" t="s">
        <v>81</v>
      </c>
      <c r="V646" s="2">
        <v>0.3</v>
      </c>
    </row>
    <row r="647" spans="1:22" x14ac:dyDescent="0.25">
      <c r="A647" t="s">
        <v>2233</v>
      </c>
      <c r="B647" s="1">
        <v>43044</v>
      </c>
      <c r="C647" s="1">
        <v>43049</v>
      </c>
      <c r="D647" t="s">
        <v>40</v>
      </c>
      <c r="E647" t="s">
        <v>1698</v>
      </c>
      <c r="F647" t="s">
        <v>1699</v>
      </c>
      <c r="G647" t="s">
        <v>59</v>
      </c>
      <c r="H647" t="s">
        <v>27</v>
      </c>
      <c r="I647" t="s">
        <v>262</v>
      </c>
      <c r="J647" t="s">
        <v>61</v>
      </c>
      <c r="K647" t="s">
        <v>62</v>
      </c>
      <c r="L647" t="s">
        <v>427</v>
      </c>
      <c r="M647" t="s">
        <v>32</v>
      </c>
      <c r="N647" t="s">
        <v>33</v>
      </c>
      <c r="O647" t="s">
        <v>428</v>
      </c>
      <c r="P647">
        <v>492.76799999999997</v>
      </c>
      <c r="Q647">
        <v>4</v>
      </c>
      <c r="R647">
        <v>55.436399999999999</v>
      </c>
      <c r="S647" s="3" t="s">
        <v>35</v>
      </c>
      <c r="T647">
        <v>2017</v>
      </c>
      <c r="U647" t="s">
        <v>118</v>
      </c>
      <c r="V647" s="2">
        <v>0.1125</v>
      </c>
    </row>
    <row r="648" spans="1:22" x14ac:dyDescent="0.25">
      <c r="A648" t="s">
        <v>2234</v>
      </c>
      <c r="B648" s="1">
        <v>43072</v>
      </c>
      <c r="C648" s="1">
        <v>43074</v>
      </c>
      <c r="D648" t="s">
        <v>40</v>
      </c>
      <c r="E648" t="s">
        <v>1991</v>
      </c>
      <c r="F648" t="s">
        <v>1992</v>
      </c>
      <c r="G648" t="s">
        <v>26</v>
      </c>
      <c r="H648" t="s">
        <v>27</v>
      </c>
      <c r="I648" t="s">
        <v>460</v>
      </c>
      <c r="J648" t="s">
        <v>288</v>
      </c>
      <c r="K648" t="s">
        <v>155</v>
      </c>
      <c r="L648" t="s">
        <v>1052</v>
      </c>
      <c r="M648" t="s">
        <v>32</v>
      </c>
      <c r="N648" t="s">
        <v>51</v>
      </c>
      <c r="O648" t="s">
        <v>1053</v>
      </c>
      <c r="P648">
        <v>47.991999999999997</v>
      </c>
      <c r="Q648">
        <v>1</v>
      </c>
      <c r="R648">
        <v>7.1988000000000003</v>
      </c>
      <c r="S648" s="3" t="s">
        <v>65</v>
      </c>
      <c r="T648">
        <v>2017</v>
      </c>
      <c r="U648" t="s">
        <v>66</v>
      </c>
      <c r="V648" s="2">
        <v>0.15</v>
      </c>
    </row>
    <row r="649" spans="1:22" x14ac:dyDescent="0.25">
      <c r="A649" t="s">
        <v>2235</v>
      </c>
      <c r="B649" s="1">
        <v>43051</v>
      </c>
      <c r="C649" s="1">
        <v>43056</v>
      </c>
      <c r="D649" t="s">
        <v>23</v>
      </c>
      <c r="E649" t="s">
        <v>2236</v>
      </c>
      <c r="F649" t="s">
        <v>2237</v>
      </c>
      <c r="G649" t="s">
        <v>59</v>
      </c>
      <c r="H649" t="s">
        <v>27</v>
      </c>
      <c r="I649" t="s">
        <v>176</v>
      </c>
      <c r="J649" t="s">
        <v>177</v>
      </c>
      <c r="K649" t="s">
        <v>95</v>
      </c>
      <c r="L649" t="s">
        <v>674</v>
      </c>
      <c r="M649" t="s">
        <v>32</v>
      </c>
      <c r="N649" t="s">
        <v>51</v>
      </c>
      <c r="O649" t="s">
        <v>675</v>
      </c>
      <c r="P649">
        <v>18.544</v>
      </c>
      <c r="Q649">
        <v>2</v>
      </c>
      <c r="R649">
        <v>3.0133999999999999</v>
      </c>
      <c r="S649" s="3" t="s">
        <v>35</v>
      </c>
      <c r="T649">
        <v>2017</v>
      </c>
      <c r="U649" t="s">
        <v>118</v>
      </c>
      <c r="V649" s="2">
        <v>0.16250000000000001</v>
      </c>
    </row>
    <row r="650" spans="1:22" x14ac:dyDescent="0.25">
      <c r="A650" t="s">
        <v>2238</v>
      </c>
      <c r="B650" s="1">
        <v>42797</v>
      </c>
      <c r="C650" s="1">
        <v>42804</v>
      </c>
      <c r="D650" t="s">
        <v>23</v>
      </c>
      <c r="E650" t="s">
        <v>1251</v>
      </c>
      <c r="F650" t="s">
        <v>1252</v>
      </c>
      <c r="G650" t="s">
        <v>26</v>
      </c>
      <c r="H650" t="s">
        <v>27</v>
      </c>
      <c r="I650" t="s">
        <v>2239</v>
      </c>
      <c r="J650" t="s">
        <v>256</v>
      </c>
      <c r="K650" t="s">
        <v>62</v>
      </c>
      <c r="L650" t="s">
        <v>1413</v>
      </c>
      <c r="M650" t="s">
        <v>32</v>
      </c>
      <c r="N650" t="s">
        <v>51</v>
      </c>
      <c r="O650" t="s">
        <v>1414</v>
      </c>
      <c r="P650">
        <v>99.98</v>
      </c>
      <c r="Q650">
        <v>2</v>
      </c>
      <c r="R650">
        <v>42.991399999999999</v>
      </c>
      <c r="S650" s="3" t="s">
        <v>132</v>
      </c>
      <c r="T650">
        <v>2017</v>
      </c>
      <c r="U650" t="s">
        <v>89</v>
      </c>
      <c r="V650" s="2">
        <v>0.43</v>
      </c>
    </row>
    <row r="651" spans="1:22" x14ac:dyDescent="0.25">
      <c r="A651" t="s">
        <v>2240</v>
      </c>
      <c r="B651" s="1">
        <v>42701</v>
      </c>
      <c r="C651" s="1">
        <v>42704</v>
      </c>
      <c r="D651" t="s">
        <v>56</v>
      </c>
      <c r="E651" t="s">
        <v>1555</v>
      </c>
      <c r="F651" t="s">
        <v>1556</v>
      </c>
      <c r="G651" t="s">
        <v>59</v>
      </c>
      <c r="H651" t="s">
        <v>27</v>
      </c>
      <c r="I651" t="s">
        <v>2241</v>
      </c>
      <c r="J651" t="s">
        <v>2242</v>
      </c>
      <c r="K651" t="s">
        <v>62</v>
      </c>
      <c r="L651" t="s">
        <v>116</v>
      </c>
      <c r="M651" t="s">
        <v>32</v>
      </c>
      <c r="N651" t="s">
        <v>51</v>
      </c>
      <c r="O651" t="s">
        <v>117</v>
      </c>
      <c r="P651">
        <v>34.950000000000003</v>
      </c>
      <c r="Q651">
        <v>5</v>
      </c>
      <c r="R651">
        <v>15.378</v>
      </c>
      <c r="S651" s="3" t="s">
        <v>172</v>
      </c>
      <c r="T651">
        <v>2016</v>
      </c>
      <c r="U651" t="s">
        <v>118</v>
      </c>
      <c r="V651" s="2">
        <v>0.44</v>
      </c>
    </row>
    <row r="652" spans="1:22" x14ac:dyDescent="0.25">
      <c r="A652" t="s">
        <v>2243</v>
      </c>
      <c r="B652" s="1">
        <v>41882</v>
      </c>
      <c r="C652" s="1">
        <v>41887</v>
      </c>
      <c r="D652" t="s">
        <v>23</v>
      </c>
      <c r="E652" t="s">
        <v>2244</v>
      </c>
      <c r="F652" t="s">
        <v>2245</v>
      </c>
      <c r="G652" t="s">
        <v>26</v>
      </c>
      <c r="H652" t="s">
        <v>27</v>
      </c>
      <c r="I652" t="s">
        <v>2246</v>
      </c>
      <c r="J652" t="s">
        <v>889</v>
      </c>
      <c r="K652" t="s">
        <v>30</v>
      </c>
      <c r="L652" t="s">
        <v>1860</v>
      </c>
      <c r="M652" t="s">
        <v>32</v>
      </c>
      <c r="N652" t="s">
        <v>51</v>
      </c>
      <c r="O652" t="s">
        <v>1861</v>
      </c>
      <c r="P652">
        <v>92.52</v>
      </c>
      <c r="Q652">
        <v>9</v>
      </c>
      <c r="R652">
        <v>18.504000000000001</v>
      </c>
      <c r="S652" s="3" t="s">
        <v>35</v>
      </c>
      <c r="T652">
        <v>2014</v>
      </c>
      <c r="U652" t="s">
        <v>46</v>
      </c>
      <c r="V652" s="2">
        <v>0.2</v>
      </c>
    </row>
    <row r="653" spans="1:22" x14ac:dyDescent="0.25">
      <c r="A653" t="s">
        <v>2247</v>
      </c>
      <c r="B653" s="1">
        <v>41878</v>
      </c>
      <c r="C653" s="1">
        <v>41880</v>
      </c>
      <c r="D653" t="s">
        <v>56</v>
      </c>
      <c r="E653" t="s">
        <v>2248</v>
      </c>
      <c r="F653" t="s">
        <v>2249</v>
      </c>
      <c r="G653" t="s">
        <v>59</v>
      </c>
      <c r="H653" t="s">
        <v>27</v>
      </c>
      <c r="I653" t="s">
        <v>946</v>
      </c>
      <c r="J653" t="s">
        <v>693</v>
      </c>
      <c r="K653" t="s">
        <v>155</v>
      </c>
      <c r="L653" t="s">
        <v>1410</v>
      </c>
      <c r="M653" t="s">
        <v>32</v>
      </c>
      <c r="N653" t="s">
        <v>33</v>
      </c>
      <c r="O653" t="s">
        <v>1411</v>
      </c>
      <c r="P653">
        <v>579.95000000000005</v>
      </c>
      <c r="Q653">
        <v>5</v>
      </c>
      <c r="R653">
        <v>168.18549999999999</v>
      </c>
      <c r="S653" s="3" t="s">
        <v>65</v>
      </c>
      <c r="T653">
        <v>2014</v>
      </c>
      <c r="U653" t="s">
        <v>46</v>
      </c>
      <c r="V653" s="2">
        <v>0.28999999999999998</v>
      </c>
    </row>
    <row r="654" spans="1:22" x14ac:dyDescent="0.25">
      <c r="A654" t="s">
        <v>2250</v>
      </c>
      <c r="B654" s="1">
        <v>42704</v>
      </c>
      <c r="C654" s="1">
        <v>42704</v>
      </c>
      <c r="D654" t="s">
        <v>677</v>
      </c>
      <c r="E654" t="s">
        <v>543</v>
      </c>
      <c r="F654" t="s">
        <v>544</v>
      </c>
      <c r="G654" t="s">
        <v>26</v>
      </c>
      <c r="H654" t="s">
        <v>27</v>
      </c>
      <c r="I654" t="s">
        <v>2251</v>
      </c>
      <c r="J654" t="s">
        <v>154</v>
      </c>
      <c r="K654" t="s">
        <v>155</v>
      </c>
      <c r="L654" t="s">
        <v>1897</v>
      </c>
      <c r="M654" t="s">
        <v>32</v>
      </c>
      <c r="N654" t="s">
        <v>33</v>
      </c>
      <c r="O654" t="s">
        <v>1898</v>
      </c>
      <c r="P654">
        <v>36.192</v>
      </c>
      <c r="Q654">
        <v>1</v>
      </c>
      <c r="R654">
        <v>2.7143999999999999</v>
      </c>
      <c r="S654" s="3" t="s">
        <v>683</v>
      </c>
      <c r="T654">
        <v>2016</v>
      </c>
      <c r="U654" t="s">
        <v>118</v>
      </c>
      <c r="V654" s="2">
        <v>7.4999999999999997E-2</v>
      </c>
    </row>
    <row r="655" spans="1:22" x14ac:dyDescent="0.25">
      <c r="A655" t="s">
        <v>2252</v>
      </c>
      <c r="B655" s="1">
        <v>43002</v>
      </c>
      <c r="C655" s="1">
        <v>43006</v>
      </c>
      <c r="D655" t="s">
        <v>23</v>
      </c>
      <c r="E655" t="s">
        <v>2253</v>
      </c>
      <c r="F655" t="s">
        <v>2254</v>
      </c>
      <c r="G655" t="s">
        <v>59</v>
      </c>
      <c r="H655" t="s">
        <v>27</v>
      </c>
      <c r="I655" t="s">
        <v>2255</v>
      </c>
      <c r="J655" t="s">
        <v>86</v>
      </c>
      <c r="K655" t="s">
        <v>62</v>
      </c>
      <c r="L655" t="s">
        <v>2256</v>
      </c>
      <c r="M655" t="s">
        <v>32</v>
      </c>
      <c r="N655" t="s">
        <v>51</v>
      </c>
      <c r="O655" t="s">
        <v>2257</v>
      </c>
      <c r="P655">
        <v>72</v>
      </c>
      <c r="Q655">
        <v>4</v>
      </c>
      <c r="R655">
        <v>12.96</v>
      </c>
      <c r="S655" s="3" t="s">
        <v>53</v>
      </c>
      <c r="T655">
        <v>2017</v>
      </c>
      <c r="U655" t="s">
        <v>81</v>
      </c>
      <c r="V655" s="2">
        <v>0.18</v>
      </c>
    </row>
    <row r="656" spans="1:22" x14ac:dyDescent="0.25">
      <c r="A656" t="s">
        <v>2252</v>
      </c>
      <c r="B656" s="1">
        <v>43002</v>
      </c>
      <c r="C656" s="1">
        <v>43006</v>
      </c>
      <c r="D656" t="s">
        <v>23</v>
      </c>
      <c r="E656" t="s">
        <v>2253</v>
      </c>
      <c r="F656" t="s">
        <v>2254</v>
      </c>
      <c r="G656" t="s">
        <v>59</v>
      </c>
      <c r="H656" t="s">
        <v>27</v>
      </c>
      <c r="I656" t="s">
        <v>2255</v>
      </c>
      <c r="J656" t="s">
        <v>86</v>
      </c>
      <c r="K656" t="s">
        <v>62</v>
      </c>
      <c r="L656" t="s">
        <v>2258</v>
      </c>
      <c r="M656" t="s">
        <v>32</v>
      </c>
      <c r="N656" t="s">
        <v>51</v>
      </c>
      <c r="O656" t="s">
        <v>2259</v>
      </c>
      <c r="P656">
        <v>655.9</v>
      </c>
      <c r="Q656">
        <v>5</v>
      </c>
      <c r="R656">
        <v>275.47800000000001</v>
      </c>
      <c r="S656" s="3" t="s">
        <v>53</v>
      </c>
      <c r="T656">
        <v>2017</v>
      </c>
      <c r="U656" t="s">
        <v>81</v>
      </c>
      <c r="V656" s="2">
        <v>0.42</v>
      </c>
    </row>
    <row r="657" spans="1:22" x14ac:dyDescent="0.25">
      <c r="A657" t="s">
        <v>2260</v>
      </c>
      <c r="B657" s="1">
        <v>42642</v>
      </c>
      <c r="C657" s="1">
        <v>42646</v>
      </c>
      <c r="D657" t="s">
        <v>23</v>
      </c>
      <c r="E657" t="s">
        <v>762</v>
      </c>
      <c r="F657" t="s">
        <v>763</v>
      </c>
      <c r="G657" t="s">
        <v>26</v>
      </c>
      <c r="H657" t="s">
        <v>27</v>
      </c>
      <c r="I657" t="s">
        <v>1210</v>
      </c>
      <c r="J657" t="s">
        <v>555</v>
      </c>
      <c r="K657" t="s">
        <v>155</v>
      </c>
      <c r="L657" t="s">
        <v>2133</v>
      </c>
      <c r="M657" t="s">
        <v>32</v>
      </c>
      <c r="N657" t="s">
        <v>51</v>
      </c>
      <c r="O657" t="s">
        <v>2134</v>
      </c>
      <c r="P657">
        <v>209.97</v>
      </c>
      <c r="Q657">
        <v>3</v>
      </c>
      <c r="R657">
        <v>71.389799999999994</v>
      </c>
      <c r="S657" s="3" t="s">
        <v>53</v>
      </c>
      <c r="T657">
        <v>2016</v>
      </c>
      <c r="U657" t="s">
        <v>81</v>
      </c>
      <c r="V657" s="2">
        <v>0.34</v>
      </c>
    </row>
    <row r="658" spans="1:22" x14ac:dyDescent="0.25">
      <c r="A658" t="s">
        <v>2261</v>
      </c>
      <c r="B658" s="1">
        <v>42835</v>
      </c>
      <c r="C658" s="1">
        <v>42835</v>
      </c>
      <c r="D658" t="s">
        <v>677</v>
      </c>
      <c r="E658" t="s">
        <v>2262</v>
      </c>
      <c r="F658" t="s">
        <v>2263</v>
      </c>
      <c r="G658" t="s">
        <v>26</v>
      </c>
      <c r="H658" t="s">
        <v>27</v>
      </c>
      <c r="I658" t="s">
        <v>715</v>
      </c>
      <c r="J658" t="s">
        <v>61</v>
      </c>
      <c r="K658" t="s">
        <v>62</v>
      </c>
      <c r="L658" t="s">
        <v>829</v>
      </c>
      <c r="M658" t="s">
        <v>32</v>
      </c>
      <c r="N658" t="s">
        <v>51</v>
      </c>
      <c r="O658" t="s">
        <v>830</v>
      </c>
      <c r="P658">
        <v>95.736000000000004</v>
      </c>
      <c r="Q658">
        <v>3</v>
      </c>
      <c r="R658">
        <v>20.343900000000001</v>
      </c>
      <c r="S658" s="3" t="s">
        <v>683</v>
      </c>
      <c r="T658">
        <v>2017</v>
      </c>
      <c r="U658" t="s">
        <v>291</v>
      </c>
      <c r="V658" s="2">
        <v>0.21249999999999999</v>
      </c>
    </row>
    <row r="659" spans="1:22" x14ac:dyDescent="0.25">
      <c r="A659" t="s">
        <v>2264</v>
      </c>
      <c r="B659" s="1">
        <v>41810</v>
      </c>
      <c r="C659" s="1">
        <v>41814</v>
      </c>
      <c r="D659" t="s">
        <v>23</v>
      </c>
      <c r="E659" t="s">
        <v>2265</v>
      </c>
      <c r="F659" t="s">
        <v>2266</v>
      </c>
      <c r="G659" t="s">
        <v>26</v>
      </c>
      <c r="H659" t="s">
        <v>27</v>
      </c>
      <c r="I659" t="s">
        <v>1355</v>
      </c>
      <c r="J659" t="s">
        <v>61</v>
      </c>
      <c r="K659" t="s">
        <v>62</v>
      </c>
      <c r="L659" t="s">
        <v>1824</v>
      </c>
      <c r="M659" t="s">
        <v>32</v>
      </c>
      <c r="N659" t="s">
        <v>33</v>
      </c>
      <c r="O659" t="s">
        <v>1825</v>
      </c>
      <c r="P659">
        <v>201.584</v>
      </c>
      <c r="Q659">
        <v>2</v>
      </c>
      <c r="R659">
        <v>20.1584</v>
      </c>
      <c r="S659" s="3" t="s">
        <v>53</v>
      </c>
      <c r="T659">
        <v>2014</v>
      </c>
      <c r="U659" t="s">
        <v>36</v>
      </c>
      <c r="V659" s="2">
        <v>0.1</v>
      </c>
    </row>
    <row r="660" spans="1:22" x14ac:dyDescent="0.25">
      <c r="A660" t="s">
        <v>2264</v>
      </c>
      <c r="B660" s="1">
        <v>41810</v>
      </c>
      <c r="C660" s="1">
        <v>41814</v>
      </c>
      <c r="D660" t="s">
        <v>23</v>
      </c>
      <c r="E660" t="s">
        <v>2265</v>
      </c>
      <c r="F660" t="s">
        <v>2266</v>
      </c>
      <c r="G660" t="s">
        <v>26</v>
      </c>
      <c r="H660" t="s">
        <v>27</v>
      </c>
      <c r="I660" t="s">
        <v>1355</v>
      </c>
      <c r="J660" t="s">
        <v>61</v>
      </c>
      <c r="K660" t="s">
        <v>62</v>
      </c>
      <c r="L660" t="s">
        <v>2083</v>
      </c>
      <c r="M660" t="s">
        <v>32</v>
      </c>
      <c r="N660" t="s">
        <v>215</v>
      </c>
      <c r="O660" t="s">
        <v>2084</v>
      </c>
      <c r="P660">
        <v>418.8</v>
      </c>
      <c r="Q660">
        <v>2</v>
      </c>
      <c r="R660">
        <v>-97.72</v>
      </c>
      <c r="S660" s="3" t="s">
        <v>53</v>
      </c>
      <c r="T660">
        <v>2014</v>
      </c>
      <c r="U660" t="s">
        <v>36</v>
      </c>
      <c r="V660" s="2">
        <v>-0.233333333333333</v>
      </c>
    </row>
    <row r="661" spans="1:22" x14ac:dyDescent="0.25">
      <c r="A661" t="s">
        <v>2267</v>
      </c>
      <c r="B661" s="1">
        <v>42724</v>
      </c>
      <c r="C661" s="1">
        <v>42728</v>
      </c>
      <c r="D661" t="s">
        <v>23</v>
      </c>
      <c r="E661" t="s">
        <v>1559</v>
      </c>
      <c r="F661" t="s">
        <v>1560</v>
      </c>
      <c r="G661" t="s">
        <v>26</v>
      </c>
      <c r="H661" t="s">
        <v>27</v>
      </c>
      <c r="I661" t="s">
        <v>687</v>
      </c>
      <c r="J661" t="s">
        <v>688</v>
      </c>
      <c r="K661" t="s">
        <v>155</v>
      </c>
      <c r="L661" t="s">
        <v>239</v>
      </c>
      <c r="M661" t="s">
        <v>32</v>
      </c>
      <c r="N661" t="s">
        <v>51</v>
      </c>
      <c r="O661" t="s">
        <v>240</v>
      </c>
      <c r="P661">
        <v>66.3</v>
      </c>
      <c r="Q661">
        <v>3</v>
      </c>
      <c r="R661">
        <v>8.6189999999999998</v>
      </c>
      <c r="S661" s="3" t="s">
        <v>53</v>
      </c>
      <c r="T661">
        <v>2016</v>
      </c>
      <c r="U661" t="s">
        <v>66</v>
      </c>
      <c r="V661" s="2">
        <v>0.13</v>
      </c>
    </row>
    <row r="662" spans="1:22" x14ac:dyDescent="0.25">
      <c r="A662" t="s">
        <v>2268</v>
      </c>
      <c r="B662" s="1">
        <v>42591</v>
      </c>
      <c r="C662" s="1">
        <v>42594</v>
      </c>
      <c r="D662" t="s">
        <v>56</v>
      </c>
      <c r="E662" t="s">
        <v>328</v>
      </c>
      <c r="F662" t="s">
        <v>329</v>
      </c>
      <c r="G662" t="s">
        <v>26</v>
      </c>
      <c r="H662" t="s">
        <v>27</v>
      </c>
      <c r="I662" t="s">
        <v>2269</v>
      </c>
      <c r="J662" t="s">
        <v>154</v>
      </c>
      <c r="K662" t="s">
        <v>155</v>
      </c>
      <c r="L662" t="s">
        <v>2056</v>
      </c>
      <c r="M662" t="s">
        <v>32</v>
      </c>
      <c r="N662" t="s">
        <v>33</v>
      </c>
      <c r="O662" t="s">
        <v>2057</v>
      </c>
      <c r="P662">
        <v>44.783999999999999</v>
      </c>
      <c r="Q662">
        <v>2</v>
      </c>
      <c r="R662">
        <v>4.4783999999999997</v>
      </c>
      <c r="S662" s="3" t="s">
        <v>172</v>
      </c>
      <c r="T662">
        <v>2016</v>
      </c>
      <c r="U662" t="s">
        <v>46</v>
      </c>
      <c r="V662" s="2">
        <v>0.1</v>
      </c>
    </row>
    <row r="663" spans="1:22" x14ac:dyDescent="0.25">
      <c r="A663" t="s">
        <v>2270</v>
      </c>
      <c r="B663" s="1">
        <v>42695</v>
      </c>
      <c r="C663" s="1">
        <v>42699</v>
      </c>
      <c r="D663" t="s">
        <v>40</v>
      </c>
      <c r="E663" t="s">
        <v>2051</v>
      </c>
      <c r="F663" t="s">
        <v>2052</v>
      </c>
      <c r="G663" t="s">
        <v>59</v>
      </c>
      <c r="H663" t="s">
        <v>27</v>
      </c>
      <c r="I663" t="s">
        <v>425</v>
      </c>
      <c r="J663" t="s">
        <v>755</v>
      </c>
      <c r="K663" t="s">
        <v>62</v>
      </c>
      <c r="L663" t="s">
        <v>304</v>
      </c>
      <c r="M663" t="s">
        <v>32</v>
      </c>
      <c r="N663" t="s">
        <v>33</v>
      </c>
      <c r="O663" t="s">
        <v>305</v>
      </c>
      <c r="P663">
        <v>404.94</v>
      </c>
      <c r="Q663">
        <v>3</v>
      </c>
      <c r="R663">
        <v>109.3338</v>
      </c>
      <c r="S663" s="3" t="s">
        <v>53</v>
      </c>
      <c r="T663">
        <v>2016</v>
      </c>
      <c r="U663" t="s">
        <v>118</v>
      </c>
      <c r="V663" s="2">
        <v>0.27</v>
      </c>
    </row>
    <row r="664" spans="1:22" x14ac:dyDescent="0.25">
      <c r="A664" t="s">
        <v>2271</v>
      </c>
      <c r="B664" s="1">
        <v>42618</v>
      </c>
      <c r="C664" s="1">
        <v>42623</v>
      </c>
      <c r="D664" t="s">
        <v>23</v>
      </c>
      <c r="E664" t="s">
        <v>1288</v>
      </c>
      <c r="F664" t="s">
        <v>1289</v>
      </c>
      <c r="G664" t="s">
        <v>59</v>
      </c>
      <c r="H664" t="s">
        <v>27</v>
      </c>
      <c r="I664" t="s">
        <v>300</v>
      </c>
      <c r="J664" t="s">
        <v>29</v>
      </c>
      <c r="K664" t="s">
        <v>30</v>
      </c>
      <c r="L664" t="s">
        <v>234</v>
      </c>
      <c r="M664" t="s">
        <v>32</v>
      </c>
      <c r="N664" t="s">
        <v>51</v>
      </c>
      <c r="O664" t="s">
        <v>235</v>
      </c>
      <c r="P664">
        <v>116</v>
      </c>
      <c r="Q664">
        <v>8</v>
      </c>
      <c r="R664">
        <v>29</v>
      </c>
      <c r="S664" s="3" t="s">
        <v>35</v>
      </c>
      <c r="T664">
        <v>2016</v>
      </c>
      <c r="U664" t="s">
        <v>81</v>
      </c>
      <c r="V664" s="2">
        <v>0.25</v>
      </c>
    </row>
    <row r="665" spans="1:22" x14ac:dyDescent="0.25">
      <c r="A665" t="s">
        <v>2272</v>
      </c>
      <c r="B665" s="1">
        <v>42698</v>
      </c>
      <c r="C665" s="1">
        <v>42702</v>
      </c>
      <c r="D665" t="s">
        <v>23</v>
      </c>
      <c r="E665" t="s">
        <v>1948</v>
      </c>
      <c r="F665" t="s">
        <v>1949</v>
      </c>
      <c r="G665" t="s">
        <v>26</v>
      </c>
      <c r="H665" t="s">
        <v>27</v>
      </c>
      <c r="I665" t="s">
        <v>262</v>
      </c>
      <c r="J665" t="s">
        <v>61</v>
      </c>
      <c r="K665" t="s">
        <v>62</v>
      </c>
      <c r="L665" t="s">
        <v>2273</v>
      </c>
      <c r="M665" t="s">
        <v>32</v>
      </c>
      <c r="N665" t="s">
        <v>33</v>
      </c>
      <c r="O665" t="s">
        <v>2274</v>
      </c>
      <c r="P665">
        <v>657.55200000000002</v>
      </c>
      <c r="Q665">
        <v>6</v>
      </c>
      <c r="R665">
        <v>49.316400000000002</v>
      </c>
      <c r="S665" s="3" t="s">
        <v>53</v>
      </c>
      <c r="T665">
        <v>2016</v>
      </c>
      <c r="U665" t="s">
        <v>118</v>
      </c>
      <c r="V665" s="2">
        <v>7.4999999999999997E-2</v>
      </c>
    </row>
    <row r="666" spans="1:22" x14ac:dyDescent="0.25">
      <c r="A666" t="s">
        <v>2275</v>
      </c>
      <c r="B666" s="1">
        <v>43079</v>
      </c>
      <c r="C666" s="1">
        <v>43084</v>
      </c>
      <c r="D666" t="s">
        <v>40</v>
      </c>
      <c r="E666" t="s">
        <v>2276</v>
      </c>
      <c r="F666" t="s">
        <v>2277</v>
      </c>
      <c r="G666" t="s">
        <v>70</v>
      </c>
      <c r="H666" t="s">
        <v>27</v>
      </c>
      <c r="I666" t="s">
        <v>687</v>
      </c>
      <c r="J666" t="s">
        <v>688</v>
      </c>
      <c r="K666" t="s">
        <v>155</v>
      </c>
      <c r="L666" t="s">
        <v>788</v>
      </c>
      <c r="M666" t="s">
        <v>32</v>
      </c>
      <c r="N666" t="s">
        <v>51</v>
      </c>
      <c r="O666" t="s">
        <v>789</v>
      </c>
      <c r="P666">
        <v>599.97</v>
      </c>
      <c r="Q666">
        <v>3</v>
      </c>
      <c r="R666">
        <v>257.9871</v>
      </c>
      <c r="S666" s="3" t="s">
        <v>35</v>
      </c>
      <c r="T666">
        <v>2017</v>
      </c>
      <c r="U666" t="s">
        <v>66</v>
      </c>
      <c r="V666" s="2">
        <v>0.43</v>
      </c>
    </row>
    <row r="667" spans="1:22" x14ac:dyDescent="0.25">
      <c r="A667" t="s">
        <v>2275</v>
      </c>
      <c r="B667" s="1">
        <v>43079</v>
      </c>
      <c r="C667" s="1">
        <v>43084</v>
      </c>
      <c r="D667" t="s">
        <v>40</v>
      </c>
      <c r="E667" t="s">
        <v>2276</v>
      </c>
      <c r="F667" t="s">
        <v>2277</v>
      </c>
      <c r="G667" t="s">
        <v>70</v>
      </c>
      <c r="H667" t="s">
        <v>27</v>
      </c>
      <c r="I667" t="s">
        <v>687</v>
      </c>
      <c r="J667" t="s">
        <v>688</v>
      </c>
      <c r="K667" t="s">
        <v>155</v>
      </c>
      <c r="L667" t="s">
        <v>947</v>
      </c>
      <c r="M667" t="s">
        <v>32</v>
      </c>
      <c r="N667" t="s">
        <v>33</v>
      </c>
      <c r="O667" t="s">
        <v>948</v>
      </c>
      <c r="P667">
        <v>38.97</v>
      </c>
      <c r="Q667">
        <v>3</v>
      </c>
      <c r="R667">
        <v>0.77939999999999998</v>
      </c>
      <c r="S667" s="3" t="s">
        <v>35</v>
      </c>
      <c r="T667">
        <v>2017</v>
      </c>
      <c r="U667" t="s">
        <v>66</v>
      </c>
      <c r="V667" s="2">
        <v>0.02</v>
      </c>
    </row>
    <row r="668" spans="1:22" x14ac:dyDescent="0.25">
      <c r="A668" t="s">
        <v>2278</v>
      </c>
      <c r="B668" s="1">
        <v>42545</v>
      </c>
      <c r="C668" s="1">
        <v>42550</v>
      </c>
      <c r="D668" t="s">
        <v>23</v>
      </c>
      <c r="E668" t="s">
        <v>1523</v>
      </c>
      <c r="F668" t="s">
        <v>1524</v>
      </c>
      <c r="G668" t="s">
        <v>26</v>
      </c>
      <c r="H668" t="s">
        <v>27</v>
      </c>
      <c r="I668" t="s">
        <v>300</v>
      </c>
      <c r="J668" t="s">
        <v>29</v>
      </c>
      <c r="K668" t="s">
        <v>30</v>
      </c>
      <c r="L668" t="s">
        <v>1846</v>
      </c>
      <c r="M668" t="s">
        <v>32</v>
      </c>
      <c r="N668" t="s">
        <v>33</v>
      </c>
      <c r="O668" t="s">
        <v>1847</v>
      </c>
      <c r="P668">
        <v>38.24</v>
      </c>
      <c r="Q668">
        <v>4</v>
      </c>
      <c r="R668">
        <v>-9.56</v>
      </c>
      <c r="S668" s="3" t="s">
        <v>35</v>
      </c>
      <c r="T668">
        <v>2016</v>
      </c>
      <c r="U668" t="s">
        <v>36</v>
      </c>
      <c r="V668" s="2">
        <v>-0.25</v>
      </c>
    </row>
    <row r="669" spans="1:22" x14ac:dyDescent="0.25">
      <c r="A669" t="s">
        <v>2279</v>
      </c>
      <c r="B669" s="1">
        <v>42264</v>
      </c>
      <c r="C669" s="1">
        <v>42270</v>
      </c>
      <c r="D669" t="s">
        <v>23</v>
      </c>
      <c r="E669" t="s">
        <v>1765</v>
      </c>
      <c r="F669" t="s">
        <v>1766</v>
      </c>
      <c r="G669" t="s">
        <v>26</v>
      </c>
      <c r="H669" t="s">
        <v>27</v>
      </c>
      <c r="I669" t="s">
        <v>2280</v>
      </c>
      <c r="J669" t="s">
        <v>288</v>
      </c>
      <c r="K669" t="s">
        <v>155</v>
      </c>
      <c r="L669" t="s">
        <v>571</v>
      </c>
      <c r="M669" t="s">
        <v>32</v>
      </c>
      <c r="N669" t="s">
        <v>51</v>
      </c>
      <c r="O669" t="s">
        <v>572</v>
      </c>
      <c r="P669">
        <v>87.168000000000006</v>
      </c>
      <c r="Q669">
        <v>3</v>
      </c>
      <c r="R669">
        <v>10.896000000000001</v>
      </c>
      <c r="S669" s="3" t="s">
        <v>107</v>
      </c>
      <c r="T669">
        <v>2015</v>
      </c>
      <c r="U669" t="s">
        <v>81</v>
      </c>
      <c r="V669" s="2">
        <v>0.125</v>
      </c>
    </row>
    <row r="670" spans="1:22" x14ac:dyDescent="0.25">
      <c r="A670" t="s">
        <v>2281</v>
      </c>
      <c r="B670" s="1">
        <v>41747</v>
      </c>
      <c r="C670" s="1">
        <v>41752</v>
      </c>
      <c r="D670" t="s">
        <v>23</v>
      </c>
      <c r="E670" t="s">
        <v>2282</v>
      </c>
      <c r="F670" t="s">
        <v>2283</v>
      </c>
      <c r="G670" t="s">
        <v>26</v>
      </c>
      <c r="H670" t="s">
        <v>27</v>
      </c>
      <c r="I670" t="s">
        <v>28</v>
      </c>
      <c r="J670" t="s">
        <v>29</v>
      </c>
      <c r="K670" t="s">
        <v>30</v>
      </c>
      <c r="L670" t="s">
        <v>2284</v>
      </c>
      <c r="M670" t="s">
        <v>32</v>
      </c>
      <c r="N670" t="s">
        <v>215</v>
      </c>
      <c r="O670" t="s">
        <v>2285</v>
      </c>
      <c r="P670">
        <v>287.96800000000002</v>
      </c>
      <c r="Q670">
        <v>4</v>
      </c>
      <c r="R670">
        <v>97.1892</v>
      </c>
      <c r="S670" s="3" t="s">
        <v>35</v>
      </c>
      <c r="T670">
        <v>2014</v>
      </c>
      <c r="U670" t="s">
        <v>291</v>
      </c>
      <c r="V670" s="2">
        <v>0.33750000000000002</v>
      </c>
    </row>
    <row r="671" spans="1:22" x14ac:dyDescent="0.25">
      <c r="A671" t="s">
        <v>2286</v>
      </c>
      <c r="B671" s="1">
        <v>42458</v>
      </c>
      <c r="C671" s="1">
        <v>42462</v>
      </c>
      <c r="D671" t="s">
        <v>40</v>
      </c>
      <c r="E671" t="s">
        <v>2287</v>
      </c>
      <c r="F671" t="s">
        <v>2288</v>
      </c>
      <c r="G671" t="s">
        <v>70</v>
      </c>
      <c r="H671" t="s">
        <v>27</v>
      </c>
      <c r="I671" t="s">
        <v>140</v>
      </c>
      <c r="J671" t="s">
        <v>78</v>
      </c>
      <c r="K671" t="s">
        <v>62</v>
      </c>
      <c r="L671" t="s">
        <v>194</v>
      </c>
      <c r="M671" t="s">
        <v>32</v>
      </c>
      <c r="N671" t="s">
        <v>33</v>
      </c>
      <c r="O671" t="s">
        <v>195</v>
      </c>
      <c r="P671">
        <v>812.73599999999999</v>
      </c>
      <c r="Q671">
        <v>8</v>
      </c>
      <c r="R671">
        <v>60.955199999999998</v>
      </c>
      <c r="S671" s="3" t="s">
        <v>53</v>
      </c>
      <c r="T671">
        <v>2016</v>
      </c>
      <c r="U671" t="s">
        <v>89</v>
      </c>
      <c r="V671" s="2">
        <v>7.4999999999999997E-2</v>
      </c>
    </row>
    <row r="672" spans="1:22" x14ac:dyDescent="0.25">
      <c r="A672" t="s">
        <v>2289</v>
      </c>
      <c r="B672" s="1">
        <v>41721</v>
      </c>
      <c r="C672" s="1">
        <v>41724</v>
      </c>
      <c r="D672" t="s">
        <v>40</v>
      </c>
      <c r="E672" t="s">
        <v>858</v>
      </c>
      <c r="F672" t="s">
        <v>859</v>
      </c>
      <c r="G672" t="s">
        <v>26</v>
      </c>
      <c r="H672" t="s">
        <v>27</v>
      </c>
      <c r="I672" t="s">
        <v>28</v>
      </c>
      <c r="J672" t="s">
        <v>29</v>
      </c>
      <c r="K672" t="s">
        <v>30</v>
      </c>
      <c r="L672" t="s">
        <v>2290</v>
      </c>
      <c r="M672" t="s">
        <v>32</v>
      </c>
      <c r="N672" t="s">
        <v>33</v>
      </c>
      <c r="O672" t="s">
        <v>2291</v>
      </c>
      <c r="P672">
        <v>604.75199999999995</v>
      </c>
      <c r="Q672">
        <v>6</v>
      </c>
      <c r="R672">
        <v>37.796999999999997</v>
      </c>
      <c r="S672" s="3" t="s">
        <v>172</v>
      </c>
      <c r="T672">
        <v>2014</v>
      </c>
      <c r="U672" t="s">
        <v>89</v>
      </c>
      <c r="V672" s="2">
        <v>6.25E-2</v>
      </c>
    </row>
    <row r="673" spans="1:22" x14ac:dyDescent="0.25">
      <c r="A673" t="s">
        <v>2292</v>
      </c>
      <c r="B673" s="1">
        <v>43046</v>
      </c>
      <c r="C673" s="1">
        <v>43051</v>
      </c>
      <c r="D673" t="s">
        <v>23</v>
      </c>
      <c r="E673" t="s">
        <v>2293</v>
      </c>
      <c r="F673" t="s">
        <v>2294</v>
      </c>
      <c r="G673" t="s">
        <v>26</v>
      </c>
      <c r="H673" t="s">
        <v>27</v>
      </c>
      <c r="I673" t="s">
        <v>43</v>
      </c>
      <c r="J673" t="s">
        <v>29</v>
      </c>
      <c r="K673" t="s">
        <v>30</v>
      </c>
      <c r="L673" t="s">
        <v>1198</v>
      </c>
      <c r="M673" t="s">
        <v>32</v>
      </c>
      <c r="N673" t="s">
        <v>51</v>
      </c>
      <c r="O673" t="s">
        <v>1199</v>
      </c>
      <c r="P673">
        <v>439.8</v>
      </c>
      <c r="Q673">
        <v>4</v>
      </c>
      <c r="R673">
        <v>145.13399999999999</v>
      </c>
      <c r="S673" s="3" t="s">
        <v>35</v>
      </c>
      <c r="T673">
        <v>2017</v>
      </c>
      <c r="U673" t="s">
        <v>118</v>
      </c>
      <c r="V673" s="2">
        <v>0.33</v>
      </c>
    </row>
    <row r="674" spans="1:22" x14ac:dyDescent="0.25">
      <c r="A674" t="s">
        <v>2295</v>
      </c>
      <c r="B674" s="1">
        <v>42919</v>
      </c>
      <c r="C674" s="1">
        <v>42919</v>
      </c>
      <c r="D674" t="s">
        <v>677</v>
      </c>
      <c r="E674" t="s">
        <v>2296</v>
      </c>
      <c r="F674" t="s">
        <v>2297</v>
      </c>
      <c r="G674" t="s">
        <v>70</v>
      </c>
      <c r="H674" t="s">
        <v>27</v>
      </c>
      <c r="I674" t="s">
        <v>481</v>
      </c>
      <c r="J674" t="s">
        <v>426</v>
      </c>
      <c r="K674" t="s">
        <v>30</v>
      </c>
      <c r="L674" t="s">
        <v>330</v>
      </c>
      <c r="M674" t="s">
        <v>32</v>
      </c>
      <c r="N674" t="s">
        <v>51</v>
      </c>
      <c r="O674" t="s">
        <v>331</v>
      </c>
      <c r="P674">
        <v>59.98</v>
      </c>
      <c r="Q674">
        <v>2</v>
      </c>
      <c r="R674">
        <v>26.391200000000001</v>
      </c>
      <c r="S674" s="3" t="s">
        <v>683</v>
      </c>
      <c r="T674">
        <v>2017</v>
      </c>
      <c r="U674" t="s">
        <v>332</v>
      </c>
      <c r="V674" s="2">
        <v>0.44</v>
      </c>
    </row>
    <row r="675" spans="1:22" x14ac:dyDescent="0.25">
      <c r="A675" t="s">
        <v>2295</v>
      </c>
      <c r="B675" s="1">
        <v>42919</v>
      </c>
      <c r="C675" s="1">
        <v>42919</v>
      </c>
      <c r="D675" t="s">
        <v>677</v>
      </c>
      <c r="E675" t="s">
        <v>2296</v>
      </c>
      <c r="F675" t="s">
        <v>2297</v>
      </c>
      <c r="G675" t="s">
        <v>70</v>
      </c>
      <c r="H675" t="s">
        <v>27</v>
      </c>
      <c r="I675" t="s">
        <v>481</v>
      </c>
      <c r="J675" t="s">
        <v>426</v>
      </c>
      <c r="K675" t="s">
        <v>30</v>
      </c>
      <c r="L675" t="s">
        <v>282</v>
      </c>
      <c r="M675" t="s">
        <v>32</v>
      </c>
      <c r="N675" t="s">
        <v>215</v>
      </c>
      <c r="O675" t="s">
        <v>2298</v>
      </c>
      <c r="P675">
        <v>2395.1999999999998</v>
      </c>
      <c r="Q675">
        <v>6</v>
      </c>
      <c r="R675">
        <v>209.58</v>
      </c>
      <c r="S675" s="3" t="s">
        <v>683</v>
      </c>
      <c r="T675">
        <v>2017</v>
      </c>
      <c r="U675" t="s">
        <v>332</v>
      </c>
      <c r="V675" s="2">
        <v>8.7499999999999994E-2</v>
      </c>
    </row>
    <row r="676" spans="1:22" x14ac:dyDescent="0.25">
      <c r="A676" t="s">
        <v>2295</v>
      </c>
      <c r="B676" s="1">
        <v>42919</v>
      </c>
      <c r="C676" s="1">
        <v>42919</v>
      </c>
      <c r="D676" t="s">
        <v>677</v>
      </c>
      <c r="E676" t="s">
        <v>2296</v>
      </c>
      <c r="F676" t="s">
        <v>2297</v>
      </c>
      <c r="G676" t="s">
        <v>70</v>
      </c>
      <c r="H676" t="s">
        <v>27</v>
      </c>
      <c r="I676" t="s">
        <v>481</v>
      </c>
      <c r="J676" t="s">
        <v>426</v>
      </c>
      <c r="K676" t="s">
        <v>30</v>
      </c>
      <c r="L676" t="s">
        <v>841</v>
      </c>
      <c r="M676" t="s">
        <v>32</v>
      </c>
      <c r="N676" t="s">
        <v>51</v>
      </c>
      <c r="O676" t="s">
        <v>1306</v>
      </c>
      <c r="P676">
        <v>1687.8</v>
      </c>
      <c r="Q676">
        <v>4</v>
      </c>
      <c r="R676">
        <v>742.63199999999995</v>
      </c>
      <c r="S676" s="3" t="s">
        <v>683</v>
      </c>
      <c r="T676">
        <v>2017</v>
      </c>
      <c r="U676" t="s">
        <v>332</v>
      </c>
      <c r="V676" s="2">
        <v>0.44</v>
      </c>
    </row>
    <row r="677" spans="1:22" x14ac:dyDescent="0.25">
      <c r="A677" t="s">
        <v>2295</v>
      </c>
      <c r="B677" s="1">
        <v>42919</v>
      </c>
      <c r="C677" s="1">
        <v>42919</v>
      </c>
      <c r="D677" t="s">
        <v>677</v>
      </c>
      <c r="E677" t="s">
        <v>2296</v>
      </c>
      <c r="F677" t="s">
        <v>2297</v>
      </c>
      <c r="G677" t="s">
        <v>70</v>
      </c>
      <c r="H677" t="s">
        <v>27</v>
      </c>
      <c r="I677" t="s">
        <v>481</v>
      </c>
      <c r="J677" t="s">
        <v>426</v>
      </c>
      <c r="K677" t="s">
        <v>30</v>
      </c>
      <c r="L677" t="s">
        <v>386</v>
      </c>
      <c r="M677" t="s">
        <v>32</v>
      </c>
      <c r="N677" t="s">
        <v>33</v>
      </c>
      <c r="O677" t="s">
        <v>387</v>
      </c>
      <c r="P677">
        <v>7.992</v>
      </c>
      <c r="Q677">
        <v>1</v>
      </c>
      <c r="R677">
        <v>2.6972999999999998</v>
      </c>
      <c r="S677" s="3" t="s">
        <v>683</v>
      </c>
      <c r="T677">
        <v>2017</v>
      </c>
      <c r="U677" t="s">
        <v>332</v>
      </c>
      <c r="V677" s="2">
        <v>0.33750000000000002</v>
      </c>
    </row>
    <row r="678" spans="1:22" x14ac:dyDescent="0.25">
      <c r="A678" t="s">
        <v>2299</v>
      </c>
      <c r="B678" s="1">
        <v>43002</v>
      </c>
      <c r="C678" s="1">
        <v>43006</v>
      </c>
      <c r="D678" t="s">
        <v>23</v>
      </c>
      <c r="E678" t="s">
        <v>1085</v>
      </c>
      <c r="F678" t="s">
        <v>1086</v>
      </c>
      <c r="G678" t="s">
        <v>70</v>
      </c>
      <c r="H678" t="s">
        <v>27</v>
      </c>
      <c r="I678" t="s">
        <v>2300</v>
      </c>
      <c r="J678" t="s">
        <v>177</v>
      </c>
      <c r="K678" t="s">
        <v>95</v>
      </c>
      <c r="L678" t="s">
        <v>1431</v>
      </c>
      <c r="M678" t="s">
        <v>32</v>
      </c>
      <c r="N678" t="s">
        <v>33</v>
      </c>
      <c r="O678" t="s">
        <v>1432</v>
      </c>
      <c r="P678">
        <v>1169.694</v>
      </c>
      <c r="Q678">
        <v>3</v>
      </c>
      <c r="R678">
        <v>-253.43369999999999</v>
      </c>
      <c r="S678" s="3" t="s">
        <v>53</v>
      </c>
      <c r="T678">
        <v>2017</v>
      </c>
      <c r="U678" t="s">
        <v>81</v>
      </c>
      <c r="V678" s="2">
        <v>-0.21666666666666701</v>
      </c>
    </row>
    <row r="679" spans="1:22" x14ac:dyDescent="0.25">
      <c r="A679" t="s">
        <v>2301</v>
      </c>
      <c r="B679" s="1">
        <v>41891</v>
      </c>
      <c r="C679" s="1">
        <v>41896</v>
      </c>
      <c r="D679" t="s">
        <v>40</v>
      </c>
      <c r="E679" t="s">
        <v>2302</v>
      </c>
      <c r="F679" t="s">
        <v>2303</v>
      </c>
      <c r="G679" t="s">
        <v>26</v>
      </c>
      <c r="H679" t="s">
        <v>27</v>
      </c>
      <c r="I679" t="s">
        <v>206</v>
      </c>
      <c r="J679" t="s">
        <v>207</v>
      </c>
      <c r="K679" t="s">
        <v>95</v>
      </c>
      <c r="L679" t="s">
        <v>2304</v>
      </c>
      <c r="M679" t="s">
        <v>32</v>
      </c>
      <c r="N679" t="s">
        <v>51</v>
      </c>
      <c r="O679" t="s">
        <v>2305</v>
      </c>
      <c r="P679">
        <v>64.703999999999994</v>
      </c>
      <c r="Q679">
        <v>6</v>
      </c>
      <c r="R679">
        <v>-4.8528000000000002</v>
      </c>
      <c r="S679" s="3" t="s">
        <v>35</v>
      </c>
      <c r="T679">
        <v>2014</v>
      </c>
      <c r="U679" t="s">
        <v>81</v>
      </c>
      <c r="V679" s="2">
        <v>-7.4999999999999997E-2</v>
      </c>
    </row>
    <row r="680" spans="1:22" x14ac:dyDescent="0.25">
      <c r="A680" t="s">
        <v>2301</v>
      </c>
      <c r="B680" s="1">
        <v>41891</v>
      </c>
      <c r="C680" s="1">
        <v>41896</v>
      </c>
      <c r="D680" t="s">
        <v>40</v>
      </c>
      <c r="E680" t="s">
        <v>2302</v>
      </c>
      <c r="F680" t="s">
        <v>2303</v>
      </c>
      <c r="G680" t="s">
        <v>26</v>
      </c>
      <c r="H680" t="s">
        <v>27</v>
      </c>
      <c r="I680" t="s">
        <v>206</v>
      </c>
      <c r="J680" t="s">
        <v>207</v>
      </c>
      <c r="K680" t="s">
        <v>95</v>
      </c>
      <c r="L680" t="s">
        <v>1137</v>
      </c>
      <c r="M680" t="s">
        <v>32</v>
      </c>
      <c r="N680" t="s">
        <v>33</v>
      </c>
      <c r="O680" t="s">
        <v>1138</v>
      </c>
      <c r="P680">
        <v>135.51599999999999</v>
      </c>
      <c r="Q680">
        <v>1</v>
      </c>
      <c r="R680">
        <v>-31.6204</v>
      </c>
      <c r="S680" s="3" t="s">
        <v>35</v>
      </c>
      <c r="T680">
        <v>2014</v>
      </c>
      <c r="U680" t="s">
        <v>81</v>
      </c>
      <c r="V680" s="2">
        <v>-0.233333333333333</v>
      </c>
    </row>
    <row r="681" spans="1:22" x14ac:dyDescent="0.25">
      <c r="A681" t="s">
        <v>2306</v>
      </c>
      <c r="B681" s="1">
        <v>42912</v>
      </c>
      <c r="C681" s="1">
        <v>42916</v>
      </c>
      <c r="D681" t="s">
        <v>23</v>
      </c>
      <c r="E681" t="s">
        <v>2307</v>
      </c>
      <c r="F681" t="s">
        <v>2308</v>
      </c>
      <c r="G681" t="s">
        <v>26</v>
      </c>
      <c r="H681" t="s">
        <v>27</v>
      </c>
      <c r="I681" t="s">
        <v>588</v>
      </c>
      <c r="J681" t="s">
        <v>147</v>
      </c>
      <c r="K681" t="s">
        <v>30</v>
      </c>
      <c r="L681" t="s">
        <v>1052</v>
      </c>
      <c r="M681" t="s">
        <v>32</v>
      </c>
      <c r="N681" t="s">
        <v>51</v>
      </c>
      <c r="O681" t="s">
        <v>1053</v>
      </c>
      <c r="P681">
        <v>431.928</v>
      </c>
      <c r="Q681">
        <v>9</v>
      </c>
      <c r="R681">
        <v>64.789199999999994</v>
      </c>
      <c r="S681" s="3" t="s">
        <v>53</v>
      </c>
      <c r="T681">
        <v>2017</v>
      </c>
      <c r="U681" t="s">
        <v>36</v>
      </c>
      <c r="V681" s="2">
        <v>0.15</v>
      </c>
    </row>
    <row r="682" spans="1:22" x14ac:dyDescent="0.25">
      <c r="A682" t="s">
        <v>2309</v>
      </c>
      <c r="B682" s="1">
        <v>42703</v>
      </c>
      <c r="C682" s="1">
        <v>42705</v>
      </c>
      <c r="D682" t="s">
        <v>40</v>
      </c>
      <c r="E682" t="s">
        <v>2310</v>
      </c>
      <c r="F682" t="s">
        <v>2311</v>
      </c>
      <c r="G682" t="s">
        <v>59</v>
      </c>
      <c r="H682" t="s">
        <v>27</v>
      </c>
      <c r="I682" t="s">
        <v>262</v>
      </c>
      <c r="J682" t="s">
        <v>61</v>
      </c>
      <c r="K682" t="s">
        <v>62</v>
      </c>
      <c r="L682" t="s">
        <v>1713</v>
      </c>
      <c r="M682" t="s">
        <v>32</v>
      </c>
      <c r="N682" t="s">
        <v>51</v>
      </c>
      <c r="O682" t="s">
        <v>1714</v>
      </c>
      <c r="P682">
        <v>58.415999999999997</v>
      </c>
      <c r="Q682">
        <v>2</v>
      </c>
      <c r="R682">
        <v>16.794599999999999</v>
      </c>
      <c r="S682" s="3" t="s">
        <v>65</v>
      </c>
      <c r="T682">
        <v>2016</v>
      </c>
      <c r="U682" t="s">
        <v>118</v>
      </c>
      <c r="V682" s="2">
        <v>0.28749999999999998</v>
      </c>
    </row>
    <row r="683" spans="1:22" x14ac:dyDescent="0.25">
      <c r="A683" t="s">
        <v>2312</v>
      </c>
      <c r="B683" s="1">
        <v>42341</v>
      </c>
      <c r="C683" s="1">
        <v>42346</v>
      </c>
      <c r="D683" t="s">
        <v>23</v>
      </c>
      <c r="E683" t="s">
        <v>1131</v>
      </c>
      <c r="F683" t="s">
        <v>1132</v>
      </c>
      <c r="G683" t="s">
        <v>70</v>
      </c>
      <c r="H683" t="s">
        <v>27</v>
      </c>
      <c r="I683" t="s">
        <v>206</v>
      </c>
      <c r="J683" t="s">
        <v>207</v>
      </c>
      <c r="K683" t="s">
        <v>95</v>
      </c>
      <c r="L683" t="s">
        <v>87</v>
      </c>
      <c r="M683" t="s">
        <v>32</v>
      </c>
      <c r="N683" t="s">
        <v>51</v>
      </c>
      <c r="O683" t="s">
        <v>88</v>
      </c>
      <c r="P683">
        <v>36.783999999999999</v>
      </c>
      <c r="Q683">
        <v>2</v>
      </c>
      <c r="R683">
        <v>10.5754</v>
      </c>
      <c r="S683" s="3" t="s">
        <v>35</v>
      </c>
      <c r="T683">
        <v>2015</v>
      </c>
      <c r="U683" t="s">
        <v>66</v>
      </c>
      <c r="V683" s="2">
        <v>0.28749999999999998</v>
      </c>
    </row>
    <row r="684" spans="1:22" x14ac:dyDescent="0.25">
      <c r="A684" t="s">
        <v>2313</v>
      </c>
      <c r="B684" s="1">
        <v>42982</v>
      </c>
      <c r="C684" s="1">
        <v>42986</v>
      </c>
      <c r="D684" t="s">
        <v>23</v>
      </c>
      <c r="E684" t="s">
        <v>2314</v>
      </c>
      <c r="F684" t="s">
        <v>2315</v>
      </c>
      <c r="G684" t="s">
        <v>26</v>
      </c>
      <c r="H684" t="s">
        <v>27</v>
      </c>
      <c r="I684" t="s">
        <v>28</v>
      </c>
      <c r="J684" t="s">
        <v>29</v>
      </c>
      <c r="K684" t="s">
        <v>30</v>
      </c>
      <c r="L684" t="s">
        <v>1345</v>
      </c>
      <c r="M684" t="s">
        <v>32</v>
      </c>
      <c r="N684" t="s">
        <v>33</v>
      </c>
      <c r="O684" t="s">
        <v>1346</v>
      </c>
      <c r="P684">
        <v>5.56</v>
      </c>
      <c r="Q684">
        <v>1</v>
      </c>
      <c r="R684">
        <v>1.7375</v>
      </c>
      <c r="S684" s="3" t="s">
        <v>53</v>
      </c>
      <c r="T684">
        <v>2017</v>
      </c>
      <c r="U684" t="s">
        <v>81</v>
      </c>
      <c r="V684" s="2">
        <v>0.3125</v>
      </c>
    </row>
    <row r="685" spans="1:22" x14ac:dyDescent="0.25">
      <c r="A685" t="s">
        <v>2316</v>
      </c>
      <c r="B685" s="1">
        <v>42635</v>
      </c>
      <c r="C685" s="1">
        <v>42642</v>
      </c>
      <c r="D685" t="s">
        <v>23</v>
      </c>
      <c r="E685" t="s">
        <v>2317</v>
      </c>
      <c r="F685" t="s">
        <v>2318</v>
      </c>
      <c r="G685" t="s">
        <v>59</v>
      </c>
      <c r="H685" t="s">
        <v>27</v>
      </c>
      <c r="I685" t="s">
        <v>1173</v>
      </c>
      <c r="J685" t="s">
        <v>2319</v>
      </c>
      <c r="K685" t="s">
        <v>155</v>
      </c>
      <c r="L685" t="s">
        <v>2320</v>
      </c>
      <c r="M685" t="s">
        <v>32</v>
      </c>
      <c r="N685" t="s">
        <v>33</v>
      </c>
      <c r="O685" t="s">
        <v>2321</v>
      </c>
      <c r="P685">
        <v>63.936</v>
      </c>
      <c r="Q685">
        <v>8</v>
      </c>
      <c r="R685">
        <v>5.5944000000000003</v>
      </c>
      <c r="S685" s="3" t="s">
        <v>132</v>
      </c>
      <c r="T685">
        <v>2016</v>
      </c>
      <c r="U685" t="s">
        <v>81</v>
      </c>
      <c r="V685" s="2">
        <v>8.7499999999999994E-2</v>
      </c>
    </row>
    <row r="686" spans="1:22" x14ac:dyDescent="0.25">
      <c r="A686" t="s">
        <v>2322</v>
      </c>
      <c r="B686" s="1">
        <v>42874</v>
      </c>
      <c r="C686" s="1">
        <v>42876</v>
      </c>
      <c r="D686" t="s">
        <v>40</v>
      </c>
      <c r="E686" t="s">
        <v>2323</v>
      </c>
      <c r="F686" t="s">
        <v>2324</v>
      </c>
      <c r="G686" t="s">
        <v>70</v>
      </c>
      <c r="H686" t="s">
        <v>27</v>
      </c>
      <c r="I686" t="s">
        <v>43</v>
      </c>
      <c r="J686" t="s">
        <v>29</v>
      </c>
      <c r="K686" t="s">
        <v>30</v>
      </c>
      <c r="L686" t="s">
        <v>571</v>
      </c>
      <c r="M686" t="s">
        <v>32</v>
      </c>
      <c r="N686" t="s">
        <v>51</v>
      </c>
      <c r="O686" t="s">
        <v>572</v>
      </c>
      <c r="P686">
        <v>36.32</v>
      </c>
      <c r="Q686">
        <v>1</v>
      </c>
      <c r="R686">
        <v>10.896000000000001</v>
      </c>
      <c r="S686" s="3" t="s">
        <v>65</v>
      </c>
      <c r="T686">
        <v>2017</v>
      </c>
      <c r="U686" t="s">
        <v>527</v>
      </c>
      <c r="V686" s="2">
        <v>0.3</v>
      </c>
    </row>
    <row r="687" spans="1:22" x14ac:dyDescent="0.25">
      <c r="A687" t="s">
        <v>2325</v>
      </c>
      <c r="B687" s="1">
        <v>42684</v>
      </c>
      <c r="C687" s="1">
        <v>42688</v>
      </c>
      <c r="D687" t="s">
        <v>23</v>
      </c>
      <c r="E687" t="s">
        <v>1171</v>
      </c>
      <c r="F687" t="s">
        <v>1172</v>
      </c>
      <c r="G687" t="s">
        <v>70</v>
      </c>
      <c r="H687" t="s">
        <v>27</v>
      </c>
      <c r="I687" t="s">
        <v>946</v>
      </c>
      <c r="J687" t="s">
        <v>177</v>
      </c>
      <c r="K687" t="s">
        <v>95</v>
      </c>
      <c r="L687" t="s">
        <v>518</v>
      </c>
      <c r="M687" t="s">
        <v>32</v>
      </c>
      <c r="N687" t="s">
        <v>33</v>
      </c>
      <c r="O687" t="s">
        <v>519</v>
      </c>
      <c r="P687">
        <v>41.957999999999998</v>
      </c>
      <c r="Q687">
        <v>7</v>
      </c>
      <c r="R687">
        <v>-9.7902000000000005</v>
      </c>
      <c r="S687" s="3" t="s">
        <v>53</v>
      </c>
      <c r="T687">
        <v>2016</v>
      </c>
      <c r="U687" t="s">
        <v>118</v>
      </c>
      <c r="V687" s="2">
        <v>-0.233333333333333</v>
      </c>
    </row>
    <row r="688" spans="1:22" x14ac:dyDescent="0.25">
      <c r="A688" t="s">
        <v>2325</v>
      </c>
      <c r="B688" s="1">
        <v>42684</v>
      </c>
      <c r="C688" s="1">
        <v>42688</v>
      </c>
      <c r="D688" t="s">
        <v>23</v>
      </c>
      <c r="E688" t="s">
        <v>1171</v>
      </c>
      <c r="F688" t="s">
        <v>1172</v>
      </c>
      <c r="G688" t="s">
        <v>70</v>
      </c>
      <c r="H688" t="s">
        <v>27</v>
      </c>
      <c r="I688" t="s">
        <v>946</v>
      </c>
      <c r="J688" t="s">
        <v>177</v>
      </c>
      <c r="K688" t="s">
        <v>95</v>
      </c>
      <c r="L688" t="s">
        <v>1807</v>
      </c>
      <c r="M688" t="s">
        <v>32</v>
      </c>
      <c r="N688" t="s">
        <v>51</v>
      </c>
      <c r="O688" t="s">
        <v>2326</v>
      </c>
      <c r="P688">
        <v>178.92</v>
      </c>
      <c r="Q688">
        <v>7</v>
      </c>
      <c r="R688">
        <v>-29.0745</v>
      </c>
      <c r="S688" s="3" t="s">
        <v>53</v>
      </c>
      <c r="T688">
        <v>2016</v>
      </c>
      <c r="U688" t="s">
        <v>118</v>
      </c>
      <c r="V688" s="2">
        <v>-0.16250000000000001</v>
      </c>
    </row>
    <row r="689" spans="1:22" x14ac:dyDescent="0.25">
      <c r="A689" t="s">
        <v>2327</v>
      </c>
      <c r="B689" s="1">
        <v>43078</v>
      </c>
      <c r="C689" s="1">
        <v>43080</v>
      </c>
      <c r="D689" t="s">
        <v>40</v>
      </c>
      <c r="E689" t="s">
        <v>543</v>
      </c>
      <c r="F689" t="s">
        <v>544</v>
      </c>
      <c r="G689" t="s">
        <v>26</v>
      </c>
      <c r="H689" t="s">
        <v>27</v>
      </c>
      <c r="I689" t="s">
        <v>851</v>
      </c>
      <c r="J689" t="s">
        <v>256</v>
      </c>
      <c r="K689" t="s">
        <v>62</v>
      </c>
      <c r="L689" t="s">
        <v>2328</v>
      </c>
      <c r="M689" t="s">
        <v>32</v>
      </c>
      <c r="N689" t="s">
        <v>51</v>
      </c>
      <c r="O689" t="s">
        <v>2329</v>
      </c>
      <c r="P689">
        <v>104.88</v>
      </c>
      <c r="Q689">
        <v>6</v>
      </c>
      <c r="R689">
        <v>41.951999999999998</v>
      </c>
      <c r="S689" s="3" t="s">
        <v>65</v>
      </c>
      <c r="T689">
        <v>2017</v>
      </c>
      <c r="U689" t="s">
        <v>66</v>
      </c>
      <c r="V689" s="2">
        <v>0.4</v>
      </c>
    </row>
    <row r="690" spans="1:22" x14ac:dyDescent="0.25">
      <c r="A690" t="s">
        <v>2330</v>
      </c>
      <c r="B690" s="1">
        <v>42986</v>
      </c>
      <c r="C690" s="1">
        <v>42992</v>
      </c>
      <c r="D690" t="s">
        <v>23</v>
      </c>
      <c r="E690" t="s">
        <v>2331</v>
      </c>
      <c r="F690" t="s">
        <v>2332</v>
      </c>
      <c r="G690" t="s">
        <v>59</v>
      </c>
      <c r="H690" t="s">
        <v>27</v>
      </c>
      <c r="I690" t="s">
        <v>281</v>
      </c>
      <c r="J690" t="s">
        <v>177</v>
      </c>
      <c r="K690" t="s">
        <v>95</v>
      </c>
      <c r="L690" t="s">
        <v>2333</v>
      </c>
      <c r="M690" t="s">
        <v>32</v>
      </c>
      <c r="N690" t="s">
        <v>51</v>
      </c>
      <c r="O690" t="s">
        <v>2334</v>
      </c>
      <c r="P690">
        <v>9.0960000000000001</v>
      </c>
      <c r="Q690">
        <v>1</v>
      </c>
      <c r="R690">
        <v>1.7055</v>
      </c>
      <c r="S690" s="3" t="s">
        <v>107</v>
      </c>
      <c r="T690">
        <v>2017</v>
      </c>
      <c r="U690" t="s">
        <v>81</v>
      </c>
      <c r="V690" s="2">
        <v>0.1875</v>
      </c>
    </row>
    <row r="691" spans="1:22" x14ac:dyDescent="0.25">
      <c r="A691" t="s">
        <v>2335</v>
      </c>
      <c r="B691" s="1">
        <v>42534</v>
      </c>
      <c r="C691" s="1">
        <v>42536</v>
      </c>
      <c r="D691" t="s">
        <v>40</v>
      </c>
      <c r="E691" t="s">
        <v>2336</v>
      </c>
      <c r="F691" t="s">
        <v>2337</v>
      </c>
      <c r="G691" t="s">
        <v>70</v>
      </c>
      <c r="H691" t="s">
        <v>27</v>
      </c>
      <c r="I691" t="s">
        <v>687</v>
      </c>
      <c r="J691" t="s">
        <v>256</v>
      </c>
      <c r="K691" t="s">
        <v>62</v>
      </c>
      <c r="L691" t="s">
        <v>2290</v>
      </c>
      <c r="M691" t="s">
        <v>32</v>
      </c>
      <c r="N691" t="s">
        <v>33</v>
      </c>
      <c r="O691" t="s">
        <v>2291</v>
      </c>
      <c r="P691">
        <v>377.97</v>
      </c>
      <c r="Q691">
        <v>3</v>
      </c>
      <c r="R691">
        <v>94.492500000000007</v>
      </c>
      <c r="S691" s="3" t="s">
        <v>65</v>
      </c>
      <c r="T691">
        <v>2016</v>
      </c>
      <c r="U691" t="s">
        <v>36</v>
      </c>
      <c r="V691" s="2">
        <v>0.25</v>
      </c>
    </row>
    <row r="692" spans="1:22" x14ac:dyDescent="0.25">
      <c r="A692" t="s">
        <v>2338</v>
      </c>
      <c r="B692" s="1">
        <v>42919</v>
      </c>
      <c r="C692" s="1">
        <v>42925</v>
      </c>
      <c r="D692" t="s">
        <v>23</v>
      </c>
      <c r="E692" t="s">
        <v>237</v>
      </c>
      <c r="F692" t="s">
        <v>238</v>
      </c>
      <c r="G692" t="s">
        <v>70</v>
      </c>
      <c r="H692" t="s">
        <v>27</v>
      </c>
      <c r="I692" t="s">
        <v>2205</v>
      </c>
      <c r="J692" t="s">
        <v>1249</v>
      </c>
      <c r="K692" t="s">
        <v>95</v>
      </c>
      <c r="L692" t="s">
        <v>1379</v>
      </c>
      <c r="M692" t="s">
        <v>32</v>
      </c>
      <c r="N692" t="s">
        <v>51</v>
      </c>
      <c r="O692" t="s">
        <v>1380</v>
      </c>
      <c r="P692">
        <v>258.89999999999998</v>
      </c>
      <c r="Q692">
        <v>10</v>
      </c>
      <c r="R692">
        <v>93.203999999999994</v>
      </c>
      <c r="S692" s="3" t="s">
        <v>107</v>
      </c>
      <c r="T692">
        <v>2017</v>
      </c>
      <c r="U692" t="s">
        <v>332</v>
      </c>
      <c r="V692" s="2">
        <v>0.36</v>
      </c>
    </row>
    <row r="693" spans="1:22" x14ac:dyDescent="0.25">
      <c r="A693" t="s">
        <v>2339</v>
      </c>
      <c r="B693" s="1">
        <v>41981</v>
      </c>
      <c r="C693" s="1">
        <v>41986</v>
      </c>
      <c r="D693" t="s">
        <v>23</v>
      </c>
      <c r="E693" t="s">
        <v>1779</v>
      </c>
      <c r="F693" t="s">
        <v>1780</v>
      </c>
      <c r="G693" t="s">
        <v>26</v>
      </c>
      <c r="H693" t="s">
        <v>27</v>
      </c>
      <c r="I693" t="s">
        <v>594</v>
      </c>
      <c r="J693" t="s">
        <v>340</v>
      </c>
      <c r="K693" t="s">
        <v>30</v>
      </c>
      <c r="L693" t="s">
        <v>2145</v>
      </c>
      <c r="M693" t="s">
        <v>32</v>
      </c>
      <c r="N693" t="s">
        <v>33</v>
      </c>
      <c r="O693" t="s">
        <v>2146</v>
      </c>
      <c r="P693">
        <v>52.68</v>
      </c>
      <c r="Q693">
        <v>3</v>
      </c>
      <c r="R693">
        <v>19.754999999999999</v>
      </c>
      <c r="S693" s="3" t="s">
        <v>35</v>
      </c>
      <c r="T693">
        <v>2014</v>
      </c>
      <c r="U693" t="s">
        <v>66</v>
      </c>
      <c r="V693" s="2">
        <v>0.375</v>
      </c>
    </row>
    <row r="694" spans="1:22" x14ac:dyDescent="0.25">
      <c r="A694" t="s">
        <v>2339</v>
      </c>
      <c r="B694" s="1">
        <v>41981</v>
      </c>
      <c r="C694" s="1">
        <v>41986</v>
      </c>
      <c r="D694" t="s">
        <v>23</v>
      </c>
      <c r="E694" t="s">
        <v>1779</v>
      </c>
      <c r="F694" t="s">
        <v>1780</v>
      </c>
      <c r="G694" t="s">
        <v>26</v>
      </c>
      <c r="H694" t="s">
        <v>27</v>
      </c>
      <c r="I694" t="s">
        <v>594</v>
      </c>
      <c r="J694" t="s">
        <v>340</v>
      </c>
      <c r="K694" t="s">
        <v>30</v>
      </c>
      <c r="L694" t="s">
        <v>1939</v>
      </c>
      <c r="M694" t="s">
        <v>32</v>
      </c>
      <c r="N694" t="s">
        <v>51</v>
      </c>
      <c r="O694" t="s">
        <v>1940</v>
      </c>
      <c r="P694">
        <v>103.92</v>
      </c>
      <c r="Q694">
        <v>10</v>
      </c>
      <c r="R694">
        <v>-18.186</v>
      </c>
      <c r="S694" s="3" t="s">
        <v>35</v>
      </c>
      <c r="T694">
        <v>2014</v>
      </c>
      <c r="U694" t="s">
        <v>66</v>
      </c>
      <c r="V694" s="2">
        <v>-0.17499999999999999</v>
      </c>
    </row>
    <row r="695" spans="1:22" x14ac:dyDescent="0.25">
      <c r="A695" t="s">
        <v>2340</v>
      </c>
      <c r="B695" s="1">
        <v>42194</v>
      </c>
      <c r="C695" s="1">
        <v>42199</v>
      </c>
      <c r="D695" t="s">
        <v>23</v>
      </c>
      <c r="E695" t="s">
        <v>2341</v>
      </c>
      <c r="F695" t="s">
        <v>2342</v>
      </c>
      <c r="G695" t="s">
        <v>26</v>
      </c>
      <c r="H695" t="s">
        <v>27</v>
      </c>
      <c r="I695" t="s">
        <v>1160</v>
      </c>
      <c r="J695" t="s">
        <v>1035</v>
      </c>
      <c r="K695" t="s">
        <v>95</v>
      </c>
      <c r="L695" t="s">
        <v>2188</v>
      </c>
      <c r="M695" t="s">
        <v>32</v>
      </c>
      <c r="N695" t="s">
        <v>215</v>
      </c>
      <c r="O695" t="s">
        <v>2189</v>
      </c>
      <c r="P695">
        <v>464.97</v>
      </c>
      <c r="Q695">
        <v>3</v>
      </c>
      <c r="R695">
        <v>209.23650000000001</v>
      </c>
      <c r="S695" s="3" t="s">
        <v>35</v>
      </c>
      <c r="T695">
        <v>2015</v>
      </c>
      <c r="U695" t="s">
        <v>332</v>
      </c>
      <c r="V695" s="2">
        <v>0.45</v>
      </c>
    </row>
    <row r="696" spans="1:22" x14ac:dyDescent="0.25">
      <c r="A696" t="s">
        <v>2343</v>
      </c>
      <c r="B696" s="1">
        <v>42307</v>
      </c>
      <c r="C696" s="1">
        <v>42310</v>
      </c>
      <c r="D696" t="s">
        <v>40</v>
      </c>
      <c r="E696" t="s">
        <v>2344</v>
      </c>
      <c r="F696" t="s">
        <v>2345</v>
      </c>
      <c r="G696" t="s">
        <v>59</v>
      </c>
      <c r="H696" t="s">
        <v>27</v>
      </c>
      <c r="I696" t="s">
        <v>588</v>
      </c>
      <c r="J696" t="s">
        <v>147</v>
      </c>
      <c r="K696" t="s">
        <v>30</v>
      </c>
      <c r="L696" t="s">
        <v>1715</v>
      </c>
      <c r="M696" t="s">
        <v>32</v>
      </c>
      <c r="N696" t="s">
        <v>215</v>
      </c>
      <c r="O696" t="s">
        <v>1716</v>
      </c>
      <c r="P696">
        <v>59.994</v>
      </c>
      <c r="Q696">
        <v>2</v>
      </c>
      <c r="R696">
        <v>-45.995399999999997</v>
      </c>
      <c r="S696" s="3" t="s">
        <v>172</v>
      </c>
      <c r="T696">
        <v>2015</v>
      </c>
      <c r="U696" t="s">
        <v>133</v>
      </c>
      <c r="V696" s="2">
        <v>-0.76666666666666605</v>
      </c>
    </row>
    <row r="697" spans="1:22" x14ac:dyDescent="0.25">
      <c r="A697" t="s">
        <v>2343</v>
      </c>
      <c r="B697" s="1">
        <v>42307</v>
      </c>
      <c r="C697" s="1">
        <v>42310</v>
      </c>
      <c r="D697" t="s">
        <v>40</v>
      </c>
      <c r="E697" t="s">
        <v>2344</v>
      </c>
      <c r="F697" t="s">
        <v>2345</v>
      </c>
      <c r="G697" t="s">
        <v>59</v>
      </c>
      <c r="H697" t="s">
        <v>27</v>
      </c>
      <c r="I697" t="s">
        <v>588</v>
      </c>
      <c r="J697" t="s">
        <v>147</v>
      </c>
      <c r="K697" t="s">
        <v>30</v>
      </c>
      <c r="L697" t="s">
        <v>2346</v>
      </c>
      <c r="M697" t="s">
        <v>32</v>
      </c>
      <c r="N697" t="s">
        <v>381</v>
      </c>
      <c r="O697" t="s">
        <v>2347</v>
      </c>
      <c r="P697">
        <v>439.99200000000002</v>
      </c>
      <c r="Q697">
        <v>1</v>
      </c>
      <c r="R697">
        <v>164.99700000000001</v>
      </c>
      <c r="S697" s="3" t="s">
        <v>172</v>
      </c>
      <c r="T697">
        <v>2015</v>
      </c>
      <c r="U697" t="s">
        <v>133</v>
      </c>
      <c r="V697" s="2">
        <v>0.375</v>
      </c>
    </row>
    <row r="698" spans="1:22" x14ac:dyDescent="0.25">
      <c r="A698" t="s">
        <v>2343</v>
      </c>
      <c r="B698" s="1">
        <v>42307</v>
      </c>
      <c r="C698" s="1">
        <v>42310</v>
      </c>
      <c r="D698" t="s">
        <v>40</v>
      </c>
      <c r="E698" t="s">
        <v>2344</v>
      </c>
      <c r="F698" t="s">
        <v>2345</v>
      </c>
      <c r="G698" t="s">
        <v>59</v>
      </c>
      <c r="H698" t="s">
        <v>27</v>
      </c>
      <c r="I698" t="s">
        <v>588</v>
      </c>
      <c r="J698" t="s">
        <v>147</v>
      </c>
      <c r="K698" t="s">
        <v>30</v>
      </c>
      <c r="L698" t="s">
        <v>878</v>
      </c>
      <c r="M698" t="s">
        <v>32</v>
      </c>
      <c r="N698" t="s">
        <v>33</v>
      </c>
      <c r="O698" t="s">
        <v>879</v>
      </c>
      <c r="P698">
        <v>87.96</v>
      </c>
      <c r="Q698">
        <v>5</v>
      </c>
      <c r="R698">
        <v>30.786000000000001</v>
      </c>
      <c r="S698" s="3" t="s">
        <v>172</v>
      </c>
      <c r="T698">
        <v>2015</v>
      </c>
      <c r="U698" t="s">
        <v>133</v>
      </c>
      <c r="V698" s="2">
        <v>0.35</v>
      </c>
    </row>
    <row r="699" spans="1:22" x14ac:dyDescent="0.25">
      <c r="A699" t="s">
        <v>2348</v>
      </c>
      <c r="B699" s="1">
        <v>43052</v>
      </c>
      <c r="C699" s="1">
        <v>43057</v>
      </c>
      <c r="D699" t="s">
        <v>40</v>
      </c>
      <c r="E699" t="s">
        <v>536</v>
      </c>
      <c r="F699" t="s">
        <v>537</v>
      </c>
      <c r="G699" t="s">
        <v>70</v>
      </c>
      <c r="H699" t="s">
        <v>27</v>
      </c>
      <c r="I699" t="s">
        <v>977</v>
      </c>
      <c r="J699" t="s">
        <v>104</v>
      </c>
      <c r="K699" t="s">
        <v>95</v>
      </c>
      <c r="L699" t="s">
        <v>445</v>
      </c>
      <c r="M699" t="s">
        <v>32</v>
      </c>
      <c r="N699" t="s">
        <v>51</v>
      </c>
      <c r="O699" t="s">
        <v>446</v>
      </c>
      <c r="P699">
        <v>163.96</v>
      </c>
      <c r="Q699">
        <v>4</v>
      </c>
      <c r="R699">
        <v>70.502799999999993</v>
      </c>
      <c r="S699" s="3" t="s">
        <v>35</v>
      </c>
      <c r="T699">
        <v>2017</v>
      </c>
      <c r="U699" t="s">
        <v>118</v>
      </c>
      <c r="V699" s="2">
        <v>0.43</v>
      </c>
    </row>
    <row r="700" spans="1:22" x14ac:dyDescent="0.25">
      <c r="A700" t="s">
        <v>2349</v>
      </c>
      <c r="B700" s="1">
        <v>42168</v>
      </c>
      <c r="C700" s="1">
        <v>42174</v>
      </c>
      <c r="D700" t="s">
        <v>23</v>
      </c>
      <c r="E700" t="s">
        <v>2223</v>
      </c>
      <c r="F700" t="s">
        <v>2224</v>
      </c>
      <c r="G700" t="s">
        <v>59</v>
      </c>
      <c r="H700" t="s">
        <v>27</v>
      </c>
      <c r="I700" t="s">
        <v>222</v>
      </c>
      <c r="J700" t="s">
        <v>555</v>
      </c>
      <c r="K700" t="s">
        <v>155</v>
      </c>
      <c r="L700" t="s">
        <v>1025</v>
      </c>
      <c r="M700" t="s">
        <v>32</v>
      </c>
      <c r="N700" t="s">
        <v>381</v>
      </c>
      <c r="O700" t="s">
        <v>1026</v>
      </c>
      <c r="P700">
        <v>899.97</v>
      </c>
      <c r="Q700">
        <v>3</v>
      </c>
      <c r="R700">
        <v>314.98950000000002</v>
      </c>
      <c r="S700" s="3" t="s">
        <v>107</v>
      </c>
      <c r="T700">
        <v>2015</v>
      </c>
      <c r="U700" t="s">
        <v>36</v>
      </c>
      <c r="V700" s="2">
        <v>0.35</v>
      </c>
    </row>
    <row r="701" spans="1:22" x14ac:dyDescent="0.25">
      <c r="A701" t="s">
        <v>2350</v>
      </c>
      <c r="B701" s="1">
        <v>41966</v>
      </c>
      <c r="C701" s="1">
        <v>41970</v>
      </c>
      <c r="D701" t="s">
        <v>23</v>
      </c>
      <c r="E701" t="s">
        <v>1962</v>
      </c>
      <c r="F701" t="s">
        <v>1963</v>
      </c>
      <c r="G701" t="s">
        <v>59</v>
      </c>
      <c r="H701" t="s">
        <v>27</v>
      </c>
      <c r="I701" t="s">
        <v>2351</v>
      </c>
      <c r="J701" t="s">
        <v>61</v>
      </c>
      <c r="K701" t="s">
        <v>62</v>
      </c>
      <c r="L701" t="s">
        <v>1956</v>
      </c>
      <c r="M701" t="s">
        <v>32</v>
      </c>
      <c r="N701" t="s">
        <v>51</v>
      </c>
      <c r="O701" t="s">
        <v>1957</v>
      </c>
      <c r="P701">
        <v>5.5439999999999996</v>
      </c>
      <c r="Q701">
        <v>7</v>
      </c>
      <c r="R701">
        <v>1.6632</v>
      </c>
      <c r="S701" s="3" t="s">
        <v>53</v>
      </c>
      <c r="T701">
        <v>2014</v>
      </c>
      <c r="U701" t="s">
        <v>118</v>
      </c>
      <c r="V701" s="2">
        <v>0.3</v>
      </c>
    </row>
    <row r="702" spans="1:22" x14ac:dyDescent="0.25">
      <c r="A702" t="s">
        <v>2352</v>
      </c>
      <c r="B702" s="1">
        <v>42846</v>
      </c>
      <c r="C702" s="1">
        <v>42849</v>
      </c>
      <c r="D702" t="s">
        <v>56</v>
      </c>
      <c r="E702" t="s">
        <v>2353</v>
      </c>
      <c r="F702" t="s">
        <v>2354</v>
      </c>
      <c r="G702" t="s">
        <v>26</v>
      </c>
      <c r="H702" t="s">
        <v>27</v>
      </c>
      <c r="I702" t="s">
        <v>481</v>
      </c>
      <c r="J702" t="s">
        <v>426</v>
      </c>
      <c r="K702" t="s">
        <v>30</v>
      </c>
      <c r="L702" t="s">
        <v>2355</v>
      </c>
      <c r="M702" t="s">
        <v>32</v>
      </c>
      <c r="N702" t="s">
        <v>51</v>
      </c>
      <c r="O702" t="s">
        <v>2356</v>
      </c>
      <c r="P702">
        <v>11.54</v>
      </c>
      <c r="Q702">
        <v>1</v>
      </c>
      <c r="R702">
        <v>3.4620000000000002</v>
      </c>
      <c r="S702" s="3" t="s">
        <v>172</v>
      </c>
      <c r="T702">
        <v>2017</v>
      </c>
      <c r="U702" t="s">
        <v>291</v>
      </c>
      <c r="V702" s="2">
        <v>0.3</v>
      </c>
    </row>
    <row r="703" spans="1:22" x14ac:dyDescent="0.25">
      <c r="A703" t="s">
        <v>2357</v>
      </c>
      <c r="B703" s="1">
        <v>42632</v>
      </c>
      <c r="C703" s="1">
        <v>42636</v>
      </c>
      <c r="D703" t="s">
        <v>23</v>
      </c>
      <c r="E703" t="s">
        <v>1566</v>
      </c>
      <c r="F703" t="s">
        <v>1567</v>
      </c>
      <c r="G703" t="s">
        <v>26</v>
      </c>
      <c r="H703" t="s">
        <v>27</v>
      </c>
      <c r="I703" t="s">
        <v>176</v>
      </c>
      <c r="J703" t="s">
        <v>1006</v>
      </c>
      <c r="K703" t="s">
        <v>155</v>
      </c>
      <c r="L703" t="s">
        <v>1413</v>
      </c>
      <c r="M703" t="s">
        <v>32</v>
      </c>
      <c r="N703" t="s">
        <v>51</v>
      </c>
      <c r="O703" t="s">
        <v>1414</v>
      </c>
      <c r="P703">
        <v>249.95</v>
      </c>
      <c r="Q703">
        <v>5</v>
      </c>
      <c r="R703">
        <v>107.4785</v>
      </c>
      <c r="S703" s="3" t="s">
        <v>53</v>
      </c>
      <c r="T703">
        <v>2016</v>
      </c>
      <c r="U703" t="s">
        <v>81</v>
      </c>
      <c r="V703" s="2">
        <v>0.43</v>
      </c>
    </row>
    <row r="704" spans="1:22" x14ac:dyDescent="0.25">
      <c r="A704" t="s">
        <v>2358</v>
      </c>
      <c r="B704" s="1">
        <v>42265</v>
      </c>
      <c r="C704" s="1">
        <v>42270</v>
      </c>
      <c r="D704" t="s">
        <v>23</v>
      </c>
      <c r="E704" t="s">
        <v>475</v>
      </c>
      <c r="F704" t="s">
        <v>476</v>
      </c>
      <c r="G704" t="s">
        <v>59</v>
      </c>
      <c r="H704" t="s">
        <v>27</v>
      </c>
      <c r="I704" t="s">
        <v>1160</v>
      </c>
      <c r="J704" t="s">
        <v>1035</v>
      </c>
      <c r="K704" t="s">
        <v>95</v>
      </c>
      <c r="L704" t="s">
        <v>2359</v>
      </c>
      <c r="M704" t="s">
        <v>32</v>
      </c>
      <c r="N704" t="s">
        <v>33</v>
      </c>
      <c r="O704" t="s">
        <v>2360</v>
      </c>
      <c r="P704">
        <v>499.99</v>
      </c>
      <c r="Q704">
        <v>1</v>
      </c>
      <c r="R704">
        <v>129.9974</v>
      </c>
      <c r="S704" s="3" t="s">
        <v>35</v>
      </c>
      <c r="T704">
        <v>2015</v>
      </c>
      <c r="U704" t="s">
        <v>81</v>
      </c>
      <c r="V704" s="2">
        <v>0.26</v>
      </c>
    </row>
    <row r="705" spans="1:22" x14ac:dyDescent="0.25">
      <c r="A705" t="s">
        <v>2358</v>
      </c>
      <c r="B705" s="1">
        <v>42265</v>
      </c>
      <c r="C705" s="1">
        <v>42270</v>
      </c>
      <c r="D705" t="s">
        <v>23</v>
      </c>
      <c r="E705" t="s">
        <v>475</v>
      </c>
      <c r="F705" t="s">
        <v>476</v>
      </c>
      <c r="G705" t="s">
        <v>59</v>
      </c>
      <c r="H705" t="s">
        <v>27</v>
      </c>
      <c r="I705" t="s">
        <v>1160</v>
      </c>
      <c r="J705" t="s">
        <v>1035</v>
      </c>
      <c r="K705" t="s">
        <v>95</v>
      </c>
      <c r="L705" t="s">
        <v>1437</v>
      </c>
      <c r="M705" t="s">
        <v>32</v>
      </c>
      <c r="N705" t="s">
        <v>33</v>
      </c>
      <c r="O705" t="s">
        <v>1438</v>
      </c>
      <c r="P705">
        <v>1259.93</v>
      </c>
      <c r="Q705">
        <v>7</v>
      </c>
      <c r="R705">
        <v>327.58179999999999</v>
      </c>
      <c r="S705" s="3" t="s">
        <v>35</v>
      </c>
      <c r="T705">
        <v>2015</v>
      </c>
      <c r="U705" t="s">
        <v>81</v>
      </c>
      <c r="V705" s="2">
        <v>0.26</v>
      </c>
    </row>
    <row r="706" spans="1:22" x14ac:dyDescent="0.25">
      <c r="A706" t="s">
        <v>2361</v>
      </c>
      <c r="B706" s="1">
        <v>42446</v>
      </c>
      <c r="C706" s="1">
        <v>42446</v>
      </c>
      <c r="D706" t="s">
        <v>677</v>
      </c>
      <c r="E706" t="s">
        <v>2362</v>
      </c>
      <c r="F706" t="s">
        <v>2363</v>
      </c>
      <c r="G706" t="s">
        <v>26</v>
      </c>
      <c r="H706" t="s">
        <v>27</v>
      </c>
      <c r="I706" t="s">
        <v>1458</v>
      </c>
      <c r="J706" t="s">
        <v>94</v>
      </c>
      <c r="K706" t="s">
        <v>95</v>
      </c>
      <c r="L706" t="s">
        <v>1915</v>
      </c>
      <c r="M706" t="s">
        <v>32</v>
      </c>
      <c r="N706" t="s">
        <v>33</v>
      </c>
      <c r="O706" t="s">
        <v>1916</v>
      </c>
      <c r="P706">
        <v>129.97999999999999</v>
      </c>
      <c r="Q706">
        <v>2</v>
      </c>
      <c r="R706">
        <v>62.3904</v>
      </c>
      <c r="S706" s="3" t="s">
        <v>683</v>
      </c>
      <c r="T706">
        <v>2016</v>
      </c>
      <c r="U706" t="s">
        <v>89</v>
      </c>
      <c r="V706" s="2">
        <v>0.48</v>
      </c>
    </row>
    <row r="707" spans="1:22" x14ac:dyDescent="0.25">
      <c r="A707" t="s">
        <v>2364</v>
      </c>
      <c r="B707" s="1">
        <v>42713</v>
      </c>
      <c r="C707" s="1">
        <v>42717</v>
      </c>
      <c r="D707" t="s">
        <v>23</v>
      </c>
      <c r="E707" t="s">
        <v>546</v>
      </c>
      <c r="F707" t="s">
        <v>547</v>
      </c>
      <c r="G707" t="s">
        <v>26</v>
      </c>
      <c r="H707" t="s">
        <v>27</v>
      </c>
      <c r="I707" t="s">
        <v>687</v>
      </c>
      <c r="J707" t="s">
        <v>256</v>
      </c>
      <c r="K707" t="s">
        <v>62</v>
      </c>
      <c r="L707" t="s">
        <v>98</v>
      </c>
      <c r="M707" t="s">
        <v>32</v>
      </c>
      <c r="N707" t="s">
        <v>33</v>
      </c>
      <c r="O707" t="s">
        <v>99</v>
      </c>
      <c r="P707">
        <v>10.9</v>
      </c>
      <c r="Q707">
        <v>1</v>
      </c>
      <c r="R707">
        <v>3.052</v>
      </c>
      <c r="S707" s="3" t="s">
        <v>53</v>
      </c>
      <c r="T707">
        <v>2016</v>
      </c>
      <c r="U707" t="s">
        <v>66</v>
      </c>
      <c r="V707" s="2">
        <v>0.28000000000000003</v>
      </c>
    </row>
    <row r="708" spans="1:22" x14ac:dyDescent="0.25">
      <c r="A708" t="s">
        <v>2364</v>
      </c>
      <c r="B708" s="1">
        <v>42713</v>
      </c>
      <c r="C708" s="1">
        <v>42717</v>
      </c>
      <c r="D708" t="s">
        <v>23</v>
      </c>
      <c r="E708" t="s">
        <v>546</v>
      </c>
      <c r="F708" t="s">
        <v>547</v>
      </c>
      <c r="G708" t="s">
        <v>26</v>
      </c>
      <c r="H708" t="s">
        <v>27</v>
      </c>
      <c r="I708" t="s">
        <v>687</v>
      </c>
      <c r="J708" t="s">
        <v>256</v>
      </c>
      <c r="K708" t="s">
        <v>62</v>
      </c>
      <c r="L708" t="s">
        <v>1233</v>
      </c>
      <c r="M708" t="s">
        <v>32</v>
      </c>
      <c r="N708" t="s">
        <v>51</v>
      </c>
      <c r="O708" t="s">
        <v>1234</v>
      </c>
      <c r="P708">
        <v>59.98</v>
      </c>
      <c r="Q708">
        <v>2</v>
      </c>
      <c r="R708">
        <v>25.191600000000001</v>
      </c>
      <c r="S708" s="3" t="s">
        <v>53</v>
      </c>
      <c r="T708">
        <v>2016</v>
      </c>
      <c r="U708" t="s">
        <v>66</v>
      </c>
      <c r="V708" s="2">
        <v>0.42</v>
      </c>
    </row>
    <row r="709" spans="1:22" x14ac:dyDescent="0.25">
      <c r="A709" t="s">
        <v>2365</v>
      </c>
      <c r="B709" s="1">
        <v>42974</v>
      </c>
      <c r="C709" s="1">
        <v>42976</v>
      </c>
      <c r="D709" t="s">
        <v>40</v>
      </c>
      <c r="E709" t="s">
        <v>302</v>
      </c>
      <c r="F709" t="s">
        <v>303</v>
      </c>
      <c r="G709" t="s">
        <v>59</v>
      </c>
      <c r="H709" t="s">
        <v>27</v>
      </c>
      <c r="I709" t="s">
        <v>2366</v>
      </c>
      <c r="J709" t="s">
        <v>29</v>
      </c>
      <c r="K709" t="s">
        <v>30</v>
      </c>
      <c r="L709" t="s">
        <v>2346</v>
      </c>
      <c r="M709" t="s">
        <v>32</v>
      </c>
      <c r="N709" t="s">
        <v>381</v>
      </c>
      <c r="O709" t="s">
        <v>2347</v>
      </c>
      <c r="P709">
        <v>879.98400000000004</v>
      </c>
      <c r="Q709">
        <v>2</v>
      </c>
      <c r="R709">
        <v>329.99400000000003</v>
      </c>
      <c r="S709" s="3" t="s">
        <v>65</v>
      </c>
      <c r="T709">
        <v>2017</v>
      </c>
      <c r="U709" t="s">
        <v>46</v>
      </c>
      <c r="V709" s="2">
        <v>0.375</v>
      </c>
    </row>
    <row r="710" spans="1:22" x14ac:dyDescent="0.25">
      <c r="A710" t="s">
        <v>2367</v>
      </c>
      <c r="B710" s="1">
        <v>42346</v>
      </c>
      <c r="C710" s="1">
        <v>42348</v>
      </c>
      <c r="D710" t="s">
        <v>40</v>
      </c>
      <c r="E710" t="s">
        <v>2368</v>
      </c>
      <c r="F710" t="s">
        <v>2369</v>
      </c>
      <c r="G710" t="s">
        <v>70</v>
      </c>
      <c r="H710" t="s">
        <v>27</v>
      </c>
      <c r="I710" t="s">
        <v>71</v>
      </c>
      <c r="J710" t="s">
        <v>61</v>
      </c>
      <c r="K710" t="s">
        <v>62</v>
      </c>
      <c r="L710" t="s">
        <v>232</v>
      </c>
      <c r="M710" t="s">
        <v>32</v>
      </c>
      <c r="N710" t="s">
        <v>33</v>
      </c>
      <c r="O710" t="s">
        <v>233</v>
      </c>
      <c r="P710">
        <v>119.96</v>
      </c>
      <c r="Q710">
        <v>5</v>
      </c>
      <c r="R710">
        <v>11.996</v>
      </c>
      <c r="S710" s="3" t="s">
        <v>65</v>
      </c>
      <c r="T710">
        <v>2015</v>
      </c>
      <c r="U710" t="s">
        <v>66</v>
      </c>
      <c r="V710" s="2">
        <v>0.1</v>
      </c>
    </row>
    <row r="711" spans="1:22" x14ac:dyDescent="0.25">
      <c r="A711" t="s">
        <v>2370</v>
      </c>
      <c r="B711" s="1">
        <v>41857</v>
      </c>
      <c r="C711" s="1">
        <v>41862</v>
      </c>
      <c r="D711" t="s">
        <v>40</v>
      </c>
      <c r="E711" t="s">
        <v>2371</v>
      </c>
      <c r="F711" t="s">
        <v>2372</v>
      </c>
      <c r="G711" t="s">
        <v>26</v>
      </c>
      <c r="H711" t="s">
        <v>27</v>
      </c>
      <c r="I711" t="s">
        <v>1557</v>
      </c>
      <c r="J711" t="s">
        <v>1851</v>
      </c>
      <c r="K711" t="s">
        <v>155</v>
      </c>
      <c r="L711" t="s">
        <v>1107</v>
      </c>
      <c r="M711" t="s">
        <v>32</v>
      </c>
      <c r="N711" t="s">
        <v>51</v>
      </c>
      <c r="O711" t="s">
        <v>1108</v>
      </c>
      <c r="P711">
        <v>62.91</v>
      </c>
      <c r="Q711">
        <v>3</v>
      </c>
      <c r="R711">
        <v>22.647600000000001</v>
      </c>
      <c r="S711" s="3" t="s">
        <v>35</v>
      </c>
      <c r="T711">
        <v>2014</v>
      </c>
      <c r="U711" t="s">
        <v>46</v>
      </c>
      <c r="V711" s="2">
        <v>0.36</v>
      </c>
    </row>
    <row r="712" spans="1:22" x14ac:dyDescent="0.25">
      <c r="A712" t="s">
        <v>2373</v>
      </c>
      <c r="B712" s="1">
        <v>41740</v>
      </c>
      <c r="C712" s="1">
        <v>41742</v>
      </c>
      <c r="D712" t="s">
        <v>40</v>
      </c>
      <c r="E712" t="s">
        <v>2374</v>
      </c>
      <c r="F712" t="s">
        <v>2375</v>
      </c>
      <c r="G712" t="s">
        <v>26</v>
      </c>
      <c r="H712" t="s">
        <v>27</v>
      </c>
      <c r="I712" t="s">
        <v>643</v>
      </c>
      <c r="J712" t="s">
        <v>288</v>
      </c>
      <c r="K712" t="s">
        <v>155</v>
      </c>
      <c r="L712" t="s">
        <v>346</v>
      </c>
      <c r="M712" t="s">
        <v>32</v>
      </c>
      <c r="N712" t="s">
        <v>51</v>
      </c>
      <c r="O712" t="s">
        <v>347</v>
      </c>
      <c r="P712">
        <v>383.976</v>
      </c>
      <c r="Q712">
        <v>3</v>
      </c>
      <c r="R712">
        <v>81.594899999999996</v>
      </c>
      <c r="S712" s="3" t="s">
        <v>65</v>
      </c>
      <c r="T712">
        <v>2014</v>
      </c>
      <c r="U712" t="s">
        <v>291</v>
      </c>
      <c r="V712" s="2">
        <v>0.21249999999999999</v>
      </c>
    </row>
    <row r="713" spans="1:22" x14ac:dyDescent="0.25">
      <c r="A713" t="s">
        <v>2373</v>
      </c>
      <c r="B713" s="1">
        <v>41740</v>
      </c>
      <c r="C713" s="1">
        <v>41742</v>
      </c>
      <c r="D713" t="s">
        <v>40</v>
      </c>
      <c r="E713" t="s">
        <v>2374</v>
      </c>
      <c r="F713" t="s">
        <v>2375</v>
      </c>
      <c r="G713" t="s">
        <v>26</v>
      </c>
      <c r="H713" t="s">
        <v>27</v>
      </c>
      <c r="I713" t="s">
        <v>643</v>
      </c>
      <c r="J713" t="s">
        <v>288</v>
      </c>
      <c r="K713" t="s">
        <v>155</v>
      </c>
      <c r="L713" t="s">
        <v>2376</v>
      </c>
      <c r="M713" t="s">
        <v>32</v>
      </c>
      <c r="N713" t="s">
        <v>51</v>
      </c>
      <c r="O713" t="s">
        <v>2377</v>
      </c>
      <c r="P713">
        <v>335.94400000000002</v>
      </c>
      <c r="Q713">
        <v>7</v>
      </c>
      <c r="R713">
        <v>41.993000000000002</v>
      </c>
      <c r="S713" s="3" t="s">
        <v>65</v>
      </c>
      <c r="T713">
        <v>2014</v>
      </c>
      <c r="U713" t="s">
        <v>291</v>
      </c>
      <c r="V713" s="2">
        <v>0.125</v>
      </c>
    </row>
    <row r="714" spans="1:22" x14ac:dyDescent="0.25">
      <c r="A714" t="s">
        <v>2378</v>
      </c>
      <c r="B714" s="1">
        <v>43069</v>
      </c>
      <c r="C714" s="1">
        <v>43071</v>
      </c>
      <c r="D714" t="s">
        <v>40</v>
      </c>
      <c r="E714" t="s">
        <v>2379</v>
      </c>
      <c r="F714" t="s">
        <v>2380</v>
      </c>
      <c r="G714" t="s">
        <v>70</v>
      </c>
      <c r="H714" t="s">
        <v>27</v>
      </c>
      <c r="I714" t="s">
        <v>643</v>
      </c>
      <c r="J714" t="s">
        <v>288</v>
      </c>
      <c r="K714" t="s">
        <v>155</v>
      </c>
      <c r="L714" t="s">
        <v>1202</v>
      </c>
      <c r="M714" t="s">
        <v>32</v>
      </c>
      <c r="N714" t="s">
        <v>33</v>
      </c>
      <c r="O714" t="s">
        <v>1203</v>
      </c>
      <c r="P714">
        <v>71.975999999999999</v>
      </c>
      <c r="Q714">
        <v>3</v>
      </c>
      <c r="R714">
        <v>8.9969999999999999</v>
      </c>
      <c r="S714" s="3" t="s">
        <v>65</v>
      </c>
      <c r="T714">
        <v>2017</v>
      </c>
      <c r="U714" t="s">
        <v>118</v>
      </c>
      <c r="V714" s="2">
        <v>0.125</v>
      </c>
    </row>
    <row r="715" spans="1:22" x14ac:dyDescent="0.25">
      <c r="A715" t="s">
        <v>2381</v>
      </c>
      <c r="B715" s="1">
        <v>41959</v>
      </c>
      <c r="C715" s="1">
        <v>41963</v>
      </c>
      <c r="D715" t="s">
        <v>23</v>
      </c>
      <c r="E715" t="s">
        <v>2382</v>
      </c>
      <c r="F715" t="s">
        <v>2383</v>
      </c>
      <c r="G715" t="s">
        <v>70</v>
      </c>
      <c r="H715" t="s">
        <v>27</v>
      </c>
      <c r="I715" t="s">
        <v>2384</v>
      </c>
      <c r="J715" t="s">
        <v>2242</v>
      </c>
      <c r="K715" t="s">
        <v>62</v>
      </c>
      <c r="L715" t="s">
        <v>1315</v>
      </c>
      <c r="M715" t="s">
        <v>32</v>
      </c>
      <c r="N715" t="s">
        <v>33</v>
      </c>
      <c r="O715" t="s">
        <v>1316</v>
      </c>
      <c r="P715">
        <v>273.95999999999998</v>
      </c>
      <c r="Q715">
        <v>2</v>
      </c>
      <c r="R715">
        <v>10.958399999999999</v>
      </c>
      <c r="S715" s="3" t="s">
        <v>53</v>
      </c>
      <c r="T715">
        <v>2014</v>
      </c>
      <c r="U715" t="s">
        <v>118</v>
      </c>
      <c r="V715" s="2">
        <v>0.04</v>
      </c>
    </row>
    <row r="716" spans="1:22" x14ac:dyDescent="0.25">
      <c r="A716" t="s">
        <v>2385</v>
      </c>
      <c r="B716" s="1">
        <v>42194</v>
      </c>
      <c r="C716" s="1">
        <v>42199</v>
      </c>
      <c r="D716" t="s">
        <v>40</v>
      </c>
      <c r="E716" t="s">
        <v>2386</v>
      </c>
      <c r="F716" t="s">
        <v>2387</v>
      </c>
      <c r="G716" t="s">
        <v>26</v>
      </c>
      <c r="H716" t="s">
        <v>27</v>
      </c>
      <c r="I716" t="s">
        <v>206</v>
      </c>
      <c r="J716" t="s">
        <v>207</v>
      </c>
      <c r="K716" t="s">
        <v>95</v>
      </c>
      <c r="L716" t="s">
        <v>1744</v>
      </c>
      <c r="M716" t="s">
        <v>32</v>
      </c>
      <c r="N716" t="s">
        <v>33</v>
      </c>
      <c r="O716" t="s">
        <v>1745</v>
      </c>
      <c r="P716">
        <v>269.98200000000003</v>
      </c>
      <c r="Q716">
        <v>3</v>
      </c>
      <c r="R716">
        <v>40.497300000000003</v>
      </c>
      <c r="S716" s="3" t="s">
        <v>35</v>
      </c>
      <c r="T716">
        <v>2015</v>
      </c>
      <c r="U716" t="s">
        <v>332</v>
      </c>
      <c r="V716" s="2">
        <v>0.15</v>
      </c>
    </row>
    <row r="717" spans="1:22" x14ac:dyDescent="0.25">
      <c r="A717" t="s">
        <v>2388</v>
      </c>
      <c r="B717" s="1">
        <v>42947</v>
      </c>
      <c r="C717" s="1">
        <v>42951</v>
      </c>
      <c r="D717" t="s">
        <v>23</v>
      </c>
      <c r="E717" t="s">
        <v>2389</v>
      </c>
      <c r="F717" t="s">
        <v>2390</v>
      </c>
      <c r="G717" t="s">
        <v>70</v>
      </c>
      <c r="H717" t="s">
        <v>27</v>
      </c>
      <c r="I717" t="s">
        <v>2391</v>
      </c>
      <c r="J717" t="s">
        <v>288</v>
      </c>
      <c r="K717" t="s">
        <v>155</v>
      </c>
      <c r="L717" t="s">
        <v>1379</v>
      </c>
      <c r="M717" t="s">
        <v>32</v>
      </c>
      <c r="N717" t="s">
        <v>51</v>
      </c>
      <c r="O717" t="s">
        <v>1380</v>
      </c>
      <c r="P717">
        <v>41.423999999999999</v>
      </c>
      <c r="Q717">
        <v>2</v>
      </c>
      <c r="R717">
        <v>8.2848000000000006</v>
      </c>
      <c r="S717" s="3" t="s">
        <v>53</v>
      </c>
      <c r="T717">
        <v>2017</v>
      </c>
      <c r="U717" t="s">
        <v>332</v>
      </c>
      <c r="V717" s="2">
        <v>0.2</v>
      </c>
    </row>
    <row r="718" spans="1:22" x14ac:dyDescent="0.25">
      <c r="A718" t="s">
        <v>2392</v>
      </c>
      <c r="B718" s="1">
        <v>43043</v>
      </c>
      <c r="C718" s="1">
        <v>43044</v>
      </c>
      <c r="D718" t="s">
        <v>56</v>
      </c>
      <c r="E718" t="s">
        <v>2393</v>
      </c>
      <c r="F718" t="s">
        <v>2394</v>
      </c>
      <c r="G718" t="s">
        <v>59</v>
      </c>
      <c r="H718" t="s">
        <v>27</v>
      </c>
      <c r="I718" t="s">
        <v>2395</v>
      </c>
      <c r="J718" t="s">
        <v>154</v>
      </c>
      <c r="K718" t="s">
        <v>155</v>
      </c>
      <c r="L718" t="s">
        <v>1501</v>
      </c>
      <c r="M718" t="s">
        <v>32</v>
      </c>
      <c r="N718" t="s">
        <v>33</v>
      </c>
      <c r="O718" t="s">
        <v>1502</v>
      </c>
      <c r="P718">
        <v>1359.96</v>
      </c>
      <c r="Q718">
        <v>5</v>
      </c>
      <c r="R718">
        <v>118.9965</v>
      </c>
      <c r="S718" s="3" t="s">
        <v>112</v>
      </c>
      <c r="T718">
        <v>2017</v>
      </c>
      <c r="U718" t="s">
        <v>118</v>
      </c>
      <c r="V718" s="2">
        <v>8.7499999999999994E-2</v>
      </c>
    </row>
    <row r="719" spans="1:22" x14ac:dyDescent="0.25">
      <c r="A719" t="s">
        <v>2396</v>
      </c>
      <c r="B719" s="1">
        <v>42657</v>
      </c>
      <c r="C719" s="1">
        <v>42663</v>
      </c>
      <c r="D719" t="s">
        <v>23</v>
      </c>
      <c r="E719" t="s">
        <v>2397</v>
      </c>
      <c r="F719" t="s">
        <v>2398</v>
      </c>
      <c r="G719" t="s">
        <v>26</v>
      </c>
      <c r="H719" t="s">
        <v>27</v>
      </c>
      <c r="I719" t="s">
        <v>460</v>
      </c>
      <c r="J719" t="s">
        <v>154</v>
      </c>
      <c r="K719" t="s">
        <v>155</v>
      </c>
      <c r="L719" t="s">
        <v>876</v>
      </c>
      <c r="M719" t="s">
        <v>32</v>
      </c>
      <c r="N719" t="s">
        <v>51</v>
      </c>
      <c r="O719" t="s">
        <v>877</v>
      </c>
      <c r="P719">
        <v>22.704000000000001</v>
      </c>
      <c r="Q719">
        <v>1</v>
      </c>
      <c r="R719">
        <v>5.9598000000000004</v>
      </c>
      <c r="S719" s="3" t="s">
        <v>107</v>
      </c>
      <c r="T719">
        <v>2016</v>
      </c>
      <c r="U719" t="s">
        <v>133</v>
      </c>
      <c r="V719" s="2">
        <v>0.26250000000000001</v>
      </c>
    </row>
    <row r="720" spans="1:22" x14ac:dyDescent="0.25">
      <c r="A720" t="s">
        <v>2399</v>
      </c>
      <c r="B720" s="1">
        <v>42320</v>
      </c>
      <c r="C720" s="1">
        <v>42327</v>
      </c>
      <c r="D720" t="s">
        <v>23</v>
      </c>
      <c r="E720" t="s">
        <v>2400</v>
      </c>
      <c r="F720" t="s">
        <v>2401</v>
      </c>
      <c r="G720" t="s">
        <v>59</v>
      </c>
      <c r="H720" t="s">
        <v>27</v>
      </c>
      <c r="I720" t="s">
        <v>2402</v>
      </c>
      <c r="J720" t="s">
        <v>288</v>
      </c>
      <c r="K720" t="s">
        <v>155</v>
      </c>
      <c r="L720" t="s">
        <v>1290</v>
      </c>
      <c r="M720" t="s">
        <v>32</v>
      </c>
      <c r="N720" t="s">
        <v>33</v>
      </c>
      <c r="O720" t="s">
        <v>1291</v>
      </c>
      <c r="P720">
        <v>100.792</v>
      </c>
      <c r="Q720">
        <v>1</v>
      </c>
      <c r="R720">
        <v>10.0792</v>
      </c>
      <c r="S720" s="3" t="s">
        <v>132</v>
      </c>
      <c r="T720">
        <v>2015</v>
      </c>
      <c r="U720" t="s">
        <v>118</v>
      </c>
      <c r="V720" s="2">
        <v>0.1</v>
      </c>
    </row>
    <row r="721" spans="1:22" x14ac:dyDescent="0.25">
      <c r="A721" t="s">
        <v>2403</v>
      </c>
      <c r="B721" s="1">
        <v>42559</v>
      </c>
      <c r="C721" s="1">
        <v>42559</v>
      </c>
      <c r="D721" t="s">
        <v>677</v>
      </c>
      <c r="E721" t="s">
        <v>41</v>
      </c>
      <c r="F721" t="s">
        <v>42</v>
      </c>
      <c r="G721" t="s">
        <v>26</v>
      </c>
      <c r="H721" t="s">
        <v>27</v>
      </c>
      <c r="I721" t="s">
        <v>460</v>
      </c>
      <c r="J721" t="s">
        <v>288</v>
      </c>
      <c r="K721" t="s">
        <v>155</v>
      </c>
      <c r="L721" t="s">
        <v>1459</v>
      </c>
      <c r="M721" t="s">
        <v>32</v>
      </c>
      <c r="N721" t="s">
        <v>33</v>
      </c>
      <c r="O721" t="s">
        <v>1460</v>
      </c>
      <c r="P721">
        <v>823.96</v>
      </c>
      <c r="Q721">
        <v>5</v>
      </c>
      <c r="R721">
        <v>51.497500000000002</v>
      </c>
      <c r="S721" s="3" t="s">
        <v>683</v>
      </c>
      <c r="T721">
        <v>2016</v>
      </c>
      <c r="U721" t="s">
        <v>332</v>
      </c>
      <c r="V721" s="2">
        <v>6.25E-2</v>
      </c>
    </row>
    <row r="722" spans="1:22" x14ac:dyDescent="0.25">
      <c r="A722" t="s">
        <v>2404</v>
      </c>
      <c r="B722" s="1">
        <v>42262</v>
      </c>
      <c r="C722" s="1">
        <v>42266</v>
      </c>
      <c r="D722" t="s">
        <v>23</v>
      </c>
      <c r="E722" t="s">
        <v>1312</v>
      </c>
      <c r="F722" t="s">
        <v>1313</v>
      </c>
      <c r="G722" t="s">
        <v>26</v>
      </c>
      <c r="H722" t="s">
        <v>27</v>
      </c>
      <c r="I722" t="s">
        <v>1210</v>
      </c>
      <c r="J722" t="s">
        <v>555</v>
      </c>
      <c r="K722" t="s">
        <v>155</v>
      </c>
      <c r="L722" t="s">
        <v>1973</v>
      </c>
      <c r="M722" t="s">
        <v>32</v>
      </c>
      <c r="N722" t="s">
        <v>33</v>
      </c>
      <c r="O722" t="s">
        <v>1974</v>
      </c>
      <c r="P722">
        <v>59.97</v>
      </c>
      <c r="Q722">
        <v>3</v>
      </c>
      <c r="R722">
        <v>0</v>
      </c>
      <c r="S722" s="3" t="s">
        <v>53</v>
      </c>
      <c r="T722">
        <v>2015</v>
      </c>
      <c r="U722" t="s">
        <v>81</v>
      </c>
      <c r="V722" s="2">
        <v>0</v>
      </c>
    </row>
    <row r="723" spans="1:22" x14ac:dyDescent="0.25">
      <c r="A723" t="s">
        <v>2405</v>
      </c>
      <c r="B723" s="1">
        <v>42261</v>
      </c>
      <c r="C723" s="1">
        <v>42265</v>
      </c>
      <c r="D723" t="s">
        <v>23</v>
      </c>
      <c r="E723" t="s">
        <v>2406</v>
      </c>
      <c r="F723" t="s">
        <v>2407</v>
      </c>
      <c r="G723" t="s">
        <v>26</v>
      </c>
      <c r="H723" t="s">
        <v>27</v>
      </c>
      <c r="I723" t="s">
        <v>103</v>
      </c>
      <c r="J723" t="s">
        <v>104</v>
      </c>
      <c r="K723" t="s">
        <v>95</v>
      </c>
      <c r="L723" t="s">
        <v>2346</v>
      </c>
      <c r="M723" t="s">
        <v>32</v>
      </c>
      <c r="N723" t="s">
        <v>381</v>
      </c>
      <c r="O723" t="s">
        <v>2347</v>
      </c>
      <c r="P723">
        <v>879.98400000000004</v>
      </c>
      <c r="Q723">
        <v>2</v>
      </c>
      <c r="R723">
        <v>329.99400000000003</v>
      </c>
      <c r="S723" s="3" t="s">
        <v>53</v>
      </c>
      <c r="T723">
        <v>2015</v>
      </c>
      <c r="U723" t="s">
        <v>81</v>
      </c>
      <c r="V723" s="2">
        <v>0.375</v>
      </c>
    </row>
    <row r="724" spans="1:22" x14ac:dyDescent="0.25">
      <c r="A724" t="s">
        <v>2408</v>
      </c>
      <c r="B724" s="1">
        <v>41967</v>
      </c>
      <c r="C724" s="1">
        <v>41967</v>
      </c>
      <c r="D724" t="s">
        <v>677</v>
      </c>
      <c r="E724" t="s">
        <v>2409</v>
      </c>
      <c r="F724" t="s">
        <v>2410</v>
      </c>
      <c r="G724" t="s">
        <v>59</v>
      </c>
      <c r="H724" t="s">
        <v>27</v>
      </c>
      <c r="I724" t="s">
        <v>176</v>
      </c>
      <c r="J724" t="s">
        <v>177</v>
      </c>
      <c r="K724" t="s">
        <v>95</v>
      </c>
      <c r="L724" t="s">
        <v>906</v>
      </c>
      <c r="M724" t="s">
        <v>32</v>
      </c>
      <c r="N724" t="s">
        <v>33</v>
      </c>
      <c r="O724" t="s">
        <v>907</v>
      </c>
      <c r="P724">
        <v>1049.97</v>
      </c>
      <c r="Q724">
        <v>5</v>
      </c>
      <c r="R724">
        <v>-209.994</v>
      </c>
      <c r="S724" s="3" t="s">
        <v>683</v>
      </c>
      <c r="T724">
        <v>2014</v>
      </c>
      <c r="U724" t="s">
        <v>118</v>
      </c>
      <c r="V724" s="2">
        <v>-0.2</v>
      </c>
    </row>
    <row r="725" spans="1:22" x14ac:dyDescent="0.25">
      <c r="A725" t="s">
        <v>2411</v>
      </c>
      <c r="B725" s="1">
        <v>41846</v>
      </c>
      <c r="C725" s="1">
        <v>41853</v>
      </c>
      <c r="D725" t="s">
        <v>23</v>
      </c>
      <c r="E725" t="s">
        <v>114</v>
      </c>
      <c r="F725" t="s">
        <v>115</v>
      </c>
      <c r="G725" t="s">
        <v>26</v>
      </c>
      <c r="H725" t="s">
        <v>27</v>
      </c>
      <c r="I725" t="s">
        <v>1350</v>
      </c>
      <c r="J725" t="s">
        <v>1351</v>
      </c>
      <c r="K725" t="s">
        <v>30</v>
      </c>
      <c r="L725" t="s">
        <v>512</v>
      </c>
      <c r="M725" t="s">
        <v>32</v>
      </c>
      <c r="N725" t="s">
        <v>33</v>
      </c>
      <c r="O725" t="s">
        <v>513</v>
      </c>
      <c r="P725">
        <v>911.98400000000004</v>
      </c>
      <c r="Q725">
        <v>2</v>
      </c>
      <c r="R725">
        <v>113.998</v>
      </c>
      <c r="S725" s="3" t="s">
        <v>132</v>
      </c>
      <c r="T725">
        <v>2014</v>
      </c>
      <c r="U725" t="s">
        <v>332</v>
      </c>
      <c r="V725" s="2">
        <v>0.125</v>
      </c>
    </row>
    <row r="726" spans="1:22" x14ac:dyDescent="0.25">
      <c r="A726" t="s">
        <v>2411</v>
      </c>
      <c r="B726" s="1">
        <v>41846</v>
      </c>
      <c r="C726" s="1">
        <v>41853</v>
      </c>
      <c r="D726" t="s">
        <v>23</v>
      </c>
      <c r="E726" t="s">
        <v>114</v>
      </c>
      <c r="F726" t="s">
        <v>115</v>
      </c>
      <c r="G726" t="s">
        <v>26</v>
      </c>
      <c r="H726" t="s">
        <v>27</v>
      </c>
      <c r="I726" t="s">
        <v>1350</v>
      </c>
      <c r="J726" t="s">
        <v>1351</v>
      </c>
      <c r="K726" t="s">
        <v>30</v>
      </c>
      <c r="L726" t="s">
        <v>2412</v>
      </c>
      <c r="M726" t="s">
        <v>32</v>
      </c>
      <c r="N726" t="s">
        <v>51</v>
      </c>
      <c r="O726" t="s">
        <v>2413</v>
      </c>
      <c r="P726">
        <v>170.97</v>
      </c>
      <c r="Q726">
        <v>3</v>
      </c>
      <c r="R726">
        <v>70.097700000000003</v>
      </c>
      <c r="S726" s="3" t="s">
        <v>132</v>
      </c>
      <c r="T726">
        <v>2014</v>
      </c>
      <c r="U726" t="s">
        <v>332</v>
      </c>
      <c r="V726" s="2">
        <v>0.41</v>
      </c>
    </row>
    <row r="727" spans="1:22" x14ac:dyDescent="0.25">
      <c r="A727" t="s">
        <v>2414</v>
      </c>
      <c r="B727" s="1">
        <v>43000</v>
      </c>
      <c r="C727" s="1">
        <v>43001</v>
      </c>
      <c r="D727" t="s">
        <v>56</v>
      </c>
      <c r="E727" t="s">
        <v>442</v>
      </c>
      <c r="F727" t="s">
        <v>443</v>
      </c>
      <c r="G727" t="s">
        <v>26</v>
      </c>
      <c r="H727" t="s">
        <v>27</v>
      </c>
      <c r="I727" t="s">
        <v>2269</v>
      </c>
      <c r="J727" t="s">
        <v>1011</v>
      </c>
      <c r="K727" t="s">
        <v>155</v>
      </c>
      <c r="L727" t="s">
        <v>116</v>
      </c>
      <c r="M727" t="s">
        <v>32</v>
      </c>
      <c r="N727" t="s">
        <v>51</v>
      </c>
      <c r="O727" t="s">
        <v>117</v>
      </c>
      <c r="P727">
        <v>34.950000000000003</v>
      </c>
      <c r="Q727">
        <v>5</v>
      </c>
      <c r="R727">
        <v>15.378</v>
      </c>
      <c r="S727" s="3" t="s">
        <v>112</v>
      </c>
      <c r="T727">
        <v>2017</v>
      </c>
      <c r="U727" t="s">
        <v>81</v>
      </c>
      <c r="V727" s="2">
        <v>0.44</v>
      </c>
    </row>
    <row r="728" spans="1:22" x14ac:dyDescent="0.25">
      <c r="A728" t="s">
        <v>2415</v>
      </c>
      <c r="B728" s="1">
        <v>43031</v>
      </c>
      <c r="C728" s="1">
        <v>43036</v>
      </c>
      <c r="D728" t="s">
        <v>40</v>
      </c>
      <c r="E728" t="s">
        <v>2416</v>
      </c>
      <c r="F728" t="s">
        <v>2417</v>
      </c>
      <c r="G728" t="s">
        <v>26</v>
      </c>
      <c r="H728" t="s">
        <v>27</v>
      </c>
      <c r="I728" t="s">
        <v>213</v>
      </c>
      <c r="J728" t="s">
        <v>61</v>
      </c>
      <c r="K728" t="s">
        <v>62</v>
      </c>
      <c r="L728" t="s">
        <v>1459</v>
      </c>
      <c r="M728" t="s">
        <v>32</v>
      </c>
      <c r="N728" t="s">
        <v>33</v>
      </c>
      <c r="O728" t="s">
        <v>1460</v>
      </c>
      <c r="P728">
        <v>823.96</v>
      </c>
      <c r="Q728">
        <v>5</v>
      </c>
      <c r="R728">
        <v>51.497500000000002</v>
      </c>
      <c r="S728" s="3" t="s">
        <v>35</v>
      </c>
      <c r="T728">
        <v>2017</v>
      </c>
      <c r="U728" t="s">
        <v>133</v>
      </c>
      <c r="V728" s="2">
        <v>6.25E-2</v>
      </c>
    </row>
    <row r="729" spans="1:22" x14ac:dyDescent="0.25">
      <c r="A729" t="s">
        <v>2418</v>
      </c>
      <c r="B729" s="1">
        <v>41993</v>
      </c>
      <c r="C729" s="1">
        <v>41993</v>
      </c>
      <c r="D729" t="s">
        <v>677</v>
      </c>
      <c r="E729" t="s">
        <v>1994</v>
      </c>
      <c r="F729" t="s">
        <v>1995</v>
      </c>
      <c r="G729" t="s">
        <v>26</v>
      </c>
      <c r="H729" t="s">
        <v>27</v>
      </c>
      <c r="I729" t="s">
        <v>2419</v>
      </c>
      <c r="J729" t="s">
        <v>147</v>
      </c>
      <c r="K729" t="s">
        <v>30</v>
      </c>
      <c r="L729" t="s">
        <v>2420</v>
      </c>
      <c r="M729" t="s">
        <v>32</v>
      </c>
      <c r="N729" t="s">
        <v>51</v>
      </c>
      <c r="O729" t="s">
        <v>2421</v>
      </c>
      <c r="P729">
        <v>447.94400000000002</v>
      </c>
      <c r="Q729">
        <v>7</v>
      </c>
      <c r="R729">
        <v>89.588800000000006</v>
      </c>
      <c r="S729" s="3" t="s">
        <v>683</v>
      </c>
      <c r="T729">
        <v>2014</v>
      </c>
      <c r="U729" t="s">
        <v>66</v>
      </c>
      <c r="V729" s="2">
        <v>0.2</v>
      </c>
    </row>
    <row r="730" spans="1:22" x14ac:dyDescent="0.25">
      <c r="A730" t="s">
        <v>2422</v>
      </c>
      <c r="B730" s="1">
        <v>42783</v>
      </c>
      <c r="C730" s="1">
        <v>42788</v>
      </c>
      <c r="D730" t="s">
        <v>23</v>
      </c>
      <c r="E730" t="s">
        <v>2423</v>
      </c>
      <c r="F730" t="s">
        <v>2424</v>
      </c>
      <c r="G730" t="s">
        <v>70</v>
      </c>
      <c r="H730" t="s">
        <v>27</v>
      </c>
      <c r="I730" t="s">
        <v>140</v>
      </c>
      <c r="J730" t="s">
        <v>78</v>
      </c>
      <c r="K730" t="s">
        <v>62</v>
      </c>
      <c r="L730" t="s">
        <v>2425</v>
      </c>
      <c r="M730" t="s">
        <v>32</v>
      </c>
      <c r="N730" t="s">
        <v>33</v>
      </c>
      <c r="O730" t="s">
        <v>2426</v>
      </c>
      <c r="P730">
        <v>124.792</v>
      </c>
      <c r="Q730">
        <v>1</v>
      </c>
      <c r="R730">
        <v>10.9193</v>
      </c>
      <c r="S730" s="3" t="s">
        <v>35</v>
      </c>
      <c r="T730">
        <v>2017</v>
      </c>
      <c r="U730" t="s">
        <v>180</v>
      </c>
      <c r="V730" s="2">
        <v>8.7499999999999994E-2</v>
      </c>
    </row>
    <row r="731" spans="1:22" x14ac:dyDescent="0.25">
      <c r="A731" t="s">
        <v>2427</v>
      </c>
      <c r="B731" s="1">
        <v>41847</v>
      </c>
      <c r="C731" s="1">
        <v>41849</v>
      </c>
      <c r="D731" t="s">
        <v>40</v>
      </c>
      <c r="E731" t="s">
        <v>1443</v>
      </c>
      <c r="F731" t="s">
        <v>1444</v>
      </c>
      <c r="G731" t="s">
        <v>26</v>
      </c>
      <c r="H731" t="s">
        <v>27</v>
      </c>
      <c r="I731" t="s">
        <v>43</v>
      </c>
      <c r="J731" t="s">
        <v>29</v>
      </c>
      <c r="K731" t="s">
        <v>30</v>
      </c>
      <c r="L731" t="s">
        <v>1513</v>
      </c>
      <c r="M731" t="s">
        <v>32</v>
      </c>
      <c r="N731" t="s">
        <v>51</v>
      </c>
      <c r="O731" t="s">
        <v>1514</v>
      </c>
      <c r="P731">
        <v>238</v>
      </c>
      <c r="Q731">
        <v>2</v>
      </c>
      <c r="R731">
        <v>38.08</v>
      </c>
      <c r="S731" s="3" t="s">
        <v>65</v>
      </c>
      <c r="T731">
        <v>2014</v>
      </c>
      <c r="U731" t="s">
        <v>332</v>
      </c>
      <c r="V731" s="2">
        <v>0.16</v>
      </c>
    </row>
    <row r="732" spans="1:22" x14ac:dyDescent="0.25">
      <c r="A732" t="s">
        <v>2428</v>
      </c>
      <c r="B732" s="1">
        <v>42848</v>
      </c>
      <c r="C732" s="1">
        <v>42850</v>
      </c>
      <c r="D732" t="s">
        <v>40</v>
      </c>
      <c r="E732" t="s">
        <v>647</v>
      </c>
      <c r="F732" t="s">
        <v>648</v>
      </c>
      <c r="G732" t="s">
        <v>26</v>
      </c>
      <c r="H732" t="s">
        <v>27</v>
      </c>
      <c r="I732" t="s">
        <v>2429</v>
      </c>
      <c r="J732" t="s">
        <v>669</v>
      </c>
      <c r="K732" t="s">
        <v>62</v>
      </c>
      <c r="L732" t="s">
        <v>1379</v>
      </c>
      <c r="M732" t="s">
        <v>32</v>
      </c>
      <c r="N732" t="s">
        <v>51</v>
      </c>
      <c r="O732" t="s">
        <v>1380</v>
      </c>
      <c r="P732">
        <v>155.34</v>
      </c>
      <c r="Q732">
        <v>6</v>
      </c>
      <c r="R732">
        <v>55.922400000000003</v>
      </c>
      <c r="S732" s="3" t="s">
        <v>65</v>
      </c>
      <c r="T732">
        <v>2017</v>
      </c>
      <c r="U732" t="s">
        <v>291</v>
      </c>
      <c r="V732" s="2">
        <v>0.36</v>
      </c>
    </row>
    <row r="733" spans="1:22" x14ac:dyDescent="0.25">
      <c r="A733" t="s">
        <v>2430</v>
      </c>
      <c r="B733" s="1">
        <v>42300</v>
      </c>
      <c r="C733" s="1">
        <v>42304</v>
      </c>
      <c r="D733" t="s">
        <v>40</v>
      </c>
      <c r="E733" t="s">
        <v>713</v>
      </c>
      <c r="F733" t="s">
        <v>714</v>
      </c>
      <c r="G733" t="s">
        <v>26</v>
      </c>
      <c r="H733" t="s">
        <v>27</v>
      </c>
      <c r="I733" t="s">
        <v>300</v>
      </c>
      <c r="J733" t="s">
        <v>29</v>
      </c>
      <c r="K733" t="s">
        <v>30</v>
      </c>
      <c r="L733" t="s">
        <v>824</v>
      </c>
      <c r="M733" t="s">
        <v>32</v>
      </c>
      <c r="N733" t="s">
        <v>51</v>
      </c>
      <c r="O733" t="s">
        <v>825</v>
      </c>
      <c r="P733">
        <v>148.32</v>
      </c>
      <c r="Q733">
        <v>9</v>
      </c>
      <c r="R733">
        <v>63.7776</v>
      </c>
      <c r="S733" s="3" t="s">
        <v>53</v>
      </c>
      <c r="T733">
        <v>2015</v>
      </c>
      <c r="U733" t="s">
        <v>133</v>
      </c>
      <c r="V733" s="2">
        <v>0.43</v>
      </c>
    </row>
    <row r="734" spans="1:22" x14ac:dyDescent="0.25">
      <c r="A734" t="s">
        <v>2431</v>
      </c>
      <c r="B734" s="1">
        <v>42618</v>
      </c>
      <c r="C734" s="1">
        <v>42620</v>
      </c>
      <c r="D734" t="s">
        <v>40</v>
      </c>
      <c r="E734" t="s">
        <v>2416</v>
      </c>
      <c r="F734" t="s">
        <v>2417</v>
      </c>
      <c r="G734" t="s">
        <v>26</v>
      </c>
      <c r="H734" t="s">
        <v>27</v>
      </c>
      <c r="I734" t="s">
        <v>2432</v>
      </c>
      <c r="J734" t="s">
        <v>2319</v>
      </c>
      <c r="K734" t="s">
        <v>155</v>
      </c>
      <c r="L734" t="s">
        <v>852</v>
      </c>
      <c r="M734" t="s">
        <v>32</v>
      </c>
      <c r="N734" t="s">
        <v>33</v>
      </c>
      <c r="O734" t="s">
        <v>853</v>
      </c>
      <c r="P734">
        <v>108.78400000000001</v>
      </c>
      <c r="Q734">
        <v>2</v>
      </c>
      <c r="R734">
        <v>6.7990000000000004</v>
      </c>
      <c r="S734" s="3" t="s">
        <v>65</v>
      </c>
      <c r="T734">
        <v>2016</v>
      </c>
      <c r="U734" t="s">
        <v>81</v>
      </c>
      <c r="V734" s="2">
        <v>6.25E-2</v>
      </c>
    </row>
    <row r="735" spans="1:22" x14ac:dyDescent="0.25">
      <c r="A735" t="s">
        <v>2433</v>
      </c>
      <c r="B735" s="1">
        <v>42432</v>
      </c>
      <c r="C735" s="1">
        <v>42437</v>
      </c>
      <c r="D735" t="s">
        <v>40</v>
      </c>
      <c r="E735" t="s">
        <v>307</v>
      </c>
      <c r="F735" t="s">
        <v>308</v>
      </c>
      <c r="G735" t="s">
        <v>26</v>
      </c>
      <c r="H735" t="s">
        <v>27</v>
      </c>
      <c r="I735" t="s">
        <v>2434</v>
      </c>
      <c r="J735" t="s">
        <v>669</v>
      </c>
      <c r="K735" t="s">
        <v>62</v>
      </c>
      <c r="L735" t="s">
        <v>2169</v>
      </c>
      <c r="M735" t="s">
        <v>32</v>
      </c>
      <c r="N735" t="s">
        <v>33</v>
      </c>
      <c r="O735" t="s">
        <v>2170</v>
      </c>
      <c r="P735">
        <v>134.85</v>
      </c>
      <c r="Q735">
        <v>3</v>
      </c>
      <c r="R735">
        <v>37.758000000000003</v>
      </c>
      <c r="S735" s="3" t="s">
        <v>35</v>
      </c>
      <c r="T735">
        <v>2016</v>
      </c>
      <c r="U735" t="s">
        <v>89</v>
      </c>
      <c r="V735" s="2">
        <v>0.28000000000000003</v>
      </c>
    </row>
    <row r="736" spans="1:22" x14ac:dyDescent="0.25">
      <c r="A736" t="s">
        <v>2435</v>
      </c>
      <c r="B736" s="1">
        <v>41792</v>
      </c>
      <c r="C736" s="1">
        <v>41796</v>
      </c>
      <c r="D736" t="s">
        <v>23</v>
      </c>
      <c r="E736" t="s">
        <v>2436</v>
      </c>
      <c r="F736" t="s">
        <v>2437</v>
      </c>
      <c r="G736" t="s">
        <v>26</v>
      </c>
      <c r="H736" t="s">
        <v>27</v>
      </c>
      <c r="I736" t="s">
        <v>1005</v>
      </c>
      <c r="J736" t="s">
        <v>1006</v>
      </c>
      <c r="K736" t="s">
        <v>155</v>
      </c>
      <c r="L736" t="s">
        <v>607</v>
      </c>
      <c r="M736" t="s">
        <v>32</v>
      </c>
      <c r="N736" t="s">
        <v>33</v>
      </c>
      <c r="O736" t="s">
        <v>608</v>
      </c>
      <c r="P736">
        <v>239.97</v>
      </c>
      <c r="Q736">
        <v>3</v>
      </c>
      <c r="R736">
        <v>67.191599999999994</v>
      </c>
      <c r="S736" s="3" t="s">
        <v>53</v>
      </c>
      <c r="T736">
        <v>2014</v>
      </c>
      <c r="U736" t="s">
        <v>36</v>
      </c>
      <c r="V736" s="2">
        <v>0.28000000000000003</v>
      </c>
    </row>
    <row r="737" spans="1:22" x14ac:dyDescent="0.25">
      <c r="A737" t="s">
        <v>2438</v>
      </c>
      <c r="B737" s="1">
        <v>42698</v>
      </c>
      <c r="C737" s="1">
        <v>42704</v>
      </c>
      <c r="D737" t="s">
        <v>23</v>
      </c>
      <c r="E737" t="s">
        <v>2439</v>
      </c>
      <c r="F737" t="s">
        <v>2440</v>
      </c>
      <c r="G737" t="s">
        <v>59</v>
      </c>
      <c r="H737" t="s">
        <v>27</v>
      </c>
      <c r="I737" t="s">
        <v>28</v>
      </c>
      <c r="J737" t="s">
        <v>29</v>
      </c>
      <c r="K737" t="s">
        <v>30</v>
      </c>
      <c r="L737" t="s">
        <v>922</v>
      </c>
      <c r="M737" t="s">
        <v>32</v>
      </c>
      <c r="N737" t="s">
        <v>51</v>
      </c>
      <c r="O737" t="s">
        <v>923</v>
      </c>
      <c r="P737">
        <v>659.9</v>
      </c>
      <c r="Q737">
        <v>2</v>
      </c>
      <c r="R737">
        <v>217.767</v>
      </c>
      <c r="S737" s="3" t="s">
        <v>107</v>
      </c>
      <c r="T737">
        <v>2016</v>
      </c>
      <c r="U737" t="s">
        <v>118</v>
      </c>
      <c r="V737" s="2">
        <v>0.33</v>
      </c>
    </row>
    <row r="738" spans="1:22" x14ac:dyDescent="0.25">
      <c r="A738" t="s">
        <v>2438</v>
      </c>
      <c r="B738" s="1">
        <v>42698</v>
      </c>
      <c r="C738" s="1">
        <v>42704</v>
      </c>
      <c r="D738" t="s">
        <v>23</v>
      </c>
      <c r="E738" t="s">
        <v>2439</v>
      </c>
      <c r="F738" t="s">
        <v>2440</v>
      </c>
      <c r="G738" t="s">
        <v>59</v>
      </c>
      <c r="H738" t="s">
        <v>27</v>
      </c>
      <c r="I738" t="s">
        <v>28</v>
      </c>
      <c r="J738" t="s">
        <v>29</v>
      </c>
      <c r="K738" t="s">
        <v>30</v>
      </c>
      <c r="L738" t="s">
        <v>2133</v>
      </c>
      <c r="M738" t="s">
        <v>32</v>
      </c>
      <c r="N738" t="s">
        <v>51</v>
      </c>
      <c r="O738" t="s">
        <v>2134</v>
      </c>
      <c r="P738">
        <v>559.91999999999996</v>
      </c>
      <c r="Q738">
        <v>8</v>
      </c>
      <c r="R738">
        <v>190.37280000000001</v>
      </c>
      <c r="S738" s="3" t="s">
        <v>107</v>
      </c>
      <c r="T738">
        <v>2016</v>
      </c>
      <c r="U738" t="s">
        <v>118</v>
      </c>
      <c r="V738" s="2">
        <v>0.34</v>
      </c>
    </row>
    <row r="739" spans="1:22" x14ac:dyDescent="0.25">
      <c r="A739" t="s">
        <v>2441</v>
      </c>
      <c r="B739" s="1">
        <v>42684</v>
      </c>
      <c r="C739" s="1">
        <v>42688</v>
      </c>
      <c r="D739" t="s">
        <v>23</v>
      </c>
      <c r="E739" t="s">
        <v>2081</v>
      </c>
      <c r="F739" t="s">
        <v>2082</v>
      </c>
      <c r="G739" t="s">
        <v>26</v>
      </c>
      <c r="H739" t="s">
        <v>27</v>
      </c>
      <c r="I739" t="s">
        <v>71</v>
      </c>
      <c r="J739" t="s">
        <v>61</v>
      </c>
      <c r="K739" t="s">
        <v>62</v>
      </c>
      <c r="L739" t="s">
        <v>780</v>
      </c>
      <c r="M739" t="s">
        <v>32</v>
      </c>
      <c r="N739" t="s">
        <v>51</v>
      </c>
      <c r="O739" t="s">
        <v>781</v>
      </c>
      <c r="P739">
        <v>279.94400000000002</v>
      </c>
      <c r="Q739">
        <v>7</v>
      </c>
      <c r="R739">
        <v>48.990200000000002</v>
      </c>
      <c r="S739" s="3" t="s">
        <v>53</v>
      </c>
      <c r="T739">
        <v>2016</v>
      </c>
      <c r="U739" t="s">
        <v>118</v>
      </c>
      <c r="V739" s="2">
        <v>0.17499999999999999</v>
      </c>
    </row>
    <row r="740" spans="1:22" x14ac:dyDescent="0.25">
      <c r="A740" t="s">
        <v>2442</v>
      </c>
      <c r="B740" s="1">
        <v>42856</v>
      </c>
      <c r="C740" s="1">
        <v>42860</v>
      </c>
      <c r="D740" t="s">
        <v>23</v>
      </c>
      <c r="E740" t="s">
        <v>2157</v>
      </c>
      <c r="F740" t="s">
        <v>2158</v>
      </c>
      <c r="G740" t="s">
        <v>70</v>
      </c>
      <c r="H740" t="s">
        <v>27</v>
      </c>
      <c r="I740" t="s">
        <v>2443</v>
      </c>
      <c r="J740" t="s">
        <v>1011</v>
      </c>
      <c r="K740" t="s">
        <v>155</v>
      </c>
      <c r="L740" t="s">
        <v>2444</v>
      </c>
      <c r="M740" t="s">
        <v>32</v>
      </c>
      <c r="N740" t="s">
        <v>51</v>
      </c>
      <c r="O740" t="s">
        <v>2445</v>
      </c>
      <c r="P740">
        <v>48.9</v>
      </c>
      <c r="Q740">
        <v>5</v>
      </c>
      <c r="R740">
        <v>18.093</v>
      </c>
      <c r="S740" s="3" t="s">
        <v>53</v>
      </c>
      <c r="T740">
        <v>2017</v>
      </c>
      <c r="U740" t="s">
        <v>527</v>
      </c>
      <c r="V740" s="2">
        <v>0.37</v>
      </c>
    </row>
    <row r="741" spans="1:22" x14ac:dyDescent="0.25">
      <c r="A741" t="s">
        <v>2446</v>
      </c>
      <c r="B741" s="1">
        <v>43076</v>
      </c>
      <c r="C741" s="1">
        <v>43078</v>
      </c>
      <c r="D741" t="s">
        <v>56</v>
      </c>
      <c r="E741" t="s">
        <v>2447</v>
      </c>
      <c r="F741" t="s">
        <v>2448</v>
      </c>
      <c r="G741" t="s">
        <v>26</v>
      </c>
      <c r="H741" t="s">
        <v>27</v>
      </c>
      <c r="I741" t="s">
        <v>965</v>
      </c>
      <c r="J741" t="s">
        <v>177</v>
      </c>
      <c r="K741" t="s">
        <v>95</v>
      </c>
      <c r="L741" t="s">
        <v>502</v>
      </c>
      <c r="M741" t="s">
        <v>32</v>
      </c>
      <c r="N741" t="s">
        <v>51</v>
      </c>
      <c r="O741" t="s">
        <v>503</v>
      </c>
      <c r="P741">
        <v>127.98399999999999</v>
      </c>
      <c r="Q741">
        <v>2</v>
      </c>
      <c r="R741">
        <v>25.596800000000002</v>
      </c>
      <c r="S741" s="3" t="s">
        <v>65</v>
      </c>
      <c r="T741">
        <v>2017</v>
      </c>
      <c r="U741" t="s">
        <v>66</v>
      </c>
      <c r="V741" s="2">
        <v>0.2</v>
      </c>
    </row>
    <row r="742" spans="1:22" x14ac:dyDescent="0.25">
      <c r="A742" t="s">
        <v>2449</v>
      </c>
      <c r="B742" s="1">
        <v>42322</v>
      </c>
      <c r="C742" s="1">
        <v>42328</v>
      </c>
      <c r="D742" t="s">
        <v>23</v>
      </c>
      <c r="E742" t="s">
        <v>2450</v>
      </c>
      <c r="F742" t="s">
        <v>2451</v>
      </c>
      <c r="G742" t="s">
        <v>70</v>
      </c>
      <c r="H742" t="s">
        <v>27</v>
      </c>
      <c r="I742" t="s">
        <v>206</v>
      </c>
      <c r="J742" t="s">
        <v>207</v>
      </c>
      <c r="K742" t="s">
        <v>95</v>
      </c>
      <c r="L742" t="s">
        <v>2452</v>
      </c>
      <c r="M742" t="s">
        <v>32</v>
      </c>
      <c r="N742" t="s">
        <v>51</v>
      </c>
      <c r="O742" t="s">
        <v>2453</v>
      </c>
      <c r="P742">
        <v>47.984000000000002</v>
      </c>
      <c r="Q742">
        <v>2</v>
      </c>
      <c r="R742">
        <v>-1.1996</v>
      </c>
      <c r="S742" s="3" t="s">
        <v>107</v>
      </c>
      <c r="T742">
        <v>2015</v>
      </c>
      <c r="U742" t="s">
        <v>118</v>
      </c>
      <c r="V742" s="2">
        <v>-2.5000000000000001E-2</v>
      </c>
    </row>
    <row r="743" spans="1:22" x14ac:dyDescent="0.25">
      <c r="A743" t="s">
        <v>2454</v>
      </c>
      <c r="B743" s="1">
        <v>42099</v>
      </c>
      <c r="C743" s="1">
        <v>42104</v>
      </c>
      <c r="D743" t="s">
        <v>23</v>
      </c>
      <c r="E743" t="s">
        <v>2455</v>
      </c>
      <c r="F743" t="s">
        <v>2456</v>
      </c>
      <c r="G743" t="s">
        <v>70</v>
      </c>
      <c r="H743" t="s">
        <v>27</v>
      </c>
      <c r="I743" t="s">
        <v>206</v>
      </c>
      <c r="J743" t="s">
        <v>207</v>
      </c>
      <c r="K743" t="s">
        <v>95</v>
      </c>
      <c r="L743" t="s">
        <v>583</v>
      </c>
      <c r="M743" t="s">
        <v>32</v>
      </c>
      <c r="N743" t="s">
        <v>33</v>
      </c>
      <c r="O743" t="s">
        <v>584</v>
      </c>
      <c r="P743">
        <v>14.85</v>
      </c>
      <c r="Q743">
        <v>5</v>
      </c>
      <c r="R743">
        <v>-3.2174999999999998</v>
      </c>
      <c r="S743" s="3" t="s">
        <v>35</v>
      </c>
      <c r="T743">
        <v>2015</v>
      </c>
      <c r="U743" t="s">
        <v>291</v>
      </c>
      <c r="V743" s="2">
        <v>-0.21666666666666701</v>
      </c>
    </row>
    <row r="744" spans="1:22" x14ac:dyDescent="0.25">
      <c r="A744" t="s">
        <v>2454</v>
      </c>
      <c r="B744" s="1">
        <v>42099</v>
      </c>
      <c r="C744" s="1">
        <v>42104</v>
      </c>
      <c r="D744" t="s">
        <v>23</v>
      </c>
      <c r="E744" t="s">
        <v>2455</v>
      </c>
      <c r="F744" t="s">
        <v>2456</v>
      </c>
      <c r="G744" t="s">
        <v>70</v>
      </c>
      <c r="H744" t="s">
        <v>27</v>
      </c>
      <c r="I744" t="s">
        <v>206</v>
      </c>
      <c r="J744" t="s">
        <v>207</v>
      </c>
      <c r="K744" t="s">
        <v>95</v>
      </c>
      <c r="L744" t="s">
        <v>158</v>
      </c>
      <c r="M744" t="s">
        <v>32</v>
      </c>
      <c r="N744" t="s">
        <v>33</v>
      </c>
      <c r="O744" t="s">
        <v>159</v>
      </c>
      <c r="P744">
        <v>41.988</v>
      </c>
      <c r="Q744">
        <v>2</v>
      </c>
      <c r="R744">
        <v>-9.7972000000000001</v>
      </c>
      <c r="S744" s="3" t="s">
        <v>35</v>
      </c>
      <c r="T744">
        <v>2015</v>
      </c>
      <c r="U744" t="s">
        <v>291</v>
      </c>
      <c r="V744" s="2">
        <v>-0.233333333333333</v>
      </c>
    </row>
    <row r="745" spans="1:22" x14ac:dyDescent="0.25">
      <c r="A745" t="s">
        <v>2457</v>
      </c>
      <c r="B745" s="1">
        <v>42891</v>
      </c>
      <c r="C745" s="1">
        <v>42892</v>
      </c>
      <c r="D745" t="s">
        <v>56</v>
      </c>
      <c r="E745" t="s">
        <v>2458</v>
      </c>
      <c r="F745" t="s">
        <v>2459</v>
      </c>
      <c r="G745" t="s">
        <v>26</v>
      </c>
      <c r="H745" t="s">
        <v>27</v>
      </c>
      <c r="I745" t="s">
        <v>2460</v>
      </c>
      <c r="J745" t="s">
        <v>61</v>
      </c>
      <c r="K745" t="s">
        <v>62</v>
      </c>
      <c r="L745" t="s">
        <v>2461</v>
      </c>
      <c r="M745" t="s">
        <v>32</v>
      </c>
      <c r="N745" t="s">
        <v>33</v>
      </c>
      <c r="O745" t="s">
        <v>2462</v>
      </c>
      <c r="P745">
        <v>470.37599999999998</v>
      </c>
      <c r="Q745">
        <v>3</v>
      </c>
      <c r="R745">
        <v>52.917299999999997</v>
      </c>
      <c r="S745" s="3" t="s">
        <v>112</v>
      </c>
      <c r="T745">
        <v>2017</v>
      </c>
      <c r="U745" t="s">
        <v>36</v>
      </c>
      <c r="V745" s="2">
        <v>0.1125</v>
      </c>
    </row>
    <row r="746" spans="1:22" x14ac:dyDescent="0.25">
      <c r="A746" t="s">
        <v>2463</v>
      </c>
      <c r="B746" s="1">
        <v>42549</v>
      </c>
      <c r="C746" s="1">
        <v>42553</v>
      </c>
      <c r="D746" t="s">
        <v>40</v>
      </c>
      <c r="E746" t="s">
        <v>2371</v>
      </c>
      <c r="F746" t="s">
        <v>2372</v>
      </c>
      <c r="G746" t="s">
        <v>26</v>
      </c>
      <c r="H746" t="s">
        <v>27</v>
      </c>
      <c r="I746" t="s">
        <v>140</v>
      </c>
      <c r="J746" t="s">
        <v>78</v>
      </c>
      <c r="K746" t="s">
        <v>62</v>
      </c>
      <c r="L746" t="s">
        <v>2115</v>
      </c>
      <c r="M746" t="s">
        <v>32</v>
      </c>
      <c r="N746" t="s">
        <v>33</v>
      </c>
      <c r="O746" t="s">
        <v>2116</v>
      </c>
      <c r="P746">
        <v>359.976</v>
      </c>
      <c r="Q746">
        <v>3</v>
      </c>
      <c r="R746">
        <v>35.997599999999998</v>
      </c>
      <c r="S746" s="3" t="s">
        <v>53</v>
      </c>
      <c r="T746">
        <v>2016</v>
      </c>
      <c r="U746" t="s">
        <v>36</v>
      </c>
      <c r="V746" s="2">
        <v>0.1</v>
      </c>
    </row>
    <row r="747" spans="1:22" x14ac:dyDescent="0.25">
      <c r="A747" t="s">
        <v>2464</v>
      </c>
      <c r="B747" s="1">
        <v>42608</v>
      </c>
      <c r="C747" s="1">
        <v>42615</v>
      </c>
      <c r="D747" t="s">
        <v>23</v>
      </c>
      <c r="E747" t="s">
        <v>2465</v>
      </c>
      <c r="F747" t="s">
        <v>2466</v>
      </c>
      <c r="G747" t="s">
        <v>59</v>
      </c>
      <c r="H747" t="s">
        <v>27</v>
      </c>
      <c r="I747" t="s">
        <v>206</v>
      </c>
      <c r="J747" t="s">
        <v>207</v>
      </c>
      <c r="K747" t="s">
        <v>95</v>
      </c>
      <c r="L747" t="s">
        <v>1233</v>
      </c>
      <c r="M747" t="s">
        <v>32</v>
      </c>
      <c r="N747" t="s">
        <v>51</v>
      </c>
      <c r="O747" t="s">
        <v>1234</v>
      </c>
      <c r="P747">
        <v>47.984000000000002</v>
      </c>
      <c r="Q747">
        <v>2</v>
      </c>
      <c r="R747">
        <v>13.195600000000001</v>
      </c>
      <c r="S747" s="3" t="s">
        <v>132</v>
      </c>
      <c r="T747">
        <v>2016</v>
      </c>
      <c r="U747" t="s">
        <v>46</v>
      </c>
      <c r="V747" s="2">
        <v>0.27500000000000002</v>
      </c>
    </row>
    <row r="748" spans="1:22" x14ac:dyDescent="0.25">
      <c r="A748" t="s">
        <v>2467</v>
      </c>
      <c r="B748" s="1">
        <v>42980</v>
      </c>
      <c r="C748" s="1">
        <v>42986</v>
      </c>
      <c r="D748" t="s">
        <v>23</v>
      </c>
      <c r="E748" t="s">
        <v>1261</v>
      </c>
      <c r="F748" t="s">
        <v>1262</v>
      </c>
      <c r="G748" t="s">
        <v>26</v>
      </c>
      <c r="H748" t="s">
        <v>27</v>
      </c>
      <c r="I748" t="s">
        <v>2468</v>
      </c>
      <c r="J748" t="s">
        <v>29</v>
      </c>
      <c r="K748" t="s">
        <v>30</v>
      </c>
      <c r="L748" t="s">
        <v>2290</v>
      </c>
      <c r="M748" t="s">
        <v>32</v>
      </c>
      <c r="N748" t="s">
        <v>33</v>
      </c>
      <c r="O748" t="s">
        <v>2291</v>
      </c>
      <c r="P748">
        <v>201.584</v>
      </c>
      <c r="Q748">
        <v>2</v>
      </c>
      <c r="R748">
        <v>12.599</v>
      </c>
      <c r="S748" s="3" t="s">
        <v>107</v>
      </c>
      <c r="T748">
        <v>2017</v>
      </c>
      <c r="U748" t="s">
        <v>81</v>
      </c>
      <c r="V748" s="2">
        <v>6.25E-2</v>
      </c>
    </row>
    <row r="749" spans="1:22" x14ac:dyDescent="0.25">
      <c r="A749" t="s">
        <v>2469</v>
      </c>
      <c r="B749" s="1">
        <v>42430</v>
      </c>
      <c r="C749" s="1">
        <v>42437</v>
      </c>
      <c r="D749" t="s">
        <v>23</v>
      </c>
      <c r="E749" t="s">
        <v>83</v>
      </c>
      <c r="F749" t="s">
        <v>84</v>
      </c>
      <c r="G749" t="s">
        <v>59</v>
      </c>
      <c r="H749" t="s">
        <v>27</v>
      </c>
      <c r="I749" t="s">
        <v>588</v>
      </c>
      <c r="J749" t="s">
        <v>147</v>
      </c>
      <c r="K749" t="s">
        <v>30</v>
      </c>
      <c r="L749" t="s">
        <v>2470</v>
      </c>
      <c r="M749" t="s">
        <v>32</v>
      </c>
      <c r="N749" t="s">
        <v>33</v>
      </c>
      <c r="O749" t="s">
        <v>2471</v>
      </c>
      <c r="P749">
        <v>159.98400000000001</v>
      </c>
      <c r="Q749">
        <v>2</v>
      </c>
      <c r="R749">
        <v>13.9986</v>
      </c>
      <c r="S749" s="3" t="s">
        <v>132</v>
      </c>
      <c r="T749">
        <v>2016</v>
      </c>
      <c r="U749" t="s">
        <v>89</v>
      </c>
      <c r="V749" s="2">
        <v>8.7499999999999994E-2</v>
      </c>
    </row>
    <row r="750" spans="1:22" x14ac:dyDescent="0.25">
      <c r="A750" t="s">
        <v>2472</v>
      </c>
      <c r="B750" s="1">
        <v>42296</v>
      </c>
      <c r="C750" s="1">
        <v>42301</v>
      </c>
      <c r="D750" t="s">
        <v>23</v>
      </c>
      <c r="E750" t="s">
        <v>2473</v>
      </c>
      <c r="F750" t="s">
        <v>2474</v>
      </c>
      <c r="G750" t="s">
        <v>59</v>
      </c>
      <c r="H750" t="s">
        <v>27</v>
      </c>
      <c r="I750" t="s">
        <v>851</v>
      </c>
      <c r="J750" t="s">
        <v>256</v>
      </c>
      <c r="K750" t="s">
        <v>62</v>
      </c>
      <c r="L750" t="s">
        <v>1202</v>
      </c>
      <c r="M750" t="s">
        <v>32</v>
      </c>
      <c r="N750" t="s">
        <v>33</v>
      </c>
      <c r="O750" t="s">
        <v>1203</v>
      </c>
      <c r="P750">
        <v>149.94999999999999</v>
      </c>
      <c r="Q750">
        <v>5</v>
      </c>
      <c r="R750">
        <v>44.984999999999999</v>
      </c>
      <c r="S750" s="3" t="s">
        <v>35</v>
      </c>
      <c r="T750">
        <v>2015</v>
      </c>
      <c r="U750" t="s">
        <v>133</v>
      </c>
      <c r="V750" s="2">
        <v>0.3</v>
      </c>
    </row>
    <row r="751" spans="1:22" x14ac:dyDescent="0.25">
      <c r="A751" t="s">
        <v>2475</v>
      </c>
      <c r="B751" s="1">
        <v>43010</v>
      </c>
      <c r="C751" s="1">
        <v>43015</v>
      </c>
      <c r="D751" t="s">
        <v>23</v>
      </c>
      <c r="E751" t="s">
        <v>2476</v>
      </c>
      <c r="F751" t="s">
        <v>2477</v>
      </c>
      <c r="G751" t="s">
        <v>70</v>
      </c>
      <c r="H751" t="s">
        <v>27</v>
      </c>
      <c r="I751" t="s">
        <v>481</v>
      </c>
      <c r="J751" t="s">
        <v>426</v>
      </c>
      <c r="K751" t="s">
        <v>30</v>
      </c>
      <c r="L751" t="s">
        <v>595</v>
      </c>
      <c r="M751" t="s">
        <v>32</v>
      </c>
      <c r="N751" t="s">
        <v>33</v>
      </c>
      <c r="O751" t="s">
        <v>596</v>
      </c>
      <c r="P751">
        <v>84.784000000000006</v>
      </c>
      <c r="Q751">
        <v>2</v>
      </c>
      <c r="R751">
        <v>-20.136199999999999</v>
      </c>
      <c r="S751" s="3" t="s">
        <v>35</v>
      </c>
      <c r="T751">
        <v>2017</v>
      </c>
      <c r="U751" t="s">
        <v>133</v>
      </c>
      <c r="V751" s="2">
        <v>-0.23749999999999999</v>
      </c>
    </row>
    <row r="752" spans="1:22" x14ac:dyDescent="0.25">
      <c r="A752" t="s">
        <v>2478</v>
      </c>
      <c r="B752" s="1">
        <v>42558</v>
      </c>
      <c r="C752" s="1">
        <v>42560</v>
      </c>
      <c r="D752" t="s">
        <v>40</v>
      </c>
      <c r="E752" t="s">
        <v>2479</v>
      </c>
      <c r="F752" t="s">
        <v>2480</v>
      </c>
      <c r="G752" t="s">
        <v>26</v>
      </c>
      <c r="H752" t="s">
        <v>27</v>
      </c>
      <c r="I752" t="s">
        <v>28</v>
      </c>
      <c r="J752" t="s">
        <v>29</v>
      </c>
      <c r="K752" t="s">
        <v>30</v>
      </c>
      <c r="L752" t="s">
        <v>1678</v>
      </c>
      <c r="M752" t="s">
        <v>32</v>
      </c>
      <c r="N752" t="s">
        <v>381</v>
      </c>
      <c r="O752" t="s">
        <v>1679</v>
      </c>
      <c r="P752">
        <v>2799.96</v>
      </c>
      <c r="Q752">
        <v>5</v>
      </c>
      <c r="R752">
        <v>944.98649999999998</v>
      </c>
      <c r="S752" s="3" t="s">
        <v>65</v>
      </c>
      <c r="T752">
        <v>2016</v>
      </c>
      <c r="U752" t="s">
        <v>332</v>
      </c>
      <c r="V752" s="2">
        <v>0.33750000000000002</v>
      </c>
    </row>
    <row r="753" spans="1:22" x14ac:dyDescent="0.25">
      <c r="A753" t="s">
        <v>2481</v>
      </c>
      <c r="B753" s="1">
        <v>42071</v>
      </c>
      <c r="C753" s="1">
        <v>42075</v>
      </c>
      <c r="D753" t="s">
        <v>23</v>
      </c>
      <c r="E753" t="s">
        <v>2482</v>
      </c>
      <c r="F753" t="s">
        <v>2483</v>
      </c>
      <c r="G753" t="s">
        <v>26</v>
      </c>
      <c r="H753" t="s">
        <v>27</v>
      </c>
      <c r="I753" t="s">
        <v>1404</v>
      </c>
      <c r="J753" t="s">
        <v>185</v>
      </c>
      <c r="K753" t="s">
        <v>62</v>
      </c>
      <c r="L753" t="s">
        <v>427</v>
      </c>
      <c r="M753" t="s">
        <v>32</v>
      </c>
      <c r="N753" t="s">
        <v>33</v>
      </c>
      <c r="O753" t="s">
        <v>428</v>
      </c>
      <c r="P753">
        <v>769.95</v>
      </c>
      <c r="Q753">
        <v>5</v>
      </c>
      <c r="R753">
        <v>223.28550000000001</v>
      </c>
      <c r="S753" s="3" t="s">
        <v>53</v>
      </c>
      <c r="T753">
        <v>2015</v>
      </c>
      <c r="U753" t="s">
        <v>89</v>
      </c>
      <c r="V753" s="2">
        <v>0.28999999999999998</v>
      </c>
    </row>
    <row r="754" spans="1:22" x14ac:dyDescent="0.25">
      <c r="A754" t="s">
        <v>2484</v>
      </c>
      <c r="B754" s="1">
        <v>41923</v>
      </c>
      <c r="C754" s="1">
        <v>41928</v>
      </c>
      <c r="D754" t="s">
        <v>23</v>
      </c>
      <c r="E754" t="s">
        <v>2003</v>
      </c>
      <c r="F754" t="s">
        <v>2004</v>
      </c>
      <c r="G754" t="s">
        <v>70</v>
      </c>
      <c r="H754" t="s">
        <v>27</v>
      </c>
      <c r="I754" t="s">
        <v>481</v>
      </c>
      <c r="J754" t="s">
        <v>426</v>
      </c>
      <c r="K754" t="s">
        <v>30</v>
      </c>
      <c r="L754" t="s">
        <v>2485</v>
      </c>
      <c r="M754" t="s">
        <v>32</v>
      </c>
      <c r="N754" t="s">
        <v>51</v>
      </c>
      <c r="O754" t="s">
        <v>2486</v>
      </c>
      <c r="P754">
        <v>345</v>
      </c>
      <c r="Q754">
        <v>5</v>
      </c>
      <c r="R754">
        <v>58.65</v>
      </c>
      <c r="S754" s="3" t="s">
        <v>35</v>
      </c>
      <c r="T754">
        <v>2014</v>
      </c>
      <c r="U754" t="s">
        <v>133</v>
      </c>
      <c r="V754" s="2">
        <v>0.17</v>
      </c>
    </row>
    <row r="755" spans="1:22" x14ac:dyDescent="0.25">
      <c r="A755" t="s">
        <v>2487</v>
      </c>
      <c r="B755" s="1">
        <v>42432</v>
      </c>
      <c r="C755" s="1">
        <v>42437</v>
      </c>
      <c r="D755" t="s">
        <v>23</v>
      </c>
      <c r="E755" t="s">
        <v>1095</v>
      </c>
      <c r="F755" t="s">
        <v>1096</v>
      </c>
      <c r="G755" t="s">
        <v>26</v>
      </c>
      <c r="H755" t="s">
        <v>27</v>
      </c>
      <c r="I755" t="s">
        <v>213</v>
      </c>
      <c r="J755" t="s">
        <v>61</v>
      </c>
      <c r="K755" t="s">
        <v>62</v>
      </c>
      <c r="L755" t="s">
        <v>2488</v>
      </c>
      <c r="M755" t="s">
        <v>32</v>
      </c>
      <c r="N755" t="s">
        <v>215</v>
      </c>
      <c r="O755" t="s">
        <v>2489</v>
      </c>
      <c r="P755">
        <v>287.91000000000003</v>
      </c>
      <c r="Q755">
        <v>3</v>
      </c>
      <c r="R755">
        <v>33.589500000000001</v>
      </c>
      <c r="S755" s="3" t="s">
        <v>35</v>
      </c>
      <c r="T755">
        <v>2016</v>
      </c>
      <c r="U755" t="s">
        <v>89</v>
      </c>
      <c r="V755" s="2">
        <v>0.116666666666667</v>
      </c>
    </row>
    <row r="756" spans="1:22" x14ac:dyDescent="0.25">
      <c r="A756" t="s">
        <v>2490</v>
      </c>
      <c r="B756" s="1">
        <v>42348</v>
      </c>
      <c r="C756" s="1">
        <v>42354</v>
      </c>
      <c r="D756" t="s">
        <v>23</v>
      </c>
      <c r="E756" t="s">
        <v>2491</v>
      </c>
      <c r="F756" t="s">
        <v>2492</v>
      </c>
      <c r="G756" t="s">
        <v>26</v>
      </c>
      <c r="H756" t="s">
        <v>27</v>
      </c>
      <c r="I756" t="s">
        <v>1005</v>
      </c>
      <c r="J756" t="s">
        <v>1006</v>
      </c>
      <c r="K756" t="s">
        <v>155</v>
      </c>
      <c r="L756" t="s">
        <v>2493</v>
      </c>
      <c r="M756" t="s">
        <v>32</v>
      </c>
      <c r="N756" t="s">
        <v>51</v>
      </c>
      <c r="O756" t="s">
        <v>2494</v>
      </c>
      <c r="P756">
        <v>101.94</v>
      </c>
      <c r="Q756">
        <v>6</v>
      </c>
      <c r="R756">
        <v>21.407399999999999</v>
      </c>
      <c r="S756" s="3" t="s">
        <v>107</v>
      </c>
      <c r="T756">
        <v>2015</v>
      </c>
      <c r="U756" t="s">
        <v>66</v>
      </c>
      <c r="V756" s="2">
        <v>0.21</v>
      </c>
    </row>
    <row r="757" spans="1:22" x14ac:dyDescent="0.25">
      <c r="A757" t="s">
        <v>2495</v>
      </c>
      <c r="B757" s="1">
        <v>42239</v>
      </c>
      <c r="C757" s="1">
        <v>42244</v>
      </c>
      <c r="D757" t="s">
        <v>23</v>
      </c>
      <c r="E757" t="s">
        <v>1928</v>
      </c>
      <c r="F757" t="s">
        <v>1929</v>
      </c>
      <c r="G757" t="s">
        <v>26</v>
      </c>
      <c r="H757" t="s">
        <v>27</v>
      </c>
      <c r="I757" t="s">
        <v>1674</v>
      </c>
      <c r="J757" t="s">
        <v>1006</v>
      </c>
      <c r="K757" t="s">
        <v>155</v>
      </c>
      <c r="L757" t="s">
        <v>1405</v>
      </c>
      <c r="M757" t="s">
        <v>32</v>
      </c>
      <c r="N757" t="s">
        <v>51</v>
      </c>
      <c r="O757" t="s">
        <v>1406</v>
      </c>
      <c r="P757">
        <v>251.91</v>
      </c>
      <c r="Q757">
        <v>9</v>
      </c>
      <c r="R757">
        <v>47.862900000000003</v>
      </c>
      <c r="S757" s="3" t="s">
        <v>35</v>
      </c>
      <c r="T757">
        <v>2015</v>
      </c>
      <c r="U757" t="s">
        <v>46</v>
      </c>
      <c r="V757" s="2">
        <v>0.19</v>
      </c>
    </row>
    <row r="758" spans="1:22" x14ac:dyDescent="0.25">
      <c r="A758" t="s">
        <v>2496</v>
      </c>
      <c r="B758" s="1">
        <v>41812</v>
      </c>
      <c r="C758" s="1">
        <v>41817</v>
      </c>
      <c r="D758" t="s">
        <v>23</v>
      </c>
      <c r="E758" t="s">
        <v>2497</v>
      </c>
      <c r="F758" t="s">
        <v>2498</v>
      </c>
      <c r="G758" t="s">
        <v>26</v>
      </c>
      <c r="H758" t="s">
        <v>27</v>
      </c>
      <c r="I758" t="s">
        <v>1087</v>
      </c>
      <c r="J758" t="s">
        <v>207</v>
      </c>
      <c r="K758" t="s">
        <v>95</v>
      </c>
      <c r="L758" t="s">
        <v>79</v>
      </c>
      <c r="M758" t="s">
        <v>32</v>
      </c>
      <c r="N758" t="s">
        <v>33</v>
      </c>
      <c r="O758" t="s">
        <v>80</v>
      </c>
      <c r="P758">
        <v>82.781999999999996</v>
      </c>
      <c r="Q758">
        <v>3</v>
      </c>
      <c r="R758">
        <v>-15.1767</v>
      </c>
      <c r="S758" s="3" t="s">
        <v>35</v>
      </c>
      <c r="T758">
        <v>2014</v>
      </c>
      <c r="U758" t="s">
        <v>36</v>
      </c>
      <c r="V758" s="2">
        <v>-0.18333333333333299</v>
      </c>
    </row>
    <row r="759" spans="1:22" x14ac:dyDescent="0.25">
      <c r="A759" t="s">
        <v>2499</v>
      </c>
      <c r="B759" s="1">
        <v>43035</v>
      </c>
      <c r="C759" s="1">
        <v>43036</v>
      </c>
      <c r="D759" t="s">
        <v>56</v>
      </c>
      <c r="E759" t="s">
        <v>2500</v>
      </c>
      <c r="F759" t="s">
        <v>2501</v>
      </c>
      <c r="G759" t="s">
        <v>59</v>
      </c>
      <c r="H759" t="s">
        <v>27</v>
      </c>
      <c r="I759" t="s">
        <v>43</v>
      </c>
      <c r="J759" t="s">
        <v>29</v>
      </c>
      <c r="K759" t="s">
        <v>30</v>
      </c>
      <c r="L759" t="s">
        <v>2502</v>
      </c>
      <c r="M759" t="s">
        <v>32</v>
      </c>
      <c r="N759" t="s">
        <v>33</v>
      </c>
      <c r="O759" t="s">
        <v>2503</v>
      </c>
      <c r="P759">
        <v>95.84</v>
      </c>
      <c r="Q759">
        <v>4</v>
      </c>
      <c r="R759">
        <v>34.741999999999997</v>
      </c>
      <c r="S759" s="3" t="s">
        <v>112</v>
      </c>
      <c r="T759">
        <v>2017</v>
      </c>
      <c r="U759" t="s">
        <v>133</v>
      </c>
      <c r="V759" s="2">
        <v>0.36249999999999999</v>
      </c>
    </row>
    <row r="760" spans="1:22" x14ac:dyDescent="0.25">
      <c r="A760" t="s">
        <v>2504</v>
      </c>
      <c r="B760" s="1">
        <v>42958</v>
      </c>
      <c r="C760" s="1">
        <v>42960</v>
      </c>
      <c r="D760" t="s">
        <v>56</v>
      </c>
      <c r="E760" t="s">
        <v>2236</v>
      </c>
      <c r="F760" t="s">
        <v>2237</v>
      </c>
      <c r="G760" t="s">
        <v>59</v>
      </c>
      <c r="H760" t="s">
        <v>27</v>
      </c>
      <c r="I760" t="s">
        <v>2505</v>
      </c>
      <c r="J760" t="s">
        <v>61</v>
      </c>
      <c r="K760" t="s">
        <v>62</v>
      </c>
      <c r="L760" t="s">
        <v>805</v>
      </c>
      <c r="M760" t="s">
        <v>32</v>
      </c>
      <c r="N760" t="s">
        <v>33</v>
      </c>
      <c r="O760" t="s">
        <v>806</v>
      </c>
      <c r="P760">
        <v>153.584</v>
      </c>
      <c r="Q760">
        <v>2</v>
      </c>
      <c r="R760">
        <v>13.438599999999999</v>
      </c>
      <c r="S760" s="3" t="s">
        <v>65</v>
      </c>
      <c r="T760">
        <v>2017</v>
      </c>
      <c r="U760" t="s">
        <v>46</v>
      </c>
      <c r="V760" s="2">
        <v>8.7499999999999994E-2</v>
      </c>
    </row>
    <row r="761" spans="1:22" x14ac:dyDescent="0.25">
      <c r="A761" t="s">
        <v>2506</v>
      </c>
      <c r="B761" s="1">
        <v>43093</v>
      </c>
      <c r="C761" s="1">
        <v>43097</v>
      </c>
      <c r="D761" t="s">
        <v>23</v>
      </c>
      <c r="E761" t="s">
        <v>1003</v>
      </c>
      <c r="F761" t="s">
        <v>1004</v>
      </c>
      <c r="G761" t="s">
        <v>26</v>
      </c>
      <c r="H761" t="s">
        <v>27</v>
      </c>
      <c r="I761" t="s">
        <v>2507</v>
      </c>
      <c r="J761" t="s">
        <v>229</v>
      </c>
      <c r="K761" t="s">
        <v>155</v>
      </c>
      <c r="L761" t="s">
        <v>1153</v>
      </c>
      <c r="M761" t="s">
        <v>32</v>
      </c>
      <c r="N761" t="s">
        <v>215</v>
      </c>
      <c r="O761" t="s">
        <v>1154</v>
      </c>
      <c r="P761">
        <v>479.97</v>
      </c>
      <c r="Q761">
        <v>3</v>
      </c>
      <c r="R761">
        <v>239.98500000000001</v>
      </c>
      <c r="S761" s="3" t="s">
        <v>53</v>
      </c>
      <c r="T761">
        <v>2017</v>
      </c>
      <c r="U761" t="s">
        <v>66</v>
      </c>
      <c r="V761" s="2">
        <v>0.5</v>
      </c>
    </row>
    <row r="762" spans="1:22" x14ac:dyDescent="0.25">
      <c r="A762" t="s">
        <v>2508</v>
      </c>
      <c r="B762" s="1">
        <v>42639</v>
      </c>
      <c r="C762" s="1">
        <v>42643</v>
      </c>
      <c r="D762" t="s">
        <v>23</v>
      </c>
      <c r="E762" t="s">
        <v>68</v>
      </c>
      <c r="F762" t="s">
        <v>69</v>
      </c>
      <c r="G762" t="s">
        <v>70</v>
      </c>
      <c r="H762" t="s">
        <v>27</v>
      </c>
      <c r="I762" t="s">
        <v>2509</v>
      </c>
      <c r="J762" t="s">
        <v>426</v>
      </c>
      <c r="K762" t="s">
        <v>30</v>
      </c>
      <c r="L762" t="s">
        <v>1301</v>
      </c>
      <c r="M762" t="s">
        <v>32</v>
      </c>
      <c r="N762" t="s">
        <v>51</v>
      </c>
      <c r="O762" t="s">
        <v>1302</v>
      </c>
      <c r="P762">
        <v>100</v>
      </c>
      <c r="Q762">
        <v>4</v>
      </c>
      <c r="R762">
        <v>21</v>
      </c>
      <c r="S762" s="3" t="s">
        <v>53</v>
      </c>
      <c r="T762">
        <v>2016</v>
      </c>
      <c r="U762" t="s">
        <v>81</v>
      </c>
      <c r="V762" s="2">
        <v>0.21</v>
      </c>
    </row>
    <row r="763" spans="1:22" x14ac:dyDescent="0.25">
      <c r="A763" t="s">
        <v>2510</v>
      </c>
      <c r="B763" s="1">
        <v>42716</v>
      </c>
      <c r="C763" s="1">
        <v>42716</v>
      </c>
      <c r="D763" t="s">
        <v>677</v>
      </c>
      <c r="E763" t="s">
        <v>1863</v>
      </c>
      <c r="F763" t="s">
        <v>1864</v>
      </c>
      <c r="G763" t="s">
        <v>59</v>
      </c>
      <c r="H763" t="s">
        <v>27</v>
      </c>
      <c r="I763" t="s">
        <v>1133</v>
      </c>
      <c r="J763" t="s">
        <v>177</v>
      </c>
      <c r="K763" t="s">
        <v>95</v>
      </c>
      <c r="L763" t="s">
        <v>502</v>
      </c>
      <c r="M763" t="s">
        <v>32</v>
      </c>
      <c r="N763" t="s">
        <v>51</v>
      </c>
      <c r="O763" t="s">
        <v>503</v>
      </c>
      <c r="P763">
        <v>383.952</v>
      </c>
      <c r="Q763">
        <v>6</v>
      </c>
      <c r="R763">
        <v>76.790400000000005</v>
      </c>
      <c r="S763" s="3" t="s">
        <v>683</v>
      </c>
      <c r="T763">
        <v>2016</v>
      </c>
      <c r="U763" t="s">
        <v>66</v>
      </c>
      <c r="V763" s="2">
        <v>0.2</v>
      </c>
    </row>
    <row r="764" spans="1:22" x14ac:dyDescent="0.25">
      <c r="A764" t="s">
        <v>2511</v>
      </c>
      <c r="B764" s="1">
        <v>42002</v>
      </c>
      <c r="C764" s="1">
        <v>42006</v>
      </c>
      <c r="D764" t="s">
        <v>23</v>
      </c>
      <c r="E764" t="s">
        <v>827</v>
      </c>
      <c r="F764" t="s">
        <v>828</v>
      </c>
      <c r="G764" t="s">
        <v>59</v>
      </c>
      <c r="H764" t="s">
        <v>27</v>
      </c>
      <c r="I764" t="s">
        <v>43</v>
      </c>
      <c r="J764" t="s">
        <v>29</v>
      </c>
      <c r="K764" t="s">
        <v>30</v>
      </c>
      <c r="L764" t="s">
        <v>1153</v>
      </c>
      <c r="M764" t="s">
        <v>32</v>
      </c>
      <c r="N764" t="s">
        <v>215</v>
      </c>
      <c r="O764" t="s">
        <v>1154</v>
      </c>
      <c r="P764">
        <v>767.952</v>
      </c>
      <c r="Q764">
        <v>6</v>
      </c>
      <c r="R764">
        <v>287.98200000000003</v>
      </c>
      <c r="S764" s="3" t="s">
        <v>53</v>
      </c>
      <c r="T764">
        <v>2014</v>
      </c>
      <c r="U764" t="s">
        <v>66</v>
      </c>
      <c r="V764" s="2">
        <v>0.375</v>
      </c>
    </row>
    <row r="765" spans="1:22" x14ac:dyDescent="0.25">
      <c r="A765" t="s">
        <v>2511</v>
      </c>
      <c r="B765" s="1">
        <v>42002</v>
      </c>
      <c r="C765" s="1">
        <v>42006</v>
      </c>
      <c r="D765" t="s">
        <v>23</v>
      </c>
      <c r="E765" t="s">
        <v>827</v>
      </c>
      <c r="F765" t="s">
        <v>828</v>
      </c>
      <c r="G765" t="s">
        <v>59</v>
      </c>
      <c r="H765" t="s">
        <v>27</v>
      </c>
      <c r="I765" t="s">
        <v>43</v>
      </c>
      <c r="J765" t="s">
        <v>29</v>
      </c>
      <c r="K765" t="s">
        <v>30</v>
      </c>
      <c r="L765" t="s">
        <v>607</v>
      </c>
      <c r="M765" t="s">
        <v>32</v>
      </c>
      <c r="N765" t="s">
        <v>33</v>
      </c>
      <c r="O765" t="s">
        <v>608</v>
      </c>
      <c r="P765">
        <v>191.976</v>
      </c>
      <c r="Q765">
        <v>3</v>
      </c>
      <c r="R765">
        <v>19.197600000000001</v>
      </c>
      <c r="S765" s="3" t="s">
        <v>53</v>
      </c>
      <c r="T765">
        <v>2014</v>
      </c>
      <c r="U765" t="s">
        <v>66</v>
      </c>
      <c r="V765" s="2">
        <v>0.1</v>
      </c>
    </row>
    <row r="766" spans="1:22" x14ac:dyDescent="0.25">
      <c r="A766" t="s">
        <v>2512</v>
      </c>
      <c r="B766" s="1">
        <v>42201</v>
      </c>
      <c r="C766" s="1">
        <v>42204</v>
      </c>
      <c r="D766" t="s">
        <v>56</v>
      </c>
      <c r="E766" t="s">
        <v>2513</v>
      </c>
      <c r="F766" t="s">
        <v>2514</v>
      </c>
      <c r="G766" t="s">
        <v>59</v>
      </c>
      <c r="H766" t="s">
        <v>27</v>
      </c>
      <c r="I766" t="s">
        <v>103</v>
      </c>
      <c r="J766" t="s">
        <v>104</v>
      </c>
      <c r="K766" t="s">
        <v>95</v>
      </c>
      <c r="L766" t="s">
        <v>1052</v>
      </c>
      <c r="M766" t="s">
        <v>32</v>
      </c>
      <c r="N766" t="s">
        <v>51</v>
      </c>
      <c r="O766" t="s">
        <v>1053</v>
      </c>
      <c r="P766">
        <v>599.9</v>
      </c>
      <c r="Q766">
        <v>10</v>
      </c>
      <c r="R766">
        <v>191.96799999999999</v>
      </c>
      <c r="S766" s="3" t="s">
        <v>172</v>
      </c>
      <c r="T766">
        <v>2015</v>
      </c>
      <c r="U766" t="s">
        <v>332</v>
      </c>
      <c r="V766" s="2">
        <v>0.32</v>
      </c>
    </row>
    <row r="767" spans="1:22" x14ac:dyDescent="0.25">
      <c r="A767" t="s">
        <v>2515</v>
      </c>
      <c r="B767" s="1">
        <v>42328</v>
      </c>
      <c r="C767" s="1">
        <v>42332</v>
      </c>
      <c r="D767" t="s">
        <v>23</v>
      </c>
      <c r="E767" t="s">
        <v>960</v>
      </c>
      <c r="F767" t="s">
        <v>961</v>
      </c>
      <c r="G767" t="s">
        <v>26</v>
      </c>
      <c r="H767" t="s">
        <v>27</v>
      </c>
      <c r="I767" t="s">
        <v>983</v>
      </c>
      <c r="J767" t="s">
        <v>29</v>
      </c>
      <c r="K767" t="s">
        <v>30</v>
      </c>
      <c r="L767" t="s">
        <v>860</v>
      </c>
      <c r="M767" t="s">
        <v>32</v>
      </c>
      <c r="N767" t="s">
        <v>33</v>
      </c>
      <c r="O767" t="s">
        <v>861</v>
      </c>
      <c r="P767">
        <v>72.744</v>
      </c>
      <c r="Q767">
        <v>7</v>
      </c>
      <c r="R767">
        <v>-15.4581</v>
      </c>
      <c r="S767" s="3" t="s">
        <v>53</v>
      </c>
      <c r="T767">
        <v>2015</v>
      </c>
      <c r="U767" t="s">
        <v>118</v>
      </c>
      <c r="V767" s="2">
        <v>-0.21249999999999999</v>
      </c>
    </row>
    <row r="768" spans="1:22" x14ac:dyDescent="0.25">
      <c r="A768" t="s">
        <v>2516</v>
      </c>
      <c r="B768" s="1">
        <v>42675</v>
      </c>
      <c r="C768" s="1">
        <v>42681</v>
      </c>
      <c r="D768" t="s">
        <v>23</v>
      </c>
      <c r="E768" t="s">
        <v>495</v>
      </c>
      <c r="F768" t="s">
        <v>496</v>
      </c>
      <c r="G768" t="s">
        <v>26</v>
      </c>
      <c r="H768" t="s">
        <v>27</v>
      </c>
      <c r="I768" t="s">
        <v>140</v>
      </c>
      <c r="J768" t="s">
        <v>78</v>
      </c>
      <c r="K768" t="s">
        <v>62</v>
      </c>
      <c r="L768" t="s">
        <v>876</v>
      </c>
      <c r="M768" t="s">
        <v>32</v>
      </c>
      <c r="N768" t="s">
        <v>51</v>
      </c>
      <c r="O768" t="s">
        <v>877</v>
      </c>
      <c r="P768">
        <v>68.111999999999995</v>
      </c>
      <c r="Q768">
        <v>3</v>
      </c>
      <c r="R768">
        <v>17.8794</v>
      </c>
      <c r="S768" s="3" t="s">
        <v>107</v>
      </c>
      <c r="T768">
        <v>2016</v>
      </c>
      <c r="U768" t="s">
        <v>118</v>
      </c>
      <c r="V768" s="2">
        <v>0.26250000000000001</v>
      </c>
    </row>
    <row r="769" spans="1:22" x14ac:dyDescent="0.25">
      <c r="A769" t="s">
        <v>2517</v>
      </c>
      <c r="B769" s="1">
        <v>42439</v>
      </c>
      <c r="C769" s="1">
        <v>42443</v>
      </c>
      <c r="D769" t="s">
        <v>23</v>
      </c>
      <c r="E769" t="s">
        <v>1394</v>
      </c>
      <c r="F769" t="s">
        <v>1395</v>
      </c>
      <c r="G769" t="s">
        <v>26</v>
      </c>
      <c r="H769" t="s">
        <v>27</v>
      </c>
      <c r="I769" t="s">
        <v>206</v>
      </c>
      <c r="J769" t="s">
        <v>207</v>
      </c>
      <c r="K769" t="s">
        <v>95</v>
      </c>
      <c r="L769" t="s">
        <v>1573</v>
      </c>
      <c r="M769" t="s">
        <v>32</v>
      </c>
      <c r="N769" t="s">
        <v>51</v>
      </c>
      <c r="O769" t="s">
        <v>1574</v>
      </c>
      <c r="P769">
        <v>39.991999999999997</v>
      </c>
      <c r="Q769">
        <v>1</v>
      </c>
      <c r="R769">
        <v>7.4984999999999999</v>
      </c>
      <c r="S769" s="3" t="s">
        <v>53</v>
      </c>
      <c r="T769">
        <v>2016</v>
      </c>
      <c r="U769" t="s">
        <v>89</v>
      </c>
      <c r="V769" s="2">
        <v>0.1875</v>
      </c>
    </row>
    <row r="770" spans="1:22" x14ac:dyDescent="0.25">
      <c r="A770" t="s">
        <v>2518</v>
      </c>
      <c r="B770" s="1">
        <v>41944</v>
      </c>
      <c r="C770" s="1">
        <v>41948</v>
      </c>
      <c r="D770" t="s">
        <v>23</v>
      </c>
      <c r="E770" t="s">
        <v>475</v>
      </c>
      <c r="F770" t="s">
        <v>476</v>
      </c>
      <c r="G770" t="s">
        <v>59</v>
      </c>
      <c r="H770" t="s">
        <v>27</v>
      </c>
      <c r="I770" t="s">
        <v>153</v>
      </c>
      <c r="J770" t="s">
        <v>154</v>
      </c>
      <c r="K770" t="s">
        <v>155</v>
      </c>
      <c r="L770" t="s">
        <v>2519</v>
      </c>
      <c r="M770" t="s">
        <v>32</v>
      </c>
      <c r="N770" t="s">
        <v>33</v>
      </c>
      <c r="O770" t="s">
        <v>2520</v>
      </c>
      <c r="P770">
        <v>978.84</v>
      </c>
      <c r="Q770">
        <v>9</v>
      </c>
      <c r="R770">
        <v>110.1195</v>
      </c>
      <c r="S770" s="3" t="s">
        <v>53</v>
      </c>
      <c r="T770">
        <v>2014</v>
      </c>
      <c r="U770" t="s">
        <v>118</v>
      </c>
      <c r="V770" s="2">
        <v>0.1125</v>
      </c>
    </row>
    <row r="771" spans="1:22" x14ac:dyDescent="0.25">
      <c r="A771" t="s">
        <v>2521</v>
      </c>
      <c r="B771" s="1">
        <v>42344</v>
      </c>
      <c r="C771" s="1">
        <v>42346</v>
      </c>
      <c r="D771" t="s">
        <v>40</v>
      </c>
      <c r="E771" t="s">
        <v>2522</v>
      </c>
      <c r="F771" t="s">
        <v>2523</v>
      </c>
      <c r="G771" t="s">
        <v>70</v>
      </c>
      <c r="H771" t="s">
        <v>27</v>
      </c>
      <c r="I771" t="s">
        <v>2524</v>
      </c>
      <c r="J771" t="s">
        <v>669</v>
      </c>
      <c r="K771" t="s">
        <v>62</v>
      </c>
      <c r="L771" t="s">
        <v>737</v>
      </c>
      <c r="M771" t="s">
        <v>32</v>
      </c>
      <c r="N771" t="s">
        <v>381</v>
      </c>
      <c r="O771" t="s">
        <v>738</v>
      </c>
      <c r="P771">
        <v>999.98</v>
      </c>
      <c r="Q771">
        <v>2</v>
      </c>
      <c r="R771">
        <v>449.99099999999999</v>
      </c>
      <c r="S771" s="3" t="s">
        <v>65</v>
      </c>
      <c r="T771">
        <v>2015</v>
      </c>
      <c r="U771" t="s">
        <v>66</v>
      </c>
      <c r="V771" s="2">
        <v>0.45</v>
      </c>
    </row>
    <row r="772" spans="1:22" x14ac:dyDescent="0.25">
      <c r="A772" t="s">
        <v>2525</v>
      </c>
      <c r="B772" s="1">
        <v>42271</v>
      </c>
      <c r="C772" s="1">
        <v>42274</v>
      </c>
      <c r="D772" t="s">
        <v>56</v>
      </c>
      <c r="E772" t="s">
        <v>1918</v>
      </c>
      <c r="F772" t="s">
        <v>1919</v>
      </c>
      <c r="G772" t="s">
        <v>70</v>
      </c>
      <c r="H772" t="s">
        <v>27</v>
      </c>
      <c r="I772" t="s">
        <v>2526</v>
      </c>
      <c r="J772" t="s">
        <v>200</v>
      </c>
      <c r="K772" t="s">
        <v>62</v>
      </c>
      <c r="L772" t="s">
        <v>2273</v>
      </c>
      <c r="M772" t="s">
        <v>32</v>
      </c>
      <c r="N772" t="s">
        <v>33</v>
      </c>
      <c r="O772" t="s">
        <v>2274</v>
      </c>
      <c r="P772">
        <v>821.94</v>
      </c>
      <c r="Q772">
        <v>6</v>
      </c>
      <c r="R772">
        <v>213.70439999999999</v>
      </c>
      <c r="S772" s="3" t="s">
        <v>172</v>
      </c>
      <c r="T772">
        <v>2015</v>
      </c>
      <c r="U772" t="s">
        <v>81</v>
      </c>
      <c r="V772" s="2">
        <v>0.26</v>
      </c>
    </row>
    <row r="773" spans="1:22" x14ac:dyDescent="0.25">
      <c r="A773" t="s">
        <v>2527</v>
      </c>
      <c r="B773" s="1">
        <v>42359</v>
      </c>
      <c r="C773" s="1">
        <v>42362</v>
      </c>
      <c r="D773" t="s">
        <v>56</v>
      </c>
      <c r="E773" t="s">
        <v>529</v>
      </c>
      <c r="F773" t="s">
        <v>530</v>
      </c>
      <c r="G773" t="s">
        <v>26</v>
      </c>
      <c r="H773" t="s">
        <v>27</v>
      </c>
      <c r="I773" t="s">
        <v>460</v>
      </c>
      <c r="J773" t="s">
        <v>154</v>
      </c>
      <c r="K773" t="s">
        <v>155</v>
      </c>
      <c r="L773" t="s">
        <v>178</v>
      </c>
      <c r="M773" t="s">
        <v>32</v>
      </c>
      <c r="N773" t="s">
        <v>33</v>
      </c>
      <c r="O773" t="s">
        <v>179</v>
      </c>
      <c r="P773">
        <v>47.975999999999999</v>
      </c>
      <c r="Q773">
        <v>3</v>
      </c>
      <c r="R773">
        <v>4.7976000000000001</v>
      </c>
      <c r="S773" s="3" t="s">
        <v>172</v>
      </c>
      <c r="T773">
        <v>2015</v>
      </c>
      <c r="U773" t="s">
        <v>66</v>
      </c>
      <c r="V773" s="2">
        <v>0.1</v>
      </c>
    </row>
    <row r="774" spans="1:22" x14ac:dyDescent="0.25">
      <c r="A774" t="s">
        <v>2528</v>
      </c>
      <c r="B774" s="1">
        <v>42586</v>
      </c>
      <c r="C774" s="1">
        <v>42588</v>
      </c>
      <c r="D774" t="s">
        <v>40</v>
      </c>
      <c r="E774" t="s">
        <v>75</v>
      </c>
      <c r="F774" t="s">
        <v>76</v>
      </c>
      <c r="G774" t="s">
        <v>59</v>
      </c>
      <c r="H774" t="s">
        <v>27</v>
      </c>
      <c r="I774" t="s">
        <v>2529</v>
      </c>
      <c r="J774" t="s">
        <v>29</v>
      </c>
      <c r="K774" t="s">
        <v>30</v>
      </c>
      <c r="L774" t="s">
        <v>31</v>
      </c>
      <c r="M774" t="s">
        <v>32</v>
      </c>
      <c r="N774" t="s">
        <v>33</v>
      </c>
      <c r="O774" t="s">
        <v>34</v>
      </c>
      <c r="P774">
        <v>302.38400000000001</v>
      </c>
      <c r="Q774">
        <v>2</v>
      </c>
      <c r="R774">
        <v>30.238399999999999</v>
      </c>
      <c r="S774" s="3" t="s">
        <v>65</v>
      </c>
      <c r="T774">
        <v>2016</v>
      </c>
      <c r="U774" t="s">
        <v>46</v>
      </c>
      <c r="V774" s="2">
        <v>0.1</v>
      </c>
    </row>
    <row r="775" spans="1:22" x14ac:dyDescent="0.25">
      <c r="A775" t="s">
        <v>2530</v>
      </c>
      <c r="B775" s="1">
        <v>42240</v>
      </c>
      <c r="C775" s="1">
        <v>42244</v>
      </c>
      <c r="D775" t="s">
        <v>23</v>
      </c>
      <c r="E775" t="s">
        <v>2531</v>
      </c>
      <c r="F775" t="s">
        <v>2532</v>
      </c>
      <c r="G775" t="s">
        <v>26</v>
      </c>
      <c r="H775" t="s">
        <v>27</v>
      </c>
      <c r="I775" t="s">
        <v>803</v>
      </c>
      <c r="J775" t="s">
        <v>804</v>
      </c>
      <c r="K775" t="s">
        <v>155</v>
      </c>
      <c r="L775" t="s">
        <v>269</v>
      </c>
      <c r="M775" t="s">
        <v>32</v>
      </c>
      <c r="N775" t="s">
        <v>215</v>
      </c>
      <c r="O775" t="s">
        <v>270</v>
      </c>
      <c r="P775">
        <v>3080</v>
      </c>
      <c r="Q775">
        <v>7</v>
      </c>
      <c r="R775">
        <v>1416.8</v>
      </c>
      <c r="S775" s="3" t="s">
        <v>53</v>
      </c>
      <c r="T775">
        <v>2015</v>
      </c>
      <c r="U775" t="s">
        <v>46</v>
      </c>
      <c r="V775" s="2">
        <v>0.46</v>
      </c>
    </row>
    <row r="776" spans="1:22" x14ac:dyDescent="0.25">
      <c r="A776" t="s">
        <v>2530</v>
      </c>
      <c r="B776" s="1">
        <v>42240</v>
      </c>
      <c r="C776" s="1">
        <v>42244</v>
      </c>
      <c r="D776" t="s">
        <v>23</v>
      </c>
      <c r="E776" t="s">
        <v>2531</v>
      </c>
      <c r="F776" t="s">
        <v>2532</v>
      </c>
      <c r="G776" t="s">
        <v>26</v>
      </c>
      <c r="H776" t="s">
        <v>27</v>
      </c>
      <c r="I776" t="s">
        <v>803</v>
      </c>
      <c r="J776" t="s">
        <v>804</v>
      </c>
      <c r="K776" t="s">
        <v>155</v>
      </c>
      <c r="L776" t="s">
        <v>1578</v>
      </c>
      <c r="M776" t="s">
        <v>32</v>
      </c>
      <c r="N776" t="s">
        <v>51</v>
      </c>
      <c r="O776" t="s">
        <v>1579</v>
      </c>
      <c r="P776">
        <v>79.959999999999994</v>
      </c>
      <c r="Q776">
        <v>4</v>
      </c>
      <c r="R776">
        <v>18.390799999999999</v>
      </c>
      <c r="S776" s="3" t="s">
        <v>53</v>
      </c>
      <c r="T776">
        <v>2015</v>
      </c>
      <c r="U776" t="s">
        <v>46</v>
      </c>
      <c r="V776" s="2">
        <v>0.23</v>
      </c>
    </row>
    <row r="777" spans="1:22" x14ac:dyDescent="0.25">
      <c r="A777" t="s">
        <v>2530</v>
      </c>
      <c r="B777" s="1">
        <v>42240</v>
      </c>
      <c r="C777" s="1">
        <v>42244</v>
      </c>
      <c r="D777" t="s">
        <v>23</v>
      </c>
      <c r="E777" t="s">
        <v>2531</v>
      </c>
      <c r="F777" t="s">
        <v>2532</v>
      </c>
      <c r="G777" t="s">
        <v>26</v>
      </c>
      <c r="H777" t="s">
        <v>27</v>
      </c>
      <c r="I777" t="s">
        <v>803</v>
      </c>
      <c r="J777" t="s">
        <v>804</v>
      </c>
      <c r="K777" t="s">
        <v>155</v>
      </c>
      <c r="L777" t="s">
        <v>2461</v>
      </c>
      <c r="M777" t="s">
        <v>32</v>
      </c>
      <c r="N777" t="s">
        <v>33</v>
      </c>
      <c r="O777" t="s">
        <v>2462</v>
      </c>
      <c r="P777">
        <v>587.97</v>
      </c>
      <c r="Q777">
        <v>3</v>
      </c>
      <c r="R777">
        <v>170.51130000000001</v>
      </c>
      <c r="S777" s="3" t="s">
        <v>53</v>
      </c>
      <c r="T777">
        <v>2015</v>
      </c>
      <c r="U777" t="s">
        <v>46</v>
      </c>
      <c r="V777" s="2">
        <v>0.28999999999999998</v>
      </c>
    </row>
    <row r="778" spans="1:22" x14ac:dyDescent="0.25">
      <c r="A778" t="s">
        <v>2533</v>
      </c>
      <c r="B778" s="1">
        <v>42954</v>
      </c>
      <c r="C778" s="1">
        <v>42960</v>
      </c>
      <c r="D778" t="s">
        <v>23</v>
      </c>
      <c r="E778" t="s">
        <v>2374</v>
      </c>
      <c r="F778" t="s">
        <v>2375</v>
      </c>
      <c r="G778" t="s">
        <v>26</v>
      </c>
      <c r="H778" t="s">
        <v>27</v>
      </c>
      <c r="I778" t="s">
        <v>300</v>
      </c>
      <c r="J778" t="s">
        <v>29</v>
      </c>
      <c r="K778" t="s">
        <v>30</v>
      </c>
      <c r="L778" t="s">
        <v>1065</v>
      </c>
      <c r="M778" t="s">
        <v>32</v>
      </c>
      <c r="N778" t="s">
        <v>33</v>
      </c>
      <c r="O778" t="s">
        <v>1066</v>
      </c>
      <c r="P778">
        <v>159.96</v>
      </c>
      <c r="Q778">
        <v>5</v>
      </c>
      <c r="R778">
        <v>17.9955</v>
      </c>
      <c r="S778" s="3" t="s">
        <v>107</v>
      </c>
      <c r="T778">
        <v>2017</v>
      </c>
      <c r="U778" t="s">
        <v>46</v>
      </c>
      <c r="V778" s="2">
        <v>0.1125</v>
      </c>
    </row>
    <row r="779" spans="1:22" x14ac:dyDescent="0.25">
      <c r="A779" t="s">
        <v>2534</v>
      </c>
      <c r="B779" s="1">
        <v>42363</v>
      </c>
      <c r="C779" s="1">
        <v>42370</v>
      </c>
      <c r="D779" t="s">
        <v>23</v>
      </c>
      <c r="E779" t="s">
        <v>1692</v>
      </c>
      <c r="F779" t="s">
        <v>1693</v>
      </c>
      <c r="G779" t="s">
        <v>59</v>
      </c>
      <c r="H779" t="s">
        <v>27</v>
      </c>
      <c r="I779" t="s">
        <v>851</v>
      </c>
      <c r="J779" t="s">
        <v>256</v>
      </c>
      <c r="K779" t="s">
        <v>62</v>
      </c>
      <c r="L779" t="s">
        <v>831</v>
      </c>
      <c r="M779" t="s">
        <v>32</v>
      </c>
      <c r="N779" t="s">
        <v>33</v>
      </c>
      <c r="O779" t="s">
        <v>832</v>
      </c>
      <c r="P779">
        <v>73.98</v>
      </c>
      <c r="Q779">
        <v>2</v>
      </c>
      <c r="R779">
        <v>19.974599999999999</v>
      </c>
      <c r="S779" s="3" t="s">
        <v>132</v>
      </c>
      <c r="T779">
        <v>2015</v>
      </c>
      <c r="U779" t="s">
        <v>66</v>
      </c>
      <c r="V779" s="2">
        <v>0.27</v>
      </c>
    </row>
    <row r="780" spans="1:22" x14ac:dyDescent="0.25">
      <c r="A780" t="s">
        <v>2535</v>
      </c>
      <c r="B780" s="1">
        <v>42126</v>
      </c>
      <c r="C780" s="1">
        <v>42131</v>
      </c>
      <c r="D780" t="s">
        <v>23</v>
      </c>
      <c r="E780" t="s">
        <v>2536</v>
      </c>
      <c r="F780" t="s">
        <v>2537</v>
      </c>
      <c r="G780" t="s">
        <v>59</v>
      </c>
      <c r="H780" t="s">
        <v>27</v>
      </c>
      <c r="I780" t="s">
        <v>71</v>
      </c>
      <c r="J780" t="s">
        <v>61</v>
      </c>
      <c r="K780" t="s">
        <v>62</v>
      </c>
      <c r="L780" t="s">
        <v>1191</v>
      </c>
      <c r="M780" t="s">
        <v>32</v>
      </c>
      <c r="N780" t="s">
        <v>33</v>
      </c>
      <c r="O780" t="s">
        <v>1192</v>
      </c>
      <c r="P780">
        <v>158.376</v>
      </c>
      <c r="Q780">
        <v>3</v>
      </c>
      <c r="R780">
        <v>13.857900000000001</v>
      </c>
      <c r="S780" s="3" t="s">
        <v>35</v>
      </c>
      <c r="T780">
        <v>2015</v>
      </c>
      <c r="U780" t="s">
        <v>527</v>
      </c>
      <c r="V780" s="2">
        <v>8.7499999999999994E-2</v>
      </c>
    </row>
    <row r="781" spans="1:22" x14ac:dyDescent="0.25">
      <c r="A781" t="s">
        <v>2538</v>
      </c>
      <c r="B781" s="1">
        <v>42982</v>
      </c>
      <c r="C781" s="1">
        <v>42988</v>
      </c>
      <c r="D781" t="s">
        <v>23</v>
      </c>
      <c r="E781" t="s">
        <v>2539</v>
      </c>
      <c r="F781" t="s">
        <v>2540</v>
      </c>
      <c r="G781" t="s">
        <v>26</v>
      </c>
      <c r="H781" t="s">
        <v>27</v>
      </c>
      <c r="I781" t="s">
        <v>206</v>
      </c>
      <c r="J781" t="s">
        <v>207</v>
      </c>
      <c r="K781" t="s">
        <v>95</v>
      </c>
      <c r="L781" t="s">
        <v>2541</v>
      </c>
      <c r="M781" t="s">
        <v>32</v>
      </c>
      <c r="N781" t="s">
        <v>51</v>
      </c>
      <c r="O781" t="s">
        <v>2542</v>
      </c>
      <c r="P781">
        <v>19.04</v>
      </c>
      <c r="Q781">
        <v>4</v>
      </c>
      <c r="R781">
        <v>-1.4279999999999999</v>
      </c>
      <c r="S781" s="3" t="s">
        <v>107</v>
      </c>
      <c r="T781">
        <v>2017</v>
      </c>
      <c r="U781" t="s">
        <v>81</v>
      </c>
      <c r="V781" s="2">
        <v>-7.4999999999999997E-2</v>
      </c>
    </row>
    <row r="782" spans="1:22" x14ac:dyDescent="0.25">
      <c r="A782" t="s">
        <v>2543</v>
      </c>
      <c r="B782" s="1">
        <v>41901</v>
      </c>
      <c r="C782" s="1">
        <v>41906</v>
      </c>
      <c r="D782" t="s">
        <v>23</v>
      </c>
      <c r="E782" t="s">
        <v>2282</v>
      </c>
      <c r="F782" t="s">
        <v>2283</v>
      </c>
      <c r="G782" t="s">
        <v>26</v>
      </c>
      <c r="H782" t="s">
        <v>27</v>
      </c>
      <c r="I782" t="s">
        <v>153</v>
      </c>
      <c r="J782" t="s">
        <v>154</v>
      </c>
      <c r="K782" t="s">
        <v>155</v>
      </c>
      <c r="L782" t="s">
        <v>2544</v>
      </c>
      <c r="M782" t="s">
        <v>32</v>
      </c>
      <c r="N782" t="s">
        <v>215</v>
      </c>
      <c r="O782" t="s">
        <v>2545</v>
      </c>
      <c r="P782">
        <v>2624.9850000000001</v>
      </c>
      <c r="Q782">
        <v>3</v>
      </c>
      <c r="R782">
        <v>-944.99459999999999</v>
      </c>
      <c r="S782" s="3" t="s">
        <v>35</v>
      </c>
      <c r="T782">
        <v>2014</v>
      </c>
      <c r="U782" t="s">
        <v>81</v>
      </c>
      <c r="V782" s="2">
        <v>-0.36</v>
      </c>
    </row>
    <row r="783" spans="1:22" x14ac:dyDescent="0.25">
      <c r="A783" t="s">
        <v>2546</v>
      </c>
      <c r="B783" s="1">
        <v>41890</v>
      </c>
      <c r="C783" s="1">
        <v>41895</v>
      </c>
      <c r="D783" t="s">
        <v>23</v>
      </c>
      <c r="E783" t="s">
        <v>2547</v>
      </c>
      <c r="F783" t="s">
        <v>2548</v>
      </c>
      <c r="G783" t="s">
        <v>26</v>
      </c>
      <c r="H783" t="s">
        <v>27</v>
      </c>
      <c r="I783" t="s">
        <v>1550</v>
      </c>
      <c r="J783" t="s">
        <v>693</v>
      </c>
      <c r="K783" t="s">
        <v>155</v>
      </c>
      <c r="L783" t="s">
        <v>451</v>
      </c>
      <c r="M783" t="s">
        <v>32</v>
      </c>
      <c r="N783" t="s">
        <v>215</v>
      </c>
      <c r="O783" t="s">
        <v>452</v>
      </c>
      <c r="P783">
        <v>209.97</v>
      </c>
      <c r="Q783">
        <v>3</v>
      </c>
      <c r="R783">
        <v>90.287099999999995</v>
      </c>
      <c r="S783" s="3" t="s">
        <v>35</v>
      </c>
      <c r="T783">
        <v>2014</v>
      </c>
      <c r="U783" t="s">
        <v>81</v>
      </c>
      <c r="V783" s="2">
        <v>0.43</v>
      </c>
    </row>
    <row r="784" spans="1:22" x14ac:dyDescent="0.25">
      <c r="A784" t="s">
        <v>2549</v>
      </c>
      <c r="B784" s="1">
        <v>43031</v>
      </c>
      <c r="C784" s="1">
        <v>43036</v>
      </c>
      <c r="D784" t="s">
        <v>23</v>
      </c>
      <c r="E784" t="s">
        <v>2550</v>
      </c>
      <c r="F784" t="s">
        <v>2551</v>
      </c>
      <c r="G784" t="s">
        <v>26</v>
      </c>
      <c r="H784" t="s">
        <v>27</v>
      </c>
      <c r="I784" t="s">
        <v>715</v>
      </c>
      <c r="J784" t="s">
        <v>61</v>
      </c>
      <c r="K784" t="s">
        <v>62</v>
      </c>
      <c r="L784" t="s">
        <v>2485</v>
      </c>
      <c r="M784" t="s">
        <v>32</v>
      </c>
      <c r="N784" t="s">
        <v>51</v>
      </c>
      <c r="O784" t="s">
        <v>2486</v>
      </c>
      <c r="P784">
        <v>55.2</v>
      </c>
      <c r="Q784">
        <v>1</v>
      </c>
      <c r="R784">
        <v>-2.0699999999999998</v>
      </c>
      <c r="S784" s="3" t="s">
        <v>35</v>
      </c>
      <c r="T784">
        <v>2017</v>
      </c>
      <c r="U784" t="s">
        <v>133</v>
      </c>
      <c r="V784" s="2">
        <v>-3.7499999999999999E-2</v>
      </c>
    </row>
    <row r="785" spans="1:22" x14ac:dyDescent="0.25">
      <c r="A785" t="s">
        <v>2552</v>
      </c>
      <c r="B785" s="1">
        <v>42343</v>
      </c>
      <c r="C785" s="1">
        <v>42347</v>
      </c>
      <c r="D785" t="s">
        <v>40</v>
      </c>
      <c r="E785" t="s">
        <v>2553</v>
      </c>
      <c r="F785" t="s">
        <v>2554</v>
      </c>
      <c r="G785" t="s">
        <v>26</v>
      </c>
      <c r="H785" t="s">
        <v>27</v>
      </c>
      <c r="I785" t="s">
        <v>206</v>
      </c>
      <c r="J785" t="s">
        <v>207</v>
      </c>
      <c r="K785" t="s">
        <v>95</v>
      </c>
      <c r="L785" t="s">
        <v>1269</v>
      </c>
      <c r="M785" t="s">
        <v>32</v>
      </c>
      <c r="N785" t="s">
        <v>51</v>
      </c>
      <c r="O785" t="s">
        <v>1270</v>
      </c>
      <c r="P785">
        <v>47.984000000000002</v>
      </c>
      <c r="Q785">
        <v>2</v>
      </c>
      <c r="R785">
        <v>0.5998</v>
      </c>
      <c r="S785" s="3" t="s">
        <v>53</v>
      </c>
      <c r="T785">
        <v>2015</v>
      </c>
      <c r="U785" t="s">
        <v>66</v>
      </c>
      <c r="V785" s="2">
        <v>1.2500000000000001E-2</v>
      </c>
    </row>
    <row r="786" spans="1:22" x14ac:dyDescent="0.25">
      <c r="A786" t="s">
        <v>2555</v>
      </c>
      <c r="B786" s="1">
        <v>42869</v>
      </c>
      <c r="C786" s="1">
        <v>42873</v>
      </c>
      <c r="D786" t="s">
        <v>23</v>
      </c>
      <c r="E786" t="s">
        <v>2556</v>
      </c>
      <c r="F786" t="s">
        <v>2557</v>
      </c>
      <c r="G786" t="s">
        <v>26</v>
      </c>
      <c r="H786" t="s">
        <v>27</v>
      </c>
      <c r="I786" t="s">
        <v>103</v>
      </c>
      <c r="J786" t="s">
        <v>104</v>
      </c>
      <c r="K786" t="s">
        <v>95</v>
      </c>
      <c r="L786" t="s">
        <v>1883</v>
      </c>
      <c r="M786" t="s">
        <v>32</v>
      </c>
      <c r="N786" t="s">
        <v>33</v>
      </c>
      <c r="O786" t="s">
        <v>1884</v>
      </c>
      <c r="P786">
        <v>539.97</v>
      </c>
      <c r="Q786">
        <v>3</v>
      </c>
      <c r="R786">
        <v>134.99250000000001</v>
      </c>
      <c r="S786" s="3" t="s">
        <v>53</v>
      </c>
      <c r="T786">
        <v>2017</v>
      </c>
      <c r="U786" t="s">
        <v>527</v>
      </c>
      <c r="V786" s="2">
        <v>0.25</v>
      </c>
    </row>
    <row r="787" spans="1:22" x14ac:dyDescent="0.25">
      <c r="A787" t="s">
        <v>2558</v>
      </c>
      <c r="B787" s="1">
        <v>42749</v>
      </c>
      <c r="C787" s="1">
        <v>42751</v>
      </c>
      <c r="D787" t="s">
        <v>56</v>
      </c>
      <c r="E787" t="s">
        <v>2559</v>
      </c>
      <c r="F787" t="s">
        <v>2560</v>
      </c>
      <c r="G787" t="s">
        <v>59</v>
      </c>
      <c r="H787" t="s">
        <v>27</v>
      </c>
      <c r="I787" t="s">
        <v>146</v>
      </c>
      <c r="J787" t="s">
        <v>147</v>
      </c>
      <c r="K787" t="s">
        <v>30</v>
      </c>
      <c r="L787" t="s">
        <v>50</v>
      </c>
      <c r="M787" t="s">
        <v>32</v>
      </c>
      <c r="N787" t="s">
        <v>51</v>
      </c>
      <c r="O787" t="s">
        <v>52</v>
      </c>
      <c r="P787">
        <v>169.06399999999999</v>
      </c>
      <c r="Q787">
        <v>7</v>
      </c>
      <c r="R787">
        <v>-14.793100000000001</v>
      </c>
      <c r="S787" s="3" t="s">
        <v>65</v>
      </c>
      <c r="T787">
        <v>2017</v>
      </c>
      <c r="U787" t="s">
        <v>54</v>
      </c>
      <c r="V787" s="2">
        <v>-8.7499999999999994E-2</v>
      </c>
    </row>
    <row r="788" spans="1:22" x14ac:dyDescent="0.25">
      <c r="A788" t="s">
        <v>2561</v>
      </c>
      <c r="B788" s="1">
        <v>41736</v>
      </c>
      <c r="C788" s="1">
        <v>41741</v>
      </c>
      <c r="D788" t="s">
        <v>23</v>
      </c>
      <c r="E788" t="s">
        <v>707</v>
      </c>
      <c r="F788" t="s">
        <v>708</v>
      </c>
      <c r="G788" t="s">
        <v>59</v>
      </c>
      <c r="H788" t="s">
        <v>27</v>
      </c>
      <c r="I788" t="s">
        <v>1557</v>
      </c>
      <c r="J788" t="s">
        <v>1851</v>
      </c>
      <c r="K788" t="s">
        <v>155</v>
      </c>
      <c r="L788" t="s">
        <v>230</v>
      </c>
      <c r="M788" t="s">
        <v>32</v>
      </c>
      <c r="N788" t="s">
        <v>33</v>
      </c>
      <c r="O788" t="s">
        <v>231</v>
      </c>
      <c r="P788">
        <v>629.95000000000005</v>
      </c>
      <c r="Q788">
        <v>5</v>
      </c>
      <c r="R788">
        <v>163.78700000000001</v>
      </c>
      <c r="S788" s="3" t="s">
        <v>35</v>
      </c>
      <c r="T788">
        <v>2014</v>
      </c>
      <c r="U788" t="s">
        <v>291</v>
      </c>
      <c r="V788" s="2">
        <v>0.26</v>
      </c>
    </row>
    <row r="789" spans="1:22" x14ac:dyDescent="0.25">
      <c r="A789" t="s">
        <v>2562</v>
      </c>
      <c r="B789" s="1">
        <v>43014</v>
      </c>
      <c r="C789" s="1">
        <v>43020</v>
      </c>
      <c r="D789" t="s">
        <v>23</v>
      </c>
      <c r="E789" t="s">
        <v>2563</v>
      </c>
      <c r="F789" t="s">
        <v>2564</v>
      </c>
      <c r="G789" t="s">
        <v>70</v>
      </c>
      <c r="H789" t="s">
        <v>27</v>
      </c>
      <c r="I789" t="s">
        <v>103</v>
      </c>
      <c r="J789" t="s">
        <v>104</v>
      </c>
      <c r="K789" t="s">
        <v>95</v>
      </c>
      <c r="L789" t="s">
        <v>2420</v>
      </c>
      <c r="M789" t="s">
        <v>32</v>
      </c>
      <c r="N789" t="s">
        <v>51</v>
      </c>
      <c r="O789" t="s">
        <v>2421</v>
      </c>
      <c r="P789">
        <v>319.95999999999998</v>
      </c>
      <c r="Q789">
        <v>4</v>
      </c>
      <c r="R789">
        <v>115.18559999999999</v>
      </c>
      <c r="S789" s="3" t="s">
        <v>107</v>
      </c>
      <c r="T789">
        <v>2017</v>
      </c>
      <c r="U789" t="s">
        <v>133</v>
      </c>
      <c r="V789" s="2">
        <v>0.36</v>
      </c>
    </row>
    <row r="790" spans="1:22" x14ac:dyDescent="0.25">
      <c r="A790" t="s">
        <v>2565</v>
      </c>
      <c r="B790" s="1">
        <v>42664</v>
      </c>
      <c r="C790" s="1">
        <v>42665</v>
      </c>
      <c r="D790" t="s">
        <v>56</v>
      </c>
      <c r="E790" t="s">
        <v>2566</v>
      </c>
      <c r="F790" t="s">
        <v>2567</v>
      </c>
      <c r="G790" t="s">
        <v>26</v>
      </c>
      <c r="H790" t="s">
        <v>27</v>
      </c>
      <c r="I790" t="s">
        <v>2568</v>
      </c>
      <c r="J790" t="s">
        <v>1035</v>
      </c>
      <c r="K790" t="s">
        <v>95</v>
      </c>
      <c r="L790" t="s">
        <v>1161</v>
      </c>
      <c r="M790" t="s">
        <v>32</v>
      </c>
      <c r="N790" t="s">
        <v>51</v>
      </c>
      <c r="O790" t="s">
        <v>1162</v>
      </c>
      <c r="P790">
        <v>98.16</v>
      </c>
      <c r="Q790">
        <v>6</v>
      </c>
      <c r="R790">
        <v>9.8160000000000007</v>
      </c>
      <c r="S790" s="3" t="s">
        <v>112</v>
      </c>
      <c r="T790">
        <v>2016</v>
      </c>
      <c r="U790" t="s">
        <v>133</v>
      </c>
      <c r="V790" s="2">
        <v>0.1</v>
      </c>
    </row>
    <row r="791" spans="1:22" x14ac:dyDescent="0.25">
      <c r="A791" t="s">
        <v>2569</v>
      </c>
      <c r="B791" s="1">
        <v>43056</v>
      </c>
      <c r="C791" s="1">
        <v>43061</v>
      </c>
      <c r="D791" t="s">
        <v>23</v>
      </c>
      <c r="E791" t="s">
        <v>1008</v>
      </c>
      <c r="F791" t="s">
        <v>1009</v>
      </c>
      <c r="G791" t="s">
        <v>26</v>
      </c>
      <c r="H791" t="s">
        <v>27</v>
      </c>
      <c r="I791" t="s">
        <v>1458</v>
      </c>
      <c r="J791" t="s">
        <v>94</v>
      </c>
      <c r="K791" t="s">
        <v>95</v>
      </c>
      <c r="L791" t="s">
        <v>1869</v>
      </c>
      <c r="M791" t="s">
        <v>32</v>
      </c>
      <c r="N791" t="s">
        <v>381</v>
      </c>
      <c r="O791" t="s">
        <v>1870</v>
      </c>
      <c r="P791">
        <v>10499.97</v>
      </c>
      <c r="Q791">
        <v>3</v>
      </c>
      <c r="R791">
        <v>5039.9856</v>
      </c>
      <c r="S791" s="3" t="s">
        <v>35</v>
      </c>
      <c r="T791">
        <v>2017</v>
      </c>
      <c r="U791" t="s">
        <v>118</v>
      </c>
      <c r="V791" s="2">
        <v>0.48</v>
      </c>
    </row>
    <row r="792" spans="1:22" x14ac:dyDescent="0.25">
      <c r="A792" t="s">
        <v>2570</v>
      </c>
      <c r="B792" s="1">
        <v>42324</v>
      </c>
      <c r="C792" s="1">
        <v>42328</v>
      </c>
      <c r="D792" t="s">
        <v>23</v>
      </c>
      <c r="E792" t="s">
        <v>2571</v>
      </c>
      <c r="F792" t="s">
        <v>2572</v>
      </c>
      <c r="G792" t="s">
        <v>59</v>
      </c>
      <c r="H792" t="s">
        <v>27</v>
      </c>
      <c r="I792" t="s">
        <v>2573</v>
      </c>
      <c r="J792" t="s">
        <v>2574</v>
      </c>
      <c r="K792" t="s">
        <v>30</v>
      </c>
      <c r="L792" t="s">
        <v>194</v>
      </c>
      <c r="M792" t="s">
        <v>32</v>
      </c>
      <c r="N792" t="s">
        <v>33</v>
      </c>
      <c r="O792" t="s">
        <v>195</v>
      </c>
      <c r="P792">
        <v>304.77600000000001</v>
      </c>
      <c r="Q792">
        <v>3</v>
      </c>
      <c r="R792">
        <v>22.8582</v>
      </c>
      <c r="S792" s="3" t="s">
        <v>53</v>
      </c>
      <c r="T792">
        <v>2015</v>
      </c>
      <c r="U792" t="s">
        <v>118</v>
      </c>
      <c r="V792" s="2">
        <v>7.4999999999999997E-2</v>
      </c>
    </row>
    <row r="793" spans="1:22" x14ac:dyDescent="0.25">
      <c r="A793" t="s">
        <v>2575</v>
      </c>
      <c r="B793" s="1">
        <v>42348</v>
      </c>
      <c r="C793" s="1">
        <v>42348</v>
      </c>
      <c r="D793" t="s">
        <v>677</v>
      </c>
      <c r="E793" t="s">
        <v>2160</v>
      </c>
      <c r="F793" t="s">
        <v>2161</v>
      </c>
      <c r="G793" t="s">
        <v>70</v>
      </c>
      <c r="H793" t="s">
        <v>27</v>
      </c>
      <c r="I793" t="s">
        <v>103</v>
      </c>
      <c r="J793" t="s">
        <v>104</v>
      </c>
      <c r="K793" t="s">
        <v>95</v>
      </c>
      <c r="L793" t="s">
        <v>737</v>
      </c>
      <c r="M793" t="s">
        <v>32</v>
      </c>
      <c r="N793" t="s">
        <v>381</v>
      </c>
      <c r="O793" t="s">
        <v>738</v>
      </c>
      <c r="P793">
        <v>799.98400000000004</v>
      </c>
      <c r="Q793">
        <v>2</v>
      </c>
      <c r="R793">
        <v>249.995</v>
      </c>
      <c r="S793" s="3" t="s">
        <v>683</v>
      </c>
      <c r="T793">
        <v>2015</v>
      </c>
      <c r="U793" t="s">
        <v>66</v>
      </c>
      <c r="V793" s="2">
        <v>0.3125</v>
      </c>
    </row>
    <row r="794" spans="1:22" x14ac:dyDescent="0.25">
      <c r="A794" t="s">
        <v>2576</v>
      </c>
      <c r="B794" s="1">
        <v>42826</v>
      </c>
      <c r="C794" s="1">
        <v>42828</v>
      </c>
      <c r="D794" t="s">
        <v>56</v>
      </c>
      <c r="E794" t="s">
        <v>2310</v>
      </c>
      <c r="F794" t="s">
        <v>2311</v>
      </c>
      <c r="G794" t="s">
        <v>59</v>
      </c>
      <c r="H794" t="s">
        <v>27</v>
      </c>
      <c r="I794" t="s">
        <v>43</v>
      </c>
      <c r="J794" t="s">
        <v>29</v>
      </c>
      <c r="K794" t="s">
        <v>30</v>
      </c>
      <c r="L794" t="s">
        <v>2106</v>
      </c>
      <c r="M794" t="s">
        <v>32</v>
      </c>
      <c r="N794" t="s">
        <v>215</v>
      </c>
      <c r="O794" t="s">
        <v>2107</v>
      </c>
      <c r="P794">
        <v>4799.9840000000004</v>
      </c>
      <c r="Q794">
        <v>2</v>
      </c>
      <c r="R794">
        <v>359.99880000000002</v>
      </c>
      <c r="S794" s="3" t="s">
        <v>65</v>
      </c>
      <c r="T794">
        <v>2017</v>
      </c>
      <c r="U794" t="s">
        <v>291</v>
      </c>
      <c r="V794" s="2">
        <v>7.4999999999999997E-2</v>
      </c>
    </row>
    <row r="795" spans="1:22" x14ac:dyDescent="0.25">
      <c r="A795" t="s">
        <v>2577</v>
      </c>
      <c r="B795" s="1">
        <v>42897</v>
      </c>
      <c r="C795" s="1">
        <v>42899</v>
      </c>
      <c r="D795" t="s">
        <v>40</v>
      </c>
      <c r="E795" t="s">
        <v>1878</v>
      </c>
      <c r="F795" t="s">
        <v>1879</v>
      </c>
      <c r="G795" t="s">
        <v>26</v>
      </c>
      <c r="H795" t="s">
        <v>27</v>
      </c>
      <c r="I795" t="s">
        <v>481</v>
      </c>
      <c r="J795" t="s">
        <v>426</v>
      </c>
      <c r="K795" t="s">
        <v>30</v>
      </c>
      <c r="L795" t="s">
        <v>2578</v>
      </c>
      <c r="M795" t="s">
        <v>32</v>
      </c>
      <c r="N795" t="s">
        <v>215</v>
      </c>
      <c r="O795" t="s">
        <v>2579</v>
      </c>
      <c r="P795">
        <v>385.8</v>
      </c>
      <c r="Q795">
        <v>5</v>
      </c>
      <c r="R795">
        <v>130.20750000000001</v>
      </c>
      <c r="S795" s="3" t="s">
        <v>65</v>
      </c>
      <c r="T795">
        <v>2017</v>
      </c>
      <c r="U795" t="s">
        <v>36</v>
      </c>
      <c r="V795" s="2">
        <v>0.33750000000000002</v>
      </c>
    </row>
    <row r="796" spans="1:22" x14ac:dyDescent="0.25">
      <c r="A796" t="s">
        <v>2580</v>
      </c>
      <c r="B796" s="1">
        <v>42464</v>
      </c>
      <c r="C796" s="1">
        <v>42465</v>
      </c>
      <c r="D796" t="s">
        <v>56</v>
      </c>
      <c r="E796" t="s">
        <v>2287</v>
      </c>
      <c r="F796" t="s">
        <v>2288</v>
      </c>
      <c r="G796" t="s">
        <v>70</v>
      </c>
      <c r="H796" t="s">
        <v>27</v>
      </c>
      <c r="I796" t="s">
        <v>946</v>
      </c>
      <c r="J796" t="s">
        <v>693</v>
      </c>
      <c r="K796" t="s">
        <v>155</v>
      </c>
      <c r="L796" t="s">
        <v>188</v>
      </c>
      <c r="M796" t="s">
        <v>32</v>
      </c>
      <c r="N796" t="s">
        <v>33</v>
      </c>
      <c r="O796" t="s">
        <v>189</v>
      </c>
      <c r="P796">
        <v>149.97</v>
      </c>
      <c r="Q796">
        <v>3</v>
      </c>
      <c r="R796">
        <v>5.9988000000000001</v>
      </c>
      <c r="S796" s="3" t="s">
        <v>112</v>
      </c>
      <c r="T796">
        <v>2016</v>
      </c>
      <c r="U796" t="s">
        <v>291</v>
      </c>
      <c r="V796" s="2">
        <v>0.04</v>
      </c>
    </row>
    <row r="797" spans="1:22" x14ac:dyDescent="0.25">
      <c r="A797" t="s">
        <v>2581</v>
      </c>
      <c r="B797" s="1">
        <v>41724</v>
      </c>
      <c r="C797" s="1">
        <v>41728</v>
      </c>
      <c r="D797" t="s">
        <v>23</v>
      </c>
      <c r="E797" t="s">
        <v>384</v>
      </c>
      <c r="F797" t="s">
        <v>385</v>
      </c>
      <c r="G797" t="s">
        <v>59</v>
      </c>
      <c r="H797" t="s">
        <v>27</v>
      </c>
      <c r="I797" t="s">
        <v>28</v>
      </c>
      <c r="J797" t="s">
        <v>29</v>
      </c>
      <c r="K797" t="s">
        <v>30</v>
      </c>
      <c r="L797" t="s">
        <v>239</v>
      </c>
      <c r="M797" t="s">
        <v>32</v>
      </c>
      <c r="N797" t="s">
        <v>51</v>
      </c>
      <c r="O797" t="s">
        <v>240</v>
      </c>
      <c r="P797">
        <v>66.3</v>
      </c>
      <c r="Q797">
        <v>3</v>
      </c>
      <c r="R797">
        <v>8.6189999999999998</v>
      </c>
      <c r="S797" s="3" t="s">
        <v>53</v>
      </c>
      <c r="T797">
        <v>2014</v>
      </c>
      <c r="U797" t="s">
        <v>89</v>
      </c>
      <c r="V797" s="2">
        <v>0.13</v>
      </c>
    </row>
    <row r="798" spans="1:22" x14ac:dyDescent="0.25">
      <c r="A798" t="s">
        <v>2582</v>
      </c>
      <c r="B798" s="1">
        <v>42300</v>
      </c>
      <c r="C798" s="1">
        <v>42300</v>
      </c>
      <c r="D798" t="s">
        <v>677</v>
      </c>
      <c r="E798" t="s">
        <v>2314</v>
      </c>
      <c r="F798" t="s">
        <v>2315</v>
      </c>
      <c r="G798" t="s">
        <v>26</v>
      </c>
      <c r="H798" t="s">
        <v>27</v>
      </c>
      <c r="I798" t="s">
        <v>2086</v>
      </c>
      <c r="J798" t="s">
        <v>288</v>
      </c>
      <c r="K798" t="s">
        <v>155</v>
      </c>
      <c r="L798" t="s">
        <v>1420</v>
      </c>
      <c r="M798" t="s">
        <v>32</v>
      </c>
      <c r="N798" t="s">
        <v>33</v>
      </c>
      <c r="O798" t="s">
        <v>1421</v>
      </c>
      <c r="P798">
        <v>55.944000000000003</v>
      </c>
      <c r="Q798">
        <v>7</v>
      </c>
      <c r="R798">
        <v>-13.2867</v>
      </c>
      <c r="S798" s="3" t="s">
        <v>683</v>
      </c>
      <c r="T798">
        <v>2015</v>
      </c>
      <c r="U798" t="s">
        <v>133</v>
      </c>
      <c r="V798" s="2">
        <v>-0.23749999999999999</v>
      </c>
    </row>
    <row r="799" spans="1:22" x14ac:dyDescent="0.25">
      <c r="A799" t="s">
        <v>2582</v>
      </c>
      <c r="B799" s="1">
        <v>42300</v>
      </c>
      <c r="C799" s="1">
        <v>42300</v>
      </c>
      <c r="D799" t="s">
        <v>677</v>
      </c>
      <c r="E799" t="s">
        <v>2314</v>
      </c>
      <c r="F799" t="s">
        <v>2315</v>
      </c>
      <c r="G799" t="s">
        <v>26</v>
      </c>
      <c r="H799" t="s">
        <v>27</v>
      </c>
      <c r="I799" t="s">
        <v>2086</v>
      </c>
      <c r="J799" t="s">
        <v>288</v>
      </c>
      <c r="K799" t="s">
        <v>155</v>
      </c>
      <c r="L799" t="s">
        <v>1468</v>
      </c>
      <c r="M799" t="s">
        <v>32</v>
      </c>
      <c r="N799" t="s">
        <v>33</v>
      </c>
      <c r="O799" t="s">
        <v>1469</v>
      </c>
      <c r="P799">
        <v>11.824</v>
      </c>
      <c r="Q799">
        <v>2</v>
      </c>
      <c r="R799">
        <v>1.0346</v>
      </c>
      <c r="S799" s="3" t="s">
        <v>683</v>
      </c>
      <c r="T799">
        <v>2015</v>
      </c>
      <c r="U799" t="s">
        <v>133</v>
      </c>
      <c r="V799" s="2">
        <v>8.7499999999999994E-2</v>
      </c>
    </row>
    <row r="800" spans="1:22" x14ac:dyDescent="0.25">
      <c r="A800" t="s">
        <v>2583</v>
      </c>
      <c r="B800" s="1">
        <v>42954</v>
      </c>
      <c r="C800" s="1">
        <v>42958</v>
      </c>
      <c r="D800" t="s">
        <v>23</v>
      </c>
      <c r="E800" t="s">
        <v>2584</v>
      </c>
      <c r="F800" t="s">
        <v>2585</v>
      </c>
      <c r="G800" t="s">
        <v>26</v>
      </c>
      <c r="H800" t="s">
        <v>27</v>
      </c>
      <c r="I800" t="s">
        <v>2586</v>
      </c>
      <c r="J800" t="s">
        <v>86</v>
      </c>
      <c r="K800" t="s">
        <v>62</v>
      </c>
      <c r="L800" t="s">
        <v>1364</v>
      </c>
      <c r="M800" t="s">
        <v>32</v>
      </c>
      <c r="N800" t="s">
        <v>51</v>
      </c>
      <c r="O800" t="s">
        <v>1365</v>
      </c>
      <c r="P800">
        <v>63.96</v>
      </c>
      <c r="Q800">
        <v>4</v>
      </c>
      <c r="R800">
        <v>19.8276</v>
      </c>
      <c r="S800" s="3" t="s">
        <v>53</v>
      </c>
      <c r="T800">
        <v>2017</v>
      </c>
      <c r="U800" t="s">
        <v>46</v>
      </c>
      <c r="V800" s="2">
        <v>0.31</v>
      </c>
    </row>
    <row r="801" spans="1:22" x14ac:dyDescent="0.25">
      <c r="A801" t="s">
        <v>2587</v>
      </c>
      <c r="B801" s="1">
        <v>42679</v>
      </c>
      <c r="C801" s="1">
        <v>42683</v>
      </c>
      <c r="D801" t="s">
        <v>23</v>
      </c>
      <c r="E801" t="s">
        <v>1251</v>
      </c>
      <c r="F801" t="s">
        <v>1252</v>
      </c>
      <c r="G801" t="s">
        <v>26</v>
      </c>
      <c r="H801" t="s">
        <v>27</v>
      </c>
      <c r="I801" t="s">
        <v>71</v>
      </c>
      <c r="J801" t="s">
        <v>61</v>
      </c>
      <c r="K801" t="s">
        <v>62</v>
      </c>
      <c r="L801" t="s">
        <v>2063</v>
      </c>
      <c r="M801" t="s">
        <v>32</v>
      </c>
      <c r="N801" t="s">
        <v>51</v>
      </c>
      <c r="O801" t="s">
        <v>2064</v>
      </c>
      <c r="P801">
        <v>171.96</v>
      </c>
      <c r="Q801">
        <v>5</v>
      </c>
      <c r="R801">
        <v>45.139499999999998</v>
      </c>
      <c r="S801" s="3" t="s">
        <v>53</v>
      </c>
      <c r="T801">
        <v>2016</v>
      </c>
      <c r="U801" t="s">
        <v>118</v>
      </c>
      <c r="V801" s="2">
        <v>0.26250000000000001</v>
      </c>
    </row>
    <row r="802" spans="1:22" x14ac:dyDescent="0.25">
      <c r="A802" t="s">
        <v>2588</v>
      </c>
      <c r="B802" s="1">
        <v>42937</v>
      </c>
      <c r="C802" s="1">
        <v>42937</v>
      </c>
      <c r="D802" t="s">
        <v>677</v>
      </c>
      <c r="E802" t="s">
        <v>1326</v>
      </c>
      <c r="F802" t="s">
        <v>1327</v>
      </c>
      <c r="G802" t="s">
        <v>26</v>
      </c>
      <c r="H802" t="s">
        <v>27</v>
      </c>
      <c r="I802" t="s">
        <v>2589</v>
      </c>
      <c r="J802" t="s">
        <v>1167</v>
      </c>
      <c r="K802" t="s">
        <v>30</v>
      </c>
      <c r="L802" t="s">
        <v>2320</v>
      </c>
      <c r="M802" t="s">
        <v>32</v>
      </c>
      <c r="N802" t="s">
        <v>33</v>
      </c>
      <c r="O802" t="s">
        <v>2321</v>
      </c>
      <c r="P802">
        <v>71.927999999999997</v>
      </c>
      <c r="Q802">
        <v>9</v>
      </c>
      <c r="R802">
        <v>6.2937000000000003</v>
      </c>
      <c r="S802" s="3" t="s">
        <v>683</v>
      </c>
      <c r="T802">
        <v>2017</v>
      </c>
      <c r="U802" t="s">
        <v>332</v>
      </c>
      <c r="V802" s="2">
        <v>8.7499999999999994E-2</v>
      </c>
    </row>
    <row r="803" spans="1:22" x14ac:dyDescent="0.25">
      <c r="A803" t="s">
        <v>2590</v>
      </c>
      <c r="B803" s="1">
        <v>42476</v>
      </c>
      <c r="C803" s="1">
        <v>42480</v>
      </c>
      <c r="D803" t="s">
        <v>23</v>
      </c>
      <c r="E803" t="s">
        <v>2591</v>
      </c>
      <c r="F803" t="s">
        <v>2592</v>
      </c>
      <c r="G803" t="s">
        <v>59</v>
      </c>
      <c r="H803" t="s">
        <v>27</v>
      </c>
      <c r="I803" t="s">
        <v>1040</v>
      </c>
      <c r="J803" t="s">
        <v>794</v>
      </c>
      <c r="K803" t="s">
        <v>95</v>
      </c>
      <c r="L803" t="s">
        <v>2593</v>
      </c>
      <c r="M803" t="s">
        <v>32</v>
      </c>
      <c r="N803" t="s">
        <v>215</v>
      </c>
      <c r="O803" t="s">
        <v>2594</v>
      </c>
      <c r="P803">
        <v>9099.93</v>
      </c>
      <c r="Q803">
        <v>7</v>
      </c>
      <c r="R803">
        <v>2365.9818</v>
      </c>
      <c r="S803" s="3" t="s">
        <v>53</v>
      </c>
      <c r="T803">
        <v>2016</v>
      </c>
      <c r="U803" t="s">
        <v>291</v>
      </c>
      <c r="V803" s="2">
        <v>0.26</v>
      </c>
    </row>
    <row r="804" spans="1:22" x14ac:dyDescent="0.25">
      <c r="A804" t="s">
        <v>2595</v>
      </c>
      <c r="B804" s="1">
        <v>42329</v>
      </c>
      <c r="C804" s="1">
        <v>42334</v>
      </c>
      <c r="D804" t="s">
        <v>40</v>
      </c>
      <c r="E804" t="s">
        <v>2596</v>
      </c>
      <c r="F804" t="s">
        <v>2597</v>
      </c>
      <c r="G804" t="s">
        <v>59</v>
      </c>
      <c r="H804" t="s">
        <v>27</v>
      </c>
      <c r="I804" t="s">
        <v>2598</v>
      </c>
      <c r="J804" t="s">
        <v>61</v>
      </c>
      <c r="K804" t="s">
        <v>62</v>
      </c>
      <c r="L804" t="s">
        <v>2346</v>
      </c>
      <c r="M804" t="s">
        <v>32</v>
      </c>
      <c r="N804" t="s">
        <v>381</v>
      </c>
      <c r="O804" t="s">
        <v>2347</v>
      </c>
      <c r="P804">
        <v>439.99200000000002</v>
      </c>
      <c r="Q804">
        <v>1</v>
      </c>
      <c r="R804">
        <v>164.99700000000001</v>
      </c>
      <c r="S804" s="3" t="s">
        <v>35</v>
      </c>
      <c r="T804">
        <v>2015</v>
      </c>
      <c r="U804" t="s">
        <v>118</v>
      </c>
      <c r="V804" s="2">
        <v>0.375</v>
      </c>
    </row>
    <row r="805" spans="1:22" x14ac:dyDescent="0.25">
      <c r="A805" t="s">
        <v>2599</v>
      </c>
      <c r="B805" s="1">
        <v>42804</v>
      </c>
      <c r="C805" s="1">
        <v>42810</v>
      </c>
      <c r="D805" t="s">
        <v>23</v>
      </c>
      <c r="E805" t="s">
        <v>2600</v>
      </c>
      <c r="F805" t="s">
        <v>2601</v>
      </c>
      <c r="G805" t="s">
        <v>26</v>
      </c>
      <c r="H805" t="s">
        <v>27</v>
      </c>
      <c r="I805" t="s">
        <v>206</v>
      </c>
      <c r="J805" t="s">
        <v>207</v>
      </c>
      <c r="K805" t="s">
        <v>95</v>
      </c>
      <c r="L805" t="s">
        <v>232</v>
      </c>
      <c r="M805" t="s">
        <v>32</v>
      </c>
      <c r="N805" t="s">
        <v>33</v>
      </c>
      <c r="O805" t="s">
        <v>233</v>
      </c>
      <c r="P805">
        <v>53.981999999999999</v>
      </c>
      <c r="Q805">
        <v>3</v>
      </c>
      <c r="R805">
        <v>-10.7964</v>
      </c>
      <c r="S805" s="3" t="s">
        <v>107</v>
      </c>
      <c r="T805">
        <v>2017</v>
      </c>
      <c r="U805" t="s">
        <v>89</v>
      </c>
      <c r="V805" s="2">
        <v>-0.2</v>
      </c>
    </row>
    <row r="806" spans="1:22" x14ac:dyDescent="0.25">
      <c r="A806" t="s">
        <v>2602</v>
      </c>
      <c r="B806" s="1">
        <v>42970</v>
      </c>
      <c r="C806" s="1">
        <v>42973</v>
      </c>
      <c r="D806" t="s">
        <v>40</v>
      </c>
      <c r="E806" t="s">
        <v>368</v>
      </c>
      <c r="F806" t="s">
        <v>369</v>
      </c>
      <c r="G806" t="s">
        <v>26</v>
      </c>
      <c r="H806" t="s">
        <v>27</v>
      </c>
      <c r="I806" t="s">
        <v>1823</v>
      </c>
      <c r="J806" t="s">
        <v>288</v>
      </c>
      <c r="K806" t="s">
        <v>155</v>
      </c>
      <c r="L806" t="s">
        <v>2021</v>
      </c>
      <c r="M806" t="s">
        <v>32</v>
      </c>
      <c r="N806" t="s">
        <v>33</v>
      </c>
      <c r="O806" t="s">
        <v>2022</v>
      </c>
      <c r="P806">
        <v>4367.8959999999997</v>
      </c>
      <c r="Q806">
        <v>13</v>
      </c>
      <c r="R806">
        <v>327.59219999999999</v>
      </c>
      <c r="S806" s="3" t="s">
        <v>172</v>
      </c>
      <c r="T806">
        <v>2017</v>
      </c>
      <c r="U806" t="s">
        <v>46</v>
      </c>
      <c r="V806" s="2">
        <v>7.4999999999999997E-2</v>
      </c>
    </row>
    <row r="807" spans="1:22" x14ac:dyDescent="0.25">
      <c r="A807" t="s">
        <v>2603</v>
      </c>
      <c r="B807" s="1">
        <v>41938</v>
      </c>
      <c r="C807" s="1">
        <v>41942</v>
      </c>
      <c r="D807" t="s">
        <v>40</v>
      </c>
      <c r="E807" t="s">
        <v>2604</v>
      </c>
      <c r="F807" t="s">
        <v>2605</v>
      </c>
      <c r="G807" t="s">
        <v>26</v>
      </c>
      <c r="H807" t="s">
        <v>27</v>
      </c>
      <c r="I807" t="s">
        <v>481</v>
      </c>
      <c r="J807" t="s">
        <v>426</v>
      </c>
      <c r="K807" t="s">
        <v>30</v>
      </c>
      <c r="L807" t="s">
        <v>2077</v>
      </c>
      <c r="M807" t="s">
        <v>32</v>
      </c>
      <c r="N807" t="s">
        <v>33</v>
      </c>
      <c r="O807" t="s">
        <v>2078</v>
      </c>
      <c r="P807">
        <v>383.96</v>
      </c>
      <c r="Q807">
        <v>5</v>
      </c>
      <c r="R807">
        <v>38.396000000000001</v>
      </c>
      <c r="S807" s="3" t="s">
        <v>53</v>
      </c>
      <c r="T807">
        <v>2014</v>
      </c>
      <c r="U807" t="s">
        <v>133</v>
      </c>
      <c r="V807" s="2">
        <v>0.1</v>
      </c>
    </row>
    <row r="808" spans="1:22" x14ac:dyDescent="0.25">
      <c r="A808" t="s">
        <v>2606</v>
      </c>
      <c r="B808" s="1">
        <v>41947</v>
      </c>
      <c r="C808" s="1">
        <v>41954</v>
      </c>
      <c r="D808" t="s">
        <v>23</v>
      </c>
      <c r="E808" t="s">
        <v>1604</v>
      </c>
      <c r="F808" t="s">
        <v>1605</v>
      </c>
      <c r="G808" t="s">
        <v>26</v>
      </c>
      <c r="H808" t="s">
        <v>27</v>
      </c>
      <c r="I808" t="s">
        <v>28</v>
      </c>
      <c r="J808" t="s">
        <v>29</v>
      </c>
      <c r="K808" t="s">
        <v>30</v>
      </c>
      <c r="L808" t="s">
        <v>1639</v>
      </c>
      <c r="M808" t="s">
        <v>32</v>
      </c>
      <c r="N808" t="s">
        <v>33</v>
      </c>
      <c r="O808" t="s">
        <v>1640</v>
      </c>
      <c r="P808">
        <v>666.34400000000005</v>
      </c>
      <c r="Q808">
        <v>7</v>
      </c>
      <c r="R808">
        <v>66.634399999999999</v>
      </c>
      <c r="S808" s="3" t="s">
        <v>132</v>
      </c>
      <c r="T808">
        <v>2014</v>
      </c>
      <c r="U808" t="s">
        <v>118</v>
      </c>
      <c r="V808" s="2">
        <v>0.1</v>
      </c>
    </row>
    <row r="809" spans="1:22" x14ac:dyDescent="0.25">
      <c r="A809" t="s">
        <v>2606</v>
      </c>
      <c r="B809" s="1">
        <v>41947</v>
      </c>
      <c r="C809" s="1">
        <v>41954</v>
      </c>
      <c r="D809" t="s">
        <v>23</v>
      </c>
      <c r="E809" t="s">
        <v>1604</v>
      </c>
      <c r="F809" t="s">
        <v>1605</v>
      </c>
      <c r="G809" t="s">
        <v>26</v>
      </c>
      <c r="H809" t="s">
        <v>27</v>
      </c>
      <c r="I809" t="s">
        <v>28</v>
      </c>
      <c r="J809" t="s">
        <v>29</v>
      </c>
      <c r="K809" t="s">
        <v>30</v>
      </c>
      <c r="L809" t="s">
        <v>2607</v>
      </c>
      <c r="M809" t="s">
        <v>32</v>
      </c>
      <c r="N809" t="s">
        <v>215</v>
      </c>
      <c r="O809" t="s">
        <v>2608</v>
      </c>
      <c r="P809">
        <v>447.96800000000002</v>
      </c>
      <c r="Q809">
        <v>4</v>
      </c>
      <c r="R809">
        <v>139.99</v>
      </c>
      <c r="S809" s="3" t="s">
        <v>132</v>
      </c>
      <c r="T809">
        <v>2014</v>
      </c>
      <c r="U809" t="s">
        <v>118</v>
      </c>
      <c r="V809" s="2">
        <v>0.3125</v>
      </c>
    </row>
    <row r="810" spans="1:22" x14ac:dyDescent="0.25">
      <c r="A810" t="s">
        <v>2609</v>
      </c>
      <c r="B810" s="1">
        <v>42002</v>
      </c>
      <c r="C810" s="1">
        <v>42007</v>
      </c>
      <c r="D810" t="s">
        <v>40</v>
      </c>
      <c r="E810" t="s">
        <v>2610</v>
      </c>
      <c r="F810" t="s">
        <v>2611</v>
      </c>
      <c r="G810" t="s">
        <v>26</v>
      </c>
      <c r="H810" t="s">
        <v>27</v>
      </c>
      <c r="I810" t="s">
        <v>1749</v>
      </c>
      <c r="J810" t="s">
        <v>889</v>
      </c>
      <c r="K810" t="s">
        <v>30</v>
      </c>
      <c r="L810" t="s">
        <v>1420</v>
      </c>
      <c r="M810" t="s">
        <v>32</v>
      </c>
      <c r="N810" t="s">
        <v>33</v>
      </c>
      <c r="O810" t="s">
        <v>1421</v>
      </c>
      <c r="P810">
        <v>23.975999999999999</v>
      </c>
      <c r="Q810">
        <v>3</v>
      </c>
      <c r="R810">
        <v>-5.6943000000000001</v>
      </c>
      <c r="S810" s="3" t="s">
        <v>35</v>
      </c>
      <c r="T810">
        <v>2014</v>
      </c>
      <c r="U810" t="s">
        <v>66</v>
      </c>
      <c r="V810" s="2">
        <v>-0.23749999999999999</v>
      </c>
    </row>
    <row r="811" spans="1:22" x14ac:dyDescent="0.25">
      <c r="A811" t="s">
        <v>2612</v>
      </c>
      <c r="B811" s="1">
        <v>42049</v>
      </c>
      <c r="C811" s="1">
        <v>42054</v>
      </c>
      <c r="D811" t="s">
        <v>23</v>
      </c>
      <c r="E811" t="s">
        <v>2613</v>
      </c>
      <c r="F811" t="s">
        <v>2614</v>
      </c>
      <c r="G811" t="s">
        <v>26</v>
      </c>
      <c r="H811" t="s">
        <v>27</v>
      </c>
      <c r="I811" t="s">
        <v>2615</v>
      </c>
      <c r="J811" t="s">
        <v>177</v>
      </c>
      <c r="K811" t="s">
        <v>95</v>
      </c>
      <c r="L811" t="s">
        <v>1883</v>
      </c>
      <c r="M811" t="s">
        <v>32</v>
      </c>
      <c r="N811" t="s">
        <v>33</v>
      </c>
      <c r="O811" t="s">
        <v>1884</v>
      </c>
      <c r="P811">
        <v>323.98200000000003</v>
      </c>
      <c r="Q811">
        <v>3</v>
      </c>
      <c r="R811">
        <v>-80.995500000000007</v>
      </c>
      <c r="S811" s="3" t="s">
        <v>35</v>
      </c>
      <c r="T811">
        <v>2015</v>
      </c>
      <c r="U811" t="s">
        <v>180</v>
      </c>
      <c r="V811" s="2">
        <v>-0.25</v>
      </c>
    </row>
    <row r="812" spans="1:22" x14ac:dyDescent="0.25">
      <c r="A812" t="s">
        <v>2612</v>
      </c>
      <c r="B812" s="1">
        <v>42049</v>
      </c>
      <c r="C812" s="1">
        <v>42054</v>
      </c>
      <c r="D812" t="s">
        <v>23</v>
      </c>
      <c r="E812" t="s">
        <v>2613</v>
      </c>
      <c r="F812" t="s">
        <v>2614</v>
      </c>
      <c r="G812" t="s">
        <v>26</v>
      </c>
      <c r="H812" t="s">
        <v>27</v>
      </c>
      <c r="I812" t="s">
        <v>2615</v>
      </c>
      <c r="J812" t="s">
        <v>177</v>
      </c>
      <c r="K812" t="s">
        <v>95</v>
      </c>
      <c r="L812" t="s">
        <v>1269</v>
      </c>
      <c r="M812" t="s">
        <v>32</v>
      </c>
      <c r="N812" t="s">
        <v>51</v>
      </c>
      <c r="O812" t="s">
        <v>1270</v>
      </c>
      <c r="P812">
        <v>71.975999999999999</v>
      </c>
      <c r="Q812">
        <v>3</v>
      </c>
      <c r="R812">
        <v>0.89970000000000006</v>
      </c>
      <c r="S812" s="3" t="s">
        <v>35</v>
      </c>
      <c r="T812">
        <v>2015</v>
      </c>
      <c r="U812" t="s">
        <v>180</v>
      </c>
      <c r="V812" s="2">
        <v>1.2500000000000001E-2</v>
      </c>
    </row>
    <row r="813" spans="1:22" x14ac:dyDescent="0.25">
      <c r="A813" t="s">
        <v>2616</v>
      </c>
      <c r="B813" s="1">
        <v>42979</v>
      </c>
      <c r="C813" s="1">
        <v>42984</v>
      </c>
      <c r="D813" t="s">
        <v>23</v>
      </c>
      <c r="E813" t="s">
        <v>2617</v>
      </c>
      <c r="F813" t="s">
        <v>2618</v>
      </c>
      <c r="G813" t="s">
        <v>26</v>
      </c>
      <c r="H813" t="s">
        <v>27</v>
      </c>
      <c r="I813" t="s">
        <v>2619</v>
      </c>
      <c r="J813" t="s">
        <v>426</v>
      </c>
      <c r="K813" t="s">
        <v>30</v>
      </c>
      <c r="L813" t="s">
        <v>130</v>
      </c>
      <c r="M813" t="s">
        <v>32</v>
      </c>
      <c r="N813" t="s">
        <v>51</v>
      </c>
      <c r="O813" t="s">
        <v>131</v>
      </c>
      <c r="P813">
        <v>19.989999999999998</v>
      </c>
      <c r="Q813">
        <v>1</v>
      </c>
      <c r="R813">
        <v>6.7965999999999998</v>
      </c>
      <c r="S813" s="3" t="s">
        <v>35</v>
      </c>
      <c r="T813">
        <v>2017</v>
      </c>
      <c r="U813" t="s">
        <v>81</v>
      </c>
      <c r="V813" s="2">
        <v>0.34</v>
      </c>
    </row>
    <row r="814" spans="1:22" x14ac:dyDescent="0.25">
      <c r="A814" t="s">
        <v>2620</v>
      </c>
      <c r="B814" s="1">
        <v>42359</v>
      </c>
      <c r="C814" s="1">
        <v>42365</v>
      </c>
      <c r="D814" t="s">
        <v>23</v>
      </c>
      <c r="E814" t="s">
        <v>2621</v>
      </c>
      <c r="F814" t="s">
        <v>2622</v>
      </c>
      <c r="G814" t="s">
        <v>26</v>
      </c>
      <c r="H814" t="s">
        <v>27</v>
      </c>
      <c r="I814" t="s">
        <v>2623</v>
      </c>
      <c r="J814" t="s">
        <v>288</v>
      </c>
      <c r="K814" t="s">
        <v>155</v>
      </c>
      <c r="L814" t="s">
        <v>2624</v>
      </c>
      <c r="M814" t="s">
        <v>32</v>
      </c>
      <c r="N814" t="s">
        <v>51</v>
      </c>
      <c r="O814" t="s">
        <v>2625</v>
      </c>
      <c r="P814">
        <v>50.88</v>
      </c>
      <c r="Q814">
        <v>6</v>
      </c>
      <c r="R814">
        <v>14.628</v>
      </c>
      <c r="S814" s="3" t="s">
        <v>107</v>
      </c>
      <c r="T814">
        <v>2015</v>
      </c>
      <c r="U814" t="s">
        <v>66</v>
      </c>
      <c r="V814" s="2">
        <v>0.28749999999999998</v>
      </c>
    </row>
    <row r="815" spans="1:22" x14ac:dyDescent="0.25">
      <c r="A815" t="s">
        <v>2626</v>
      </c>
      <c r="B815" s="1">
        <v>42335</v>
      </c>
      <c r="C815" s="1">
        <v>42339</v>
      </c>
      <c r="D815" t="s">
        <v>23</v>
      </c>
      <c r="E815" t="s">
        <v>68</v>
      </c>
      <c r="F815" t="s">
        <v>69</v>
      </c>
      <c r="G815" t="s">
        <v>70</v>
      </c>
      <c r="H815" t="s">
        <v>27</v>
      </c>
      <c r="I815" t="s">
        <v>28</v>
      </c>
      <c r="J815" t="s">
        <v>29</v>
      </c>
      <c r="K815" t="s">
        <v>30</v>
      </c>
      <c r="L815" t="s">
        <v>434</v>
      </c>
      <c r="M815" t="s">
        <v>32</v>
      </c>
      <c r="N815" t="s">
        <v>51</v>
      </c>
      <c r="O815" t="s">
        <v>435</v>
      </c>
      <c r="P815">
        <v>107.97</v>
      </c>
      <c r="Q815">
        <v>3</v>
      </c>
      <c r="R815">
        <v>22.6737</v>
      </c>
      <c r="S815" s="3" t="s">
        <v>53</v>
      </c>
      <c r="T815">
        <v>2015</v>
      </c>
      <c r="U815" t="s">
        <v>118</v>
      </c>
      <c r="V815" s="2">
        <v>0.21</v>
      </c>
    </row>
    <row r="816" spans="1:22" x14ac:dyDescent="0.25">
      <c r="A816" t="s">
        <v>2627</v>
      </c>
      <c r="B816" s="1">
        <v>42813</v>
      </c>
      <c r="C816" s="1">
        <v>42816</v>
      </c>
      <c r="D816" t="s">
        <v>56</v>
      </c>
      <c r="E816" t="s">
        <v>1991</v>
      </c>
      <c r="F816" t="s">
        <v>1992</v>
      </c>
      <c r="G816" t="s">
        <v>26</v>
      </c>
      <c r="H816" t="s">
        <v>27</v>
      </c>
      <c r="I816" t="s">
        <v>43</v>
      </c>
      <c r="J816" t="s">
        <v>29</v>
      </c>
      <c r="K816" t="s">
        <v>30</v>
      </c>
      <c r="L816" t="s">
        <v>1315</v>
      </c>
      <c r="M816" t="s">
        <v>32</v>
      </c>
      <c r="N816" t="s">
        <v>33</v>
      </c>
      <c r="O816" t="s">
        <v>1316</v>
      </c>
      <c r="P816">
        <v>657.50400000000002</v>
      </c>
      <c r="Q816">
        <v>6</v>
      </c>
      <c r="R816">
        <v>-131.5008</v>
      </c>
      <c r="S816" s="3" t="s">
        <v>172</v>
      </c>
      <c r="T816">
        <v>2017</v>
      </c>
      <c r="U816" t="s">
        <v>89</v>
      </c>
      <c r="V816" s="2">
        <v>-0.2</v>
      </c>
    </row>
    <row r="817" spans="1:22" x14ac:dyDescent="0.25">
      <c r="A817" t="s">
        <v>2627</v>
      </c>
      <c r="B817" s="1">
        <v>42813</v>
      </c>
      <c r="C817" s="1">
        <v>42816</v>
      </c>
      <c r="D817" t="s">
        <v>56</v>
      </c>
      <c r="E817" t="s">
        <v>1991</v>
      </c>
      <c r="F817" t="s">
        <v>1992</v>
      </c>
      <c r="G817" t="s">
        <v>26</v>
      </c>
      <c r="H817" t="s">
        <v>27</v>
      </c>
      <c r="I817" t="s">
        <v>43</v>
      </c>
      <c r="J817" t="s">
        <v>29</v>
      </c>
      <c r="K817" t="s">
        <v>30</v>
      </c>
      <c r="L817" t="s">
        <v>148</v>
      </c>
      <c r="M817" t="s">
        <v>32</v>
      </c>
      <c r="N817" t="s">
        <v>51</v>
      </c>
      <c r="O817" t="s">
        <v>149</v>
      </c>
      <c r="P817">
        <v>99.54</v>
      </c>
      <c r="Q817">
        <v>2</v>
      </c>
      <c r="R817">
        <v>10.949400000000001</v>
      </c>
      <c r="S817" s="3" t="s">
        <v>172</v>
      </c>
      <c r="T817">
        <v>2017</v>
      </c>
      <c r="U817" t="s">
        <v>89</v>
      </c>
      <c r="V817" s="2">
        <v>0.11</v>
      </c>
    </row>
    <row r="818" spans="1:22" x14ac:dyDescent="0.25">
      <c r="A818" t="s">
        <v>2627</v>
      </c>
      <c r="B818" s="1">
        <v>42813</v>
      </c>
      <c r="C818" s="1">
        <v>42816</v>
      </c>
      <c r="D818" t="s">
        <v>56</v>
      </c>
      <c r="E818" t="s">
        <v>1991</v>
      </c>
      <c r="F818" t="s">
        <v>1992</v>
      </c>
      <c r="G818" t="s">
        <v>26</v>
      </c>
      <c r="H818" t="s">
        <v>27</v>
      </c>
      <c r="I818" t="s">
        <v>43</v>
      </c>
      <c r="J818" t="s">
        <v>29</v>
      </c>
      <c r="K818" t="s">
        <v>30</v>
      </c>
      <c r="L818" t="s">
        <v>1413</v>
      </c>
      <c r="M818" t="s">
        <v>32</v>
      </c>
      <c r="N818" t="s">
        <v>51</v>
      </c>
      <c r="O818" t="s">
        <v>1414</v>
      </c>
      <c r="P818">
        <v>199.96</v>
      </c>
      <c r="Q818">
        <v>4</v>
      </c>
      <c r="R818">
        <v>85.982799999999997</v>
      </c>
      <c r="S818" s="3" t="s">
        <v>172</v>
      </c>
      <c r="T818">
        <v>2017</v>
      </c>
      <c r="U818" t="s">
        <v>89</v>
      </c>
      <c r="V818" s="2">
        <v>0.43</v>
      </c>
    </row>
    <row r="819" spans="1:22" x14ac:dyDescent="0.25">
      <c r="A819" t="s">
        <v>2628</v>
      </c>
      <c r="B819" s="1">
        <v>42836</v>
      </c>
      <c r="C819" s="1">
        <v>42840</v>
      </c>
      <c r="D819" t="s">
        <v>23</v>
      </c>
      <c r="E819" t="s">
        <v>2629</v>
      </c>
      <c r="F819" t="s">
        <v>2630</v>
      </c>
      <c r="G819" t="s">
        <v>26</v>
      </c>
      <c r="H819" t="s">
        <v>27</v>
      </c>
      <c r="I819" t="s">
        <v>2300</v>
      </c>
      <c r="J819" t="s">
        <v>177</v>
      </c>
      <c r="K819" t="s">
        <v>95</v>
      </c>
      <c r="L819" t="s">
        <v>800</v>
      </c>
      <c r="M819" t="s">
        <v>32</v>
      </c>
      <c r="N819" t="s">
        <v>51</v>
      </c>
      <c r="O819" t="s">
        <v>801</v>
      </c>
      <c r="P819">
        <v>27.12</v>
      </c>
      <c r="Q819">
        <v>2</v>
      </c>
      <c r="R819">
        <v>-4.7460000000000004</v>
      </c>
      <c r="S819" s="3" t="s">
        <v>53</v>
      </c>
      <c r="T819">
        <v>2017</v>
      </c>
      <c r="U819" t="s">
        <v>291</v>
      </c>
      <c r="V819" s="2">
        <v>-0.17499999999999999</v>
      </c>
    </row>
    <row r="820" spans="1:22" x14ac:dyDescent="0.25">
      <c r="A820" t="s">
        <v>2631</v>
      </c>
      <c r="B820" s="1">
        <v>43079</v>
      </c>
      <c r="C820" s="1">
        <v>43081</v>
      </c>
      <c r="D820" t="s">
        <v>40</v>
      </c>
      <c r="E820" t="s">
        <v>2632</v>
      </c>
      <c r="F820" t="s">
        <v>2633</v>
      </c>
      <c r="G820" t="s">
        <v>26</v>
      </c>
      <c r="H820" t="s">
        <v>27</v>
      </c>
      <c r="I820" t="s">
        <v>2634</v>
      </c>
      <c r="J820" t="s">
        <v>29</v>
      </c>
      <c r="K820" t="s">
        <v>30</v>
      </c>
      <c r="L820" t="s">
        <v>2502</v>
      </c>
      <c r="M820" t="s">
        <v>32</v>
      </c>
      <c r="N820" t="s">
        <v>33</v>
      </c>
      <c r="O820" t="s">
        <v>2503</v>
      </c>
      <c r="P820">
        <v>95.84</v>
      </c>
      <c r="Q820">
        <v>4</v>
      </c>
      <c r="R820">
        <v>34.741999999999997</v>
      </c>
      <c r="S820" s="3" t="s">
        <v>65</v>
      </c>
      <c r="T820">
        <v>2017</v>
      </c>
      <c r="U820" t="s">
        <v>66</v>
      </c>
      <c r="V820" s="2">
        <v>0.36249999999999999</v>
      </c>
    </row>
    <row r="821" spans="1:22" x14ac:dyDescent="0.25">
      <c r="A821" t="s">
        <v>2635</v>
      </c>
      <c r="B821" s="1">
        <v>42783</v>
      </c>
      <c r="C821" s="1">
        <v>42787</v>
      </c>
      <c r="D821" t="s">
        <v>40</v>
      </c>
      <c r="E821" t="s">
        <v>2636</v>
      </c>
      <c r="F821" t="s">
        <v>2637</v>
      </c>
      <c r="G821" t="s">
        <v>26</v>
      </c>
      <c r="H821" t="s">
        <v>27</v>
      </c>
      <c r="I821" t="s">
        <v>2507</v>
      </c>
      <c r="J821" t="s">
        <v>229</v>
      </c>
      <c r="K821" t="s">
        <v>155</v>
      </c>
      <c r="L821" t="s">
        <v>170</v>
      </c>
      <c r="M821" t="s">
        <v>32</v>
      </c>
      <c r="N821" t="s">
        <v>33</v>
      </c>
      <c r="O821" t="s">
        <v>171</v>
      </c>
      <c r="P821">
        <v>29.16</v>
      </c>
      <c r="Q821">
        <v>3</v>
      </c>
      <c r="R821">
        <v>8.4564000000000004</v>
      </c>
      <c r="S821" s="3" t="s">
        <v>53</v>
      </c>
      <c r="T821">
        <v>2017</v>
      </c>
      <c r="U821" t="s">
        <v>180</v>
      </c>
      <c r="V821" s="2">
        <v>0.28999999999999998</v>
      </c>
    </row>
    <row r="822" spans="1:22" x14ac:dyDescent="0.25">
      <c r="A822" t="s">
        <v>2638</v>
      </c>
      <c r="B822" s="1">
        <v>42939</v>
      </c>
      <c r="C822" s="1">
        <v>42941</v>
      </c>
      <c r="D822" t="s">
        <v>40</v>
      </c>
      <c r="E822" t="s">
        <v>91</v>
      </c>
      <c r="F822" t="s">
        <v>92</v>
      </c>
      <c r="G822" t="s">
        <v>26</v>
      </c>
      <c r="H822" t="s">
        <v>27</v>
      </c>
      <c r="I822" t="s">
        <v>2639</v>
      </c>
      <c r="J822" t="s">
        <v>669</v>
      </c>
      <c r="K822" t="s">
        <v>62</v>
      </c>
      <c r="L822" t="s">
        <v>1807</v>
      </c>
      <c r="M822" t="s">
        <v>32</v>
      </c>
      <c r="N822" t="s">
        <v>51</v>
      </c>
      <c r="O822" t="s">
        <v>2326</v>
      </c>
      <c r="P822">
        <v>159.75</v>
      </c>
      <c r="Q822">
        <v>5</v>
      </c>
      <c r="R822">
        <v>11.182499999999999</v>
      </c>
      <c r="S822" s="3" t="s">
        <v>65</v>
      </c>
      <c r="T822">
        <v>2017</v>
      </c>
      <c r="U822" t="s">
        <v>332</v>
      </c>
      <c r="V822" s="2">
        <v>7.0000000000000007E-2</v>
      </c>
    </row>
    <row r="823" spans="1:22" x14ac:dyDescent="0.25">
      <c r="A823" t="s">
        <v>2640</v>
      </c>
      <c r="B823" s="1">
        <v>42205</v>
      </c>
      <c r="C823" s="1">
        <v>42212</v>
      </c>
      <c r="D823" t="s">
        <v>23</v>
      </c>
      <c r="E823" t="s">
        <v>771</v>
      </c>
      <c r="F823" t="s">
        <v>772</v>
      </c>
      <c r="G823" t="s">
        <v>26</v>
      </c>
      <c r="H823" t="s">
        <v>27</v>
      </c>
      <c r="I823" t="s">
        <v>2641</v>
      </c>
      <c r="J823" t="s">
        <v>78</v>
      </c>
      <c r="K823" t="s">
        <v>62</v>
      </c>
      <c r="L823" t="s">
        <v>805</v>
      </c>
      <c r="M823" t="s">
        <v>32</v>
      </c>
      <c r="N823" t="s">
        <v>33</v>
      </c>
      <c r="O823" t="s">
        <v>806</v>
      </c>
      <c r="P823">
        <v>153.584</v>
      </c>
      <c r="Q823">
        <v>2</v>
      </c>
      <c r="R823">
        <v>13.438599999999999</v>
      </c>
      <c r="S823" s="3" t="s">
        <v>132</v>
      </c>
      <c r="T823">
        <v>2015</v>
      </c>
      <c r="U823" t="s">
        <v>332</v>
      </c>
      <c r="V823" s="2">
        <v>8.7499999999999994E-2</v>
      </c>
    </row>
    <row r="824" spans="1:22" x14ac:dyDescent="0.25">
      <c r="A824" t="s">
        <v>2642</v>
      </c>
      <c r="B824" s="1">
        <v>43059</v>
      </c>
      <c r="C824" s="1">
        <v>43061</v>
      </c>
      <c r="D824" t="s">
        <v>56</v>
      </c>
      <c r="E824" t="s">
        <v>2643</v>
      </c>
      <c r="F824" t="s">
        <v>2644</v>
      </c>
      <c r="G824" t="s">
        <v>26</v>
      </c>
      <c r="H824" t="s">
        <v>27</v>
      </c>
      <c r="I824" t="s">
        <v>103</v>
      </c>
      <c r="J824" t="s">
        <v>104</v>
      </c>
      <c r="K824" t="s">
        <v>95</v>
      </c>
      <c r="L824" t="s">
        <v>2021</v>
      </c>
      <c r="M824" t="s">
        <v>32</v>
      </c>
      <c r="N824" t="s">
        <v>33</v>
      </c>
      <c r="O824" t="s">
        <v>2022</v>
      </c>
      <c r="P824">
        <v>1259.97</v>
      </c>
      <c r="Q824">
        <v>3</v>
      </c>
      <c r="R824">
        <v>327.59219999999999</v>
      </c>
      <c r="S824" s="3" t="s">
        <v>65</v>
      </c>
      <c r="T824">
        <v>2017</v>
      </c>
      <c r="U824" t="s">
        <v>118</v>
      </c>
      <c r="V824" s="2">
        <v>0.26</v>
      </c>
    </row>
    <row r="825" spans="1:22" x14ac:dyDescent="0.25">
      <c r="A825" t="s">
        <v>2645</v>
      </c>
      <c r="B825" s="1">
        <v>42621</v>
      </c>
      <c r="C825" s="1">
        <v>42625</v>
      </c>
      <c r="D825" t="s">
        <v>23</v>
      </c>
      <c r="E825" t="s">
        <v>2121</v>
      </c>
      <c r="F825" t="s">
        <v>2122</v>
      </c>
      <c r="G825" t="s">
        <v>59</v>
      </c>
      <c r="H825" t="s">
        <v>27</v>
      </c>
      <c r="I825" t="s">
        <v>262</v>
      </c>
      <c r="J825" t="s">
        <v>61</v>
      </c>
      <c r="K825" t="s">
        <v>62</v>
      </c>
      <c r="L825" t="s">
        <v>1598</v>
      </c>
      <c r="M825" t="s">
        <v>32</v>
      </c>
      <c r="N825" t="s">
        <v>33</v>
      </c>
      <c r="O825" t="s">
        <v>1599</v>
      </c>
      <c r="P825">
        <v>59.96</v>
      </c>
      <c r="Q825">
        <v>5</v>
      </c>
      <c r="R825">
        <v>21.735499999999998</v>
      </c>
      <c r="S825" s="3" t="s">
        <v>53</v>
      </c>
      <c r="T825">
        <v>2016</v>
      </c>
      <c r="U825" t="s">
        <v>81</v>
      </c>
      <c r="V825" s="2">
        <v>0.36249999999999999</v>
      </c>
    </row>
    <row r="826" spans="1:22" x14ac:dyDescent="0.25">
      <c r="A826" t="s">
        <v>2646</v>
      </c>
      <c r="B826" s="1">
        <v>42689</v>
      </c>
      <c r="C826" s="1">
        <v>42693</v>
      </c>
      <c r="D826" t="s">
        <v>23</v>
      </c>
      <c r="E826" t="s">
        <v>2400</v>
      </c>
      <c r="F826" t="s">
        <v>2401</v>
      </c>
      <c r="G826" t="s">
        <v>59</v>
      </c>
      <c r="H826" t="s">
        <v>27</v>
      </c>
      <c r="I826" t="s">
        <v>300</v>
      </c>
      <c r="J826" t="s">
        <v>29</v>
      </c>
      <c r="K826" t="s">
        <v>30</v>
      </c>
      <c r="L826" t="s">
        <v>1137</v>
      </c>
      <c r="M826" t="s">
        <v>32</v>
      </c>
      <c r="N826" t="s">
        <v>33</v>
      </c>
      <c r="O826" t="s">
        <v>1138</v>
      </c>
      <c r="P826">
        <v>361.37599999999998</v>
      </c>
      <c r="Q826">
        <v>2</v>
      </c>
      <c r="R826">
        <v>27.103200000000001</v>
      </c>
      <c r="S826" s="3" t="s">
        <v>53</v>
      </c>
      <c r="T826">
        <v>2016</v>
      </c>
      <c r="U826" t="s">
        <v>118</v>
      </c>
      <c r="V826" s="2">
        <v>7.4999999999999997E-2</v>
      </c>
    </row>
    <row r="827" spans="1:22" x14ac:dyDescent="0.25">
      <c r="A827" t="s">
        <v>2647</v>
      </c>
      <c r="B827" s="1">
        <v>42190</v>
      </c>
      <c r="C827" s="1">
        <v>42195</v>
      </c>
      <c r="D827" t="s">
        <v>23</v>
      </c>
      <c r="E827" t="s">
        <v>1671</v>
      </c>
      <c r="F827" t="s">
        <v>1672</v>
      </c>
      <c r="G827" t="s">
        <v>26</v>
      </c>
      <c r="H827" t="s">
        <v>27</v>
      </c>
      <c r="I827" t="s">
        <v>206</v>
      </c>
      <c r="J827" t="s">
        <v>207</v>
      </c>
      <c r="K827" t="s">
        <v>95</v>
      </c>
      <c r="L827" t="s">
        <v>234</v>
      </c>
      <c r="M827" t="s">
        <v>32</v>
      </c>
      <c r="N827" t="s">
        <v>51</v>
      </c>
      <c r="O827" t="s">
        <v>235</v>
      </c>
      <c r="P827">
        <v>34.799999999999997</v>
      </c>
      <c r="Q827">
        <v>3</v>
      </c>
      <c r="R827">
        <v>2.1749999999999998</v>
      </c>
      <c r="S827" s="3" t="s">
        <v>35</v>
      </c>
      <c r="T827">
        <v>2015</v>
      </c>
      <c r="U827" t="s">
        <v>332</v>
      </c>
      <c r="V827" s="2">
        <v>6.25E-2</v>
      </c>
    </row>
    <row r="828" spans="1:22" x14ac:dyDescent="0.25">
      <c r="A828" t="s">
        <v>2648</v>
      </c>
      <c r="B828" s="1">
        <v>41811</v>
      </c>
      <c r="C828" s="1">
        <v>41814</v>
      </c>
      <c r="D828" t="s">
        <v>56</v>
      </c>
      <c r="E828" t="s">
        <v>2127</v>
      </c>
      <c r="F828" t="s">
        <v>2128</v>
      </c>
      <c r="G828" t="s">
        <v>26</v>
      </c>
      <c r="H828" t="s">
        <v>27</v>
      </c>
      <c r="I828" t="s">
        <v>103</v>
      </c>
      <c r="J828" t="s">
        <v>104</v>
      </c>
      <c r="K828" t="s">
        <v>95</v>
      </c>
      <c r="L828" t="s">
        <v>609</v>
      </c>
      <c r="M828" t="s">
        <v>32</v>
      </c>
      <c r="N828" t="s">
        <v>33</v>
      </c>
      <c r="O828" t="s">
        <v>610</v>
      </c>
      <c r="P828">
        <v>617.97</v>
      </c>
      <c r="Q828">
        <v>3</v>
      </c>
      <c r="R828">
        <v>160.6722</v>
      </c>
      <c r="S828" s="3" t="s">
        <v>172</v>
      </c>
      <c r="T828">
        <v>2014</v>
      </c>
      <c r="U828" t="s">
        <v>36</v>
      </c>
      <c r="V828" s="2">
        <v>0.26</v>
      </c>
    </row>
    <row r="829" spans="1:22" x14ac:dyDescent="0.25">
      <c r="A829" t="s">
        <v>2649</v>
      </c>
      <c r="B829" s="1">
        <v>41972</v>
      </c>
      <c r="C829" s="1">
        <v>41979</v>
      </c>
      <c r="D829" t="s">
        <v>23</v>
      </c>
      <c r="E829" t="s">
        <v>322</v>
      </c>
      <c r="F829" t="s">
        <v>323</v>
      </c>
      <c r="G829" t="s">
        <v>26</v>
      </c>
      <c r="H829" t="s">
        <v>27</v>
      </c>
      <c r="I829" t="s">
        <v>43</v>
      </c>
      <c r="J829" t="s">
        <v>29</v>
      </c>
      <c r="K829" t="s">
        <v>30</v>
      </c>
      <c r="L829" t="s">
        <v>1092</v>
      </c>
      <c r="M829" t="s">
        <v>32</v>
      </c>
      <c r="N829" t="s">
        <v>33</v>
      </c>
      <c r="O829" t="s">
        <v>1093</v>
      </c>
      <c r="P829">
        <v>575.91999999999996</v>
      </c>
      <c r="Q829">
        <v>2</v>
      </c>
      <c r="R829">
        <v>71.989999999999995</v>
      </c>
      <c r="S829" s="3" t="s">
        <v>132</v>
      </c>
      <c r="T829">
        <v>2014</v>
      </c>
      <c r="U829" t="s">
        <v>118</v>
      </c>
      <c r="V829" s="2">
        <v>0.125</v>
      </c>
    </row>
    <row r="830" spans="1:22" x14ac:dyDescent="0.25">
      <c r="A830" t="s">
        <v>2650</v>
      </c>
      <c r="B830" s="1">
        <v>42873</v>
      </c>
      <c r="C830" s="1">
        <v>42874</v>
      </c>
      <c r="D830" t="s">
        <v>56</v>
      </c>
      <c r="E830" t="s">
        <v>2651</v>
      </c>
      <c r="F830" t="s">
        <v>2652</v>
      </c>
      <c r="G830" t="s">
        <v>59</v>
      </c>
      <c r="H830" t="s">
        <v>27</v>
      </c>
      <c r="I830" t="s">
        <v>2653</v>
      </c>
      <c r="J830" t="s">
        <v>1006</v>
      </c>
      <c r="K830" t="s">
        <v>155</v>
      </c>
      <c r="L830" t="s">
        <v>1345</v>
      </c>
      <c r="M830" t="s">
        <v>32</v>
      </c>
      <c r="N830" t="s">
        <v>33</v>
      </c>
      <c r="O830" t="s">
        <v>1346</v>
      </c>
      <c r="P830">
        <v>34.75</v>
      </c>
      <c r="Q830">
        <v>5</v>
      </c>
      <c r="R830">
        <v>15.637499999999999</v>
      </c>
      <c r="S830" s="3" t="s">
        <v>112</v>
      </c>
      <c r="T830">
        <v>2017</v>
      </c>
      <c r="U830" t="s">
        <v>527</v>
      </c>
      <c r="V830" s="2">
        <v>0.45</v>
      </c>
    </row>
    <row r="831" spans="1:22" x14ac:dyDescent="0.25">
      <c r="A831" t="s">
        <v>2650</v>
      </c>
      <c r="B831" s="1">
        <v>42873</v>
      </c>
      <c r="C831" s="1">
        <v>42874</v>
      </c>
      <c r="D831" t="s">
        <v>56</v>
      </c>
      <c r="E831" t="s">
        <v>2651</v>
      </c>
      <c r="F831" t="s">
        <v>2652</v>
      </c>
      <c r="G831" t="s">
        <v>59</v>
      </c>
      <c r="H831" t="s">
        <v>27</v>
      </c>
      <c r="I831" t="s">
        <v>2653</v>
      </c>
      <c r="J831" t="s">
        <v>1006</v>
      </c>
      <c r="K831" t="s">
        <v>155</v>
      </c>
      <c r="L831" t="s">
        <v>2056</v>
      </c>
      <c r="M831" t="s">
        <v>32</v>
      </c>
      <c r="N831" t="s">
        <v>33</v>
      </c>
      <c r="O831" t="s">
        <v>2057</v>
      </c>
      <c r="P831">
        <v>55.98</v>
      </c>
      <c r="Q831">
        <v>2</v>
      </c>
      <c r="R831">
        <v>15.6744</v>
      </c>
      <c r="S831" s="3" t="s">
        <v>112</v>
      </c>
      <c r="T831">
        <v>2017</v>
      </c>
      <c r="U831" t="s">
        <v>527</v>
      </c>
      <c r="V831" s="2">
        <v>0.28000000000000003</v>
      </c>
    </row>
    <row r="832" spans="1:22" x14ac:dyDescent="0.25">
      <c r="A832" t="s">
        <v>2654</v>
      </c>
      <c r="B832" s="1">
        <v>42573</v>
      </c>
      <c r="C832" s="1">
        <v>42577</v>
      </c>
      <c r="D832" t="s">
        <v>23</v>
      </c>
      <c r="E832" t="s">
        <v>1645</v>
      </c>
      <c r="F832" t="s">
        <v>1646</v>
      </c>
      <c r="G832" t="s">
        <v>26</v>
      </c>
      <c r="H832" t="s">
        <v>27</v>
      </c>
      <c r="I832" t="s">
        <v>2655</v>
      </c>
      <c r="J832" t="s">
        <v>256</v>
      </c>
      <c r="K832" t="s">
        <v>62</v>
      </c>
      <c r="L832" t="s">
        <v>1198</v>
      </c>
      <c r="M832" t="s">
        <v>32</v>
      </c>
      <c r="N832" t="s">
        <v>51</v>
      </c>
      <c r="O832" t="s">
        <v>1199</v>
      </c>
      <c r="P832">
        <v>109.95</v>
      </c>
      <c r="Q832">
        <v>1</v>
      </c>
      <c r="R832">
        <v>36.283499999999997</v>
      </c>
      <c r="S832" s="3" t="s">
        <v>53</v>
      </c>
      <c r="T832">
        <v>2016</v>
      </c>
      <c r="U832" t="s">
        <v>332</v>
      </c>
      <c r="V832" s="2">
        <v>0.33</v>
      </c>
    </row>
    <row r="833" spans="1:22" x14ac:dyDescent="0.25">
      <c r="A833" t="s">
        <v>2656</v>
      </c>
      <c r="B833" s="1">
        <v>43006</v>
      </c>
      <c r="C833" s="1">
        <v>43009</v>
      </c>
      <c r="D833" t="s">
        <v>56</v>
      </c>
      <c r="E833" t="s">
        <v>719</v>
      </c>
      <c r="F833" t="s">
        <v>720</v>
      </c>
      <c r="G833" t="s">
        <v>70</v>
      </c>
      <c r="H833" t="s">
        <v>27</v>
      </c>
      <c r="I833" t="s">
        <v>146</v>
      </c>
      <c r="J833" t="s">
        <v>147</v>
      </c>
      <c r="K833" t="s">
        <v>30</v>
      </c>
      <c r="L833" t="s">
        <v>208</v>
      </c>
      <c r="M833" t="s">
        <v>32</v>
      </c>
      <c r="N833" t="s">
        <v>51</v>
      </c>
      <c r="O833" t="s">
        <v>209</v>
      </c>
      <c r="P833">
        <v>54.384</v>
      </c>
      <c r="Q833">
        <v>2</v>
      </c>
      <c r="R833">
        <v>1.3595999999999999</v>
      </c>
      <c r="S833" s="3" t="s">
        <v>172</v>
      </c>
      <c r="T833">
        <v>2017</v>
      </c>
      <c r="U833" t="s">
        <v>81</v>
      </c>
      <c r="V833" s="2">
        <v>2.5000000000000001E-2</v>
      </c>
    </row>
    <row r="834" spans="1:22" x14ac:dyDescent="0.25">
      <c r="A834" t="s">
        <v>2657</v>
      </c>
      <c r="B834" s="1">
        <v>43007</v>
      </c>
      <c r="C834" s="1">
        <v>43007</v>
      </c>
      <c r="D834" t="s">
        <v>677</v>
      </c>
      <c r="E834" t="s">
        <v>2450</v>
      </c>
      <c r="F834" t="s">
        <v>2451</v>
      </c>
      <c r="G834" t="s">
        <v>70</v>
      </c>
      <c r="H834" t="s">
        <v>27</v>
      </c>
      <c r="I834" t="s">
        <v>2658</v>
      </c>
      <c r="J834" t="s">
        <v>177</v>
      </c>
      <c r="K834" t="s">
        <v>95</v>
      </c>
      <c r="L834" t="s">
        <v>482</v>
      </c>
      <c r="M834" t="s">
        <v>32</v>
      </c>
      <c r="N834" t="s">
        <v>51</v>
      </c>
      <c r="O834" t="s">
        <v>483</v>
      </c>
      <c r="P834">
        <v>239.976</v>
      </c>
      <c r="Q834">
        <v>3</v>
      </c>
      <c r="R834">
        <v>65.993399999999994</v>
      </c>
      <c r="S834" s="3" t="s">
        <v>683</v>
      </c>
      <c r="T834">
        <v>2017</v>
      </c>
      <c r="U834" t="s">
        <v>81</v>
      </c>
      <c r="V834" s="2">
        <v>0.27500000000000002</v>
      </c>
    </row>
    <row r="835" spans="1:22" x14ac:dyDescent="0.25">
      <c r="A835" t="s">
        <v>2659</v>
      </c>
      <c r="B835" s="1">
        <v>41974</v>
      </c>
      <c r="C835" s="1">
        <v>41976</v>
      </c>
      <c r="D835" t="s">
        <v>40</v>
      </c>
      <c r="E835" t="s">
        <v>762</v>
      </c>
      <c r="F835" t="s">
        <v>763</v>
      </c>
      <c r="G835" t="s">
        <v>26</v>
      </c>
      <c r="H835" t="s">
        <v>27</v>
      </c>
      <c r="I835" t="s">
        <v>176</v>
      </c>
      <c r="J835" t="s">
        <v>177</v>
      </c>
      <c r="K835" t="s">
        <v>95</v>
      </c>
      <c r="L835" t="s">
        <v>2346</v>
      </c>
      <c r="M835" t="s">
        <v>32</v>
      </c>
      <c r="N835" t="s">
        <v>381</v>
      </c>
      <c r="O835" t="s">
        <v>2347</v>
      </c>
      <c r="P835">
        <v>659.98800000000006</v>
      </c>
      <c r="Q835">
        <v>2</v>
      </c>
      <c r="R835">
        <v>109.998</v>
      </c>
      <c r="S835" s="3" t="s">
        <v>65</v>
      </c>
      <c r="T835">
        <v>2014</v>
      </c>
      <c r="U835" t="s">
        <v>66</v>
      </c>
      <c r="V835" s="2">
        <v>0.16666666666666699</v>
      </c>
    </row>
    <row r="836" spans="1:22" x14ac:dyDescent="0.25">
      <c r="A836" t="s">
        <v>2660</v>
      </c>
      <c r="B836" s="1">
        <v>41997</v>
      </c>
      <c r="C836" s="1">
        <v>42002</v>
      </c>
      <c r="D836" t="s">
        <v>23</v>
      </c>
      <c r="E836" t="s">
        <v>1063</v>
      </c>
      <c r="F836" t="s">
        <v>1064</v>
      </c>
      <c r="G836" t="s">
        <v>70</v>
      </c>
      <c r="H836" t="s">
        <v>27</v>
      </c>
      <c r="I836" t="s">
        <v>28</v>
      </c>
      <c r="J836" t="s">
        <v>29</v>
      </c>
      <c r="K836" t="s">
        <v>30</v>
      </c>
      <c r="L836" t="s">
        <v>2661</v>
      </c>
      <c r="M836" t="s">
        <v>32</v>
      </c>
      <c r="N836" t="s">
        <v>33</v>
      </c>
      <c r="O836" t="s">
        <v>2662</v>
      </c>
      <c r="P836">
        <v>173.65600000000001</v>
      </c>
      <c r="Q836">
        <v>7</v>
      </c>
      <c r="R836">
        <v>17.365600000000001</v>
      </c>
      <c r="S836" s="3" t="s">
        <v>35</v>
      </c>
      <c r="T836">
        <v>2014</v>
      </c>
      <c r="U836" t="s">
        <v>66</v>
      </c>
      <c r="V836" s="2">
        <v>0.1</v>
      </c>
    </row>
    <row r="837" spans="1:22" x14ac:dyDescent="0.25">
      <c r="A837" t="s">
        <v>2660</v>
      </c>
      <c r="B837" s="1">
        <v>41997</v>
      </c>
      <c r="C837" s="1">
        <v>42002</v>
      </c>
      <c r="D837" t="s">
        <v>23</v>
      </c>
      <c r="E837" t="s">
        <v>1063</v>
      </c>
      <c r="F837" t="s">
        <v>1064</v>
      </c>
      <c r="G837" t="s">
        <v>70</v>
      </c>
      <c r="H837" t="s">
        <v>27</v>
      </c>
      <c r="I837" t="s">
        <v>28</v>
      </c>
      <c r="J837" t="s">
        <v>29</v>
      </c>
      <c r="K837" t="s">
        <v>30</v>
      </c>
      <c r="L837" t="s">
        <v>406</v>
      </c>
      <c r="M837" t="s">
        <v>32</v>
      </c>
      <c r="N837" t="s">
        <v>51</v>
      </c>
      <c r="O837" t="s">
        <v>407</v>
      </c>
      <c r="P837">
        <v>62.85</v>
      </c>
      <c r="Q837">
        <v>3</v>
      </c>
      <c r="R837">
        <v>13.198499999999999</v>
      </c>
      <c r="S837" s="3" t="s">
        <v>35</v>
      </c>
      <c r="T837">
        <v>2014</v>
      </c>
      <c r="U837" t="s">
        <v>66</v>
      </c>
      <c r="V837" s="2">
        <v>0.21</v>
      </c>
    </row>
    <row r="838" spans="1:22" x14ac:dyDescent="0.25">
      <c r="A838" t="s">
        <v>2660</v>
      </c>
      <c r="B838" s="1">
        <v>41997</v>
      </c>
      <c r="C838" s="1">
        <v>42002</v>
      </c>
      <c r="D838" t="s">
        <v>23</v>
      </c>
      <c r="E838" t="s">
        <v>1063</v>
      </c>
      <c r="F838" t="s">
        <v>1064</v>
      </c>
      <c r="G838" t="s">
        <v>70</v>
      </c>
      <c r="H838" t="s">
        <v>27</v>
      </c>
      <c r="I838" t="s">
        <v>28</v>
      </c>
      <c r="J838" t="s">
        <v>29</v>
      </c>
      <c r="K838" t="s">
        <v>30</v>
      </c>
      <c r="L838" t="s">
        <v>765</v>
      </c>
      <c r="M838" t="s">
        <v>32</v>
      </c>
      <c r="N838" t="s">
        <v>33</v>
      </c>
      <c r="O838" t="s">
        <v>766</v>
      </c>
      <c r="P838">
        <v>818.37599999999998</v>
      </c>
      <c r="Q838">
        <v>3</v>
      </c>
      <c r="R838">
        <v>51.148499999999999</v>
      </c>
      <c r="S838" s="3" t="s">
        <v>35</v>
      </c>
      <c r="T838">
        <v>2014</v>
      </c>
      <c r="U838" t="s">
        <v>66</v>
      </c>
      <c r="V838" s="2">
        <v>6.25E-2</v>
      </c>
    </row>
    <row r="839" spans="1:22" x14ac:dyDescent="0.25">
      <c r="A839" t="s">
        <v>2663</v>
      </c>
      <c r="B839" s="1">
        <v>41690</v>
      </c>
      <c r="C839" s="1">
        <v>41696</v>
      </c>
      <c r="D839" t="s">
        <v>23</v>
      </c>
      <c r="E839" t="s">
        <v>75</v>
      </c>
      <c r="F839" t="s">
        <v>76</v>
      </c>
      <c r="G839" t="s">
        <v>59</v>
      </c>
      <c r="H839" t="s">
        <v>27</v>
      </c>
      <c r="I839" t="s">
        <v>2225</v>
      </c>
      <c r="J839" t="s">
        <v>669</v>
      </c>
      <c r="K839" t="s">
        <v>62</v>
      </c>
      <c r="L839" t="s">
        <v>1504</v>
      </c>
      <c r="M839" t="s">
        <v>32</v>
      </c>
      <c r="N839" t="s">
        <v>51</v>
      </c>
      <c r="O839" t="s">
        <v>1505</v>
      </c>
      <c r="P839">
        <v>62.31</v>
      </c>
      <c r="Q839">
        <v>3</v>
      </c>
      <c r="R839">
        <v>22.4316</v>
      </c>
      <c r="S839" s="3" t="s">
        <v>107</v>
      </c>
      <c r="T839">
        <v>2014</v>
      </c>
      <c r="U839" t="s">
        <v>180</v>
      </c>
      <c r="V839" s="2">
        <v>0.36</v>
      </c>
    </row>
    <row r="840" spans="1:22" x14ac:dyDescent="0.25">
      <c r="A840" t="s">
        <v>2664</v>
      </c>
      <c r="B840" s="1">
        <v>42933</v>
      </c>
      <c r="C840" s="1">
        <v>42939</v>
      </c>
      <c r="D840" t="s">
        <v>23</v>
      </c>
      <c r="E840" t="s">
        <v>863</v>
      </c>
      <c r="F840" t="s">
        <v>864</v>
      </c>
      <c r="G840" t="s">
        <v>70</v>
      </c>
      <c r="H840" t="s">
        <v>27</v>
      </c>
      <c r="I840" t="s">
        <v>2665</v>
      </c>
      <c r="J840" t="s">
        <v>104</v>
      </c>
      <c r="K840" t="s">
        <v>95</v>
      </c>
      <c r="L840" t="s">
        <v>201</v>
      </c>
      <c r="M840" t="s">
        <v>32</v>
      </c>
      <c r="N840" t="s">
        <v>33</v>
      </c>
      <c r="O840" t="s">
        <v>202</v>
      </c>
      <c r="P840">
        <v>269.98</v>
      </c>
      <c r="Q840">
        <v>2</v>
      </c>
      <c r="R840">
        <v>67.495000000000005</v>
      </c>
      <c r="S840" s="3" t="s">
        <v>107</v>
      </c>
      <c r="T840">
        <v>2017</v>
      </c>
      <c r="U840" t="s">
        <v>332</v>
      </c>
      <c r="V840" s="2">
        <v>0.25</v>
      </c>
    </row>
    <row r="841" spans="1:22" x14ac:dyDescent="0.25">
      <c r="A841" t="s">
        <v>2666</v>
      </c>
      <c r="B841" s="1">
        <v>42986</v>
      </c>
      <c r="C841" s="1">
        <v>42988</v>
      </c>
      <c r="D841" t="s">
        <v>40</v>
      </c>
      <c r="E841" t="s">
        <v>707</v>
      </c>
      <c r="F841" t="s">
        <v>708</v>
      </c>
      <c r="G841" t="s">
        <v>59</v>
      </c>
      <c r="H841" t="s">
        <v>27</v>
      </c>
      <c r="I841" t="s">
        <v>1647</v>
      </c>
      <c r="J841" t="s">
        <v>177</v>
      </c>
      <c r="K841" t="s">
        <v>95</v>
      </c>
      <c r="L841" t="s">
        <v>1713</v>
      </c>
      <c r="M841" t="s">
        <v>32</v>
      </c>
      <c r="N841" t="s">
        <v>51</v>
      </c>
      <c r="O841" t="s">
        <v>1714</v>
      </c>
      <c r="P841">
        <v>116.83199999999999</v>
      </c>
      <c r="Q841">
        <v>4</v>
      </c>
      <c r="R841">
        <v>33.589199999999998</v>
      </c>
      <c r="S841" s="3" t="s">
        <v>65</v>
      </c>
      <c r="T841">
        <v>2017</v>
      </c>
      <c r="U841" t="s">
        <v>81</v>
      </c>
      <c r="V841" s="2">
        <v>0.28749999999999998</v>
      </c>
    </row>
    <row r="842" spans="1:22" x14ac:dyDescent="0.25">
      <c r="A842" t="s">
        <v>2667</v>
      </c>
      <c r="B842" s="1">
        <v>42062</v>
      </c>
      <c r="C842" s="1">
        <v>42065</v>
      </c>
      <c r="D842" t="s">
        <v>23</v>
      </c>
      <c r="E842" t="s">
        <v>565</v>
      </c>
      <c r="F842" t="s">
        <v>566</v>
      </c>
      <c r="G842" t="s">
        <v>59</v>
      </c>
      <c r="H842" t="s">
        <v>27</v>
      </c>
      <c r="I842" t="s">
        <v>2668</v>
      </c>
      <c r="J842" t="s">
        <v>1721</v>
      </c>
      <c r="K842" t="s">
        <v>95</v>
      </c>
      <c r="L842" t="s">
        <v>595</v>
      </c>
      <c r="M842" t="s">
        <v>32</v>
      </c>
      <c r="N842" t="s">
        <v>33</v>
      </c>
      <c r="O842" t="s">
        <v>596</v>
      </c>
      <c r="P842">
        <v>105.98</v>
      </c>
      <c r="Q842">
        <v>2</v>
      </c>
      <c r="R842">
        <v>1.0598000000000001</v>
      </c>
      <c r="S842" s="3" t="s">
        <v>172</v>
      </c>
      <c r="T842">
        <v>2015</v>
      </c>
      <c r="U842" t="s">
        <v>180</v>
      </c>
      <c r="V842" s="2">
        <v>0.01</v>
      </c>
    </row>
    <row r="843" spans="1:22" x14ac:dyDescent="0.25">
      <c r="A843" t="s">
        <v>2669</v>
      </c>
      <c r="B843" s="1">
        <v>42197</v>
      </c>
      <c r="C843" s="1">
        <v>42202</v>
      </c>
      <c r="D843" t="s">
        <v>40</v>
      </c>
      <c r="E843" t="s">
        <v>552</v>
      </c>
      <c r="F843" t="s">
        <v>553</v>
      </c>
      <c r="G843" t="s">
        <v>26</v>
      </c>
      <c r="H843" t="s">
        <v>27</v>
      </c>
      <c r="I843" t="s">
        <v>140</v>
      </c>
      <c r="J843" t="s">
        <v>78</v>
      </c>
      <c r="K843" t="s">
        <v>62</v>
      </c>
      <c r="L843" t="s">
        <v>1111</v>
      </c>
      <c r="M843" t="s">
        <v>32</v>
      </c>
      <c r="N843" t="s">
        <v>33</v>
      </c>
      <c r="O843" t="s">
        <v>1112</v>
      </c>
      <c r="P843">
        <v>148.47999999999999</v>
      </c>
      <c r="Q843">
        <v>2</v>
      </c>
      <c r="R843">
        <v>16.704000000000001</v>
      </c>
      <c r="S843" s="3" t="s">
        <v>35</v>
      </c>
      <c r="T843">
        <v>2015</v>
      </c>
      <c r="U843" t="s">
        <v>332</v>
      </c>
      <c r="V843" s="2">
        <v>0.1125</v>
      </c>
    </row>
    <row r="844" spans="1:22" x14ac:dyDescent="0.25">
      <c r="A844" t="s">
        <v>2669</v>
      </c>
      <c r="B844" s="1">
        <v>42197</v>
      </c>
      <c r="C844" s="1">
        <v>42202</v>
      </c>
      <c r="D844" t="s">
        <v>40</v>
      </c>
      <c r="E844" t="s">
        <v>552</v>
      </c>
      <c r="F844" t="s">
        <v>553</v>
      </c>
      <c r="G844" t="s">
        <v>26</v>
      </c>
      <c r="H844" t="s">
        <v>27</v>
      </c>
      <c r="I844" t="s">
        <v>140</v>
      </c>
      <c r="J844" t="s">
        <v>78</v>
      </c>
      <c r="K844" t="s">
        <v>62</v>
      </c>
      <c r="L844" t="s">
        <v>2077</v>
      </c>
      <c r="M844" t="s">
        <v>32</v>
      </c>
      <c r="N844" t="s">
        <v>33</v>
      </c>
      <c r="O844" t="s">
        <v>2078</v>
      </c>
      <c r="P844">
        <v>537.54399999999998</v>
      </c>
      <c r="Q844">
        <v>7</v>
      </c>
      <c r="R844">
        <v>53.754399999999997</v>
      </c>
      <c r="S844" s="3" t="s">
        <v>35</v>
      </c>
      <c r="T844">
        <v>2015</v>
      </c>
      <c r="U844" t="s">
        <v>332</v>
      </c>
      <c r="V844" s="2">
        <v>0.1</v>
      </c>
    </row>
    <row r="845" spans="1:22" x14ac:dyDescent="0.25">
      <c r="A845" t="s">
        <v>2669</v>
      </c>
      <c r="B845" s="1">
        <v>42197</v>
      </c>
      <c r="C845" s="1">
        <v>42202</v>
      </c>
      <c r="D845" t="s">
        <v>40</v>
      </c>
      <c r="E845" t="s">
        <v>552</v>
      </c>
      <c r="F845" t="s">
        <v>553</v>
      </c>
      <c r="G845" t="s">
        <v>26</v>
      </c>
      <c r="H845" t="s">
        <v>27</v>
      </c>
      <c r="I845" t="s">
        <v>140</v>
      </c>
      <c r="J845" t="s">
        <v>78</v>
      </c>
      <c r="K845" t="s">
        <v>62</v>
      </c>
      <c r="L845" t="s">
        <v>609</v>
      </c>
      <c r="M845" t="s">
        <v>32</v>
      </c>
      <c r="N845" t="s">
        <v>33</v>
      </c>
      <c r="O845" t="s">
        <v>610</v>
      </c>
      <c r="P845">
        <v>659.16800000000001</v>
      </c>
      <c r="Q845">
        <v>4</v>
      </c>
      <c r="R845">
        <v>49.437600000000003</v>
      </c>
      <c r="S845" s="3" t="s">
        <v>35</v>
      </c>
      <c r="T845">
        <v>2015</v>
      </c>
      <c r="U845" t="s">
        <v>332</v>
      </c>
      <c r="V845" s="2">
        <v>7.4999999999999997E-2</v>
      </c>
    </row>
    <row r="846" spans="1:22" x14ac:dyDescent="0.25">
      <c r="A846" t="s">
        <v>2670</v>
      </c>
      <c r="B846" s="1">
        <v>42342</v>
      </c>
      <c r="C846" s="1">
        <v>42347</v>
      </c>
      <c r="D846" t="s">
        <v>40</v>
      </c>
      <c r="E846" t="s">
        <v>1146</v>
      </c>
      <c r="F846" t="s">
        <v>1147</v>
      </c>
      <c r="G846" t="s">
        <v>59</v>
      </c>
      <c r="H846" t="s">
        <v>27</v>
      </c>
      <c r="I846" t="s">
        <v>28</v>
      </c>
      <c r="J846" t="s">
        <v>29</v>
      </c>
      <c r="K846" t="s">
        <v>30</v>
      </c>
      <c r="L846" t="s">
        <v>2671</v>
      </c>
      <c r="M846" t="s">
        <v>32</v>
      </c>
      <c r="N846" t="s">
        <v>33</v>
      </c>
      <c r="O846" t="s">
        <v>2672</v>
      </c>
      <c r="P846">
        <v>110.352</v>
      </c>
      <c r="Q846">
        <v>3</v>
      </c>
      <c r="R846">
        <v>8.2764000000000006</v>
      </c>
      <c r="S846" s="3" t="s">
        <v>35</v>
      </c>
      <c r="T846">
        <v>2015</v>
      </c>
      <c r="U846" t="s">
        <v>66</v>
      </c>
      <c r="V846" s="2">
        <v>7.4999999999999997E-2</v>
      </c>
    </row>
    <row r="847" spans="1:22" x14ac:dyDescent="0.25">
      <c r="A847" t="s">
        <v>2673</v>
      </c>
      <c r="B847" s="1">
        <v>42933</v>
      </c>
      <c r="C847" s="1">
        <v>42937</v>
      </c>
      <c r="D847" t="s">
        <v>23</v>
      </c>
      <c r="E847" t="s">
        <v>1131</v>
      </c>
      <c r="F847" t="s">
        <v>1132</v>
      </c>
      <c r="G847" t="s">
        <v>70</v>
      </c>
      <c r="H847" t="s">
        <v>27</v>
      </c>
      <c r="I847" t="s">
        <v>28</v>
      </c>
      <c r="J847" t="s">
        <v>29</v>
      </c>
      <c r="K847" t="s">
        <v>30</v>
      </c>
      <c r="L847" t="s">
        <v>1025</v>
      </c>
      <c r="M847" t="s">
        <v>32</v>
      </c>
      <c r="N847" t="s">
        <v>381</v>
      </c>
      <c r="O847" t="s">
        <v>1026</v>
      </c>
      <c r="P847">
        <v>479.98399999999998</v>
      </c>
      <c r="Q847">
        <v>2</v>
      </c>
      <c r="R847">
        <v>89.997</v>
      </c>
      <c r="S847" s="3" t="s">
        <v>53</v>
      </c>
      <c r="T847">
        <v>2017</v>
      </c>
      <c r="U847" t="s">
        <v>332</v>
      </c>
      <c r="V847" s="2">
        <v>0.1875</v>
      </c>
    </row>
    <row r="848" spans="1:22" x14ac:dyDescent="0.25">
      <c r="A848" t="s">
        <v>2674</v>
      </c>
      <c r="B848" s="1">
        <v>42716</v>
      </c>
      <c r="C848" s="1">
        <v>42722</v>
      </c>
      <c r="D848" t="s">
        <v>23</v>
      </c>
      <c r="E848" t="s">
        <v>2220</v>
      </c>
      <c r="F848" t="s">
        <v>2221</v>
      </c>
      <c r="G848" t="s">
        <v>70</v>
      </c>
      <c r="H848" t="s">
        <v>27</v>
      </c>
      <c r="I848" t="s">
        <v>687</v>
      </c>
      <c r="J848" t="s">
        <v>256</v>
      </c>
      <c r="K848" t="s">
        <v>62</v>
      </c>
      <c r="L848" t="s">
        <v>638</v>
      </c>
      <c r="M848" t="s">
        <v>32</v>
      </c>
      <c r="N848" t="s">
        <v>33</v>
      </c>
      <c r="O848" t="s">
        <v>639</v>
      </c>
      <c r="P848">
        <v>657.93</v>
      </c>
      <c r="Q848">
        <v>7</v>
      </c>
      <c r="R848">
        <v>184.22040000000001</v>
      </c>
      <c r="S848" s="3" t="s">
        <v>107</v>
      </c>
      <c r="T848">
        <v>2016</v>
      </c>
      <c r="U848" t="s">
        <v>66</v>
      </c>
      <c r="V848" s="2">
        <v>0.28000000000000003</v>
      </c>
    </row>
    <row r="849" spans="1:22" x14ac:dyDescent="0.25">
      <c r="A849" t="s">
        <v>2675</v>
      </c>
      <c r="B849" s="1">
        <v>42216</v>
      </c>
      <c r="C849" s="1">
        <v>42222</v>
      </c>
      <c r="D849" t="s">
        <v>23</v>
      </c>
      <c r="E849" t="s">
        <v>657</v>
      </c>
      <c r="F849" t="s">
        <v>658</v>
      </c>
      <c r="G849" t="s">
        <v>59</v>
      </c>
      <c r="H849" t="s">
        <v>27</v>
      </c>
      <c r="I849" t="s">
        <v>2676</v>
      </c>
      <c r="J849" t="s">
        <v>688</v>
      </c>
      <c r="K849" t="s">
        <v>155</v>
      </c>
      <c r="L849" t="s">
        <v>325</v>
      </c>
      <c r="M849" t="s">
        <v>32</v>
      </c>
      <c r="N849" t="s">
        <v>51</v>
      </c>
      <c r="O849" t="s">
        <v>326</v>
      </c>
      <c r="P849">
        <v>239.7</v>
      </c>
      <c r="Q849">
        <v>6</v>
      </c>
      <c r="R849">
        <v>105.468</v>
      </c>
      <c r="S849" s="3" t="s">
        <v>107</v>
      </c>
      <c r="T849">
        <v>2015</v>
      </c>
      <c r="U849" t="s">
        <v>332</v>
      </c>
      <c r="V849" s="2">
        <v>0.44</v>
      </c>
    </row>
    <row r="850" spans="1:22" x14ac:dyDescent="0.25">
      <c r="A850" t="s">
        <v>2677</v>
      </c>
      <c r="B850" s="1">
        <v>42730</v>
      </c>
      <c r="C850" s="1">
        <v>42735</v>
      </c>
      <c r="D850" t="s">
        <v>23</v>
      </c>
      <c r="E850" t="s">
        <v>2678</v>
      </c>
      <c r="F850" t="s">
        <v>2679</v>
      </c>
      <c r="G850" t="s">
        <v>59</v>
      </c>
      <c r="H850" t="s">
        <v>27</v>
      </c>
      <c r="I850" t="s">
        <v>28</v>
      </c>
      <c r="J850" t="s">
        <v>29</v>
      </c>
      <c r="K850" t="s">
        <v>30</v>
      </c>
      <c r="L850" t="s">
        <v>31</v>
      </c>
      <c r="M850" t="s">
        <v>32</v>
      </c>
      <c r="N850" t="s">
        <v>33</v>
      </c>
      <c r="O850" t="s">
        <v>34</v>
      </c>
      <c r="P850">
        <v>302.38400000000001</v>
      </c>
      <c r="Q850">
        <v>2</v>
      </c>
      <c r="R850">
        <v>30.238399999999999</v>
      </c>
      <c r="S850" s="3" t="s">
        <v>35</v>
      </c>
      <c r="T850">
        <v>2016</v>
      </c>
      <c r="U850" t="s">
        <v>66</v>
      </c>
      <c r="V850" s="2">
        <v>0.1</v>
      </c>
    </row>
    <row r="851" spans="1:22" x14ac:dyDescent="0.25">
      <c r="A851" t="s">
        <v>2680</v>
      </c>
      <c r="B851" s="1">
        <v>42150</v>
      </c>
      <c r="C851" s="1">
        <v>42153</v>
      </c>
      <c r="D851" t="s">
        <v>40</v>
      </c>
      <c r="E851" t="s">
        <v>1063</v>
      </c>
      <c r="F851" t="s">
        <v>1064</v>
      </c>
      <c r="G851" t="s">
        <v>70</v>
      </c>
      <c r="H851" t="s">
        <v>27</v>
      </c>
      <c r="I851" t="s">
        <v>460</v>
      </c>
      <c r="J851" t="s">
        <v>154</v>
      </c>
      <c r="K851" t="s">
        <v>155</v>
      </c>
      <c r="L851" t="s">
        <v>330</v>
      </c>
      <c r="M851" t="s">
        <v>32</v>
      </c>
      <c r="N851" t="s">
        <v>51</v>
      </c>
      <c r="O851" t="s">
        <v>331</v>
      </c>
      <c r="P851">
        <v>167.94399999999999</v>
      </c>
      <c r="Q851">
        <v>7</v>
      </c>
      <c r="R851">
        <v>50.383200000000002</v>
      </c>
      <c r="S851" s="3" t="s">
        <v>172</v>
      </c>
      <c r="T851">
        <v>2015</v>
      </c>
      <c r="U851" t="s">
        <v>527</v>
      </c>
      <c r="V851" s="2">
        <v>0.3</v>
      </c>
    </row>
    <row r="852" spans="1:22" x14ac:dyDescent="0.25">
      <c r="A852" t="s">
        <v>2681</v>
      </c>
      <c r="B852" s="1">
        <v>42152</v>
      </c>
      <c r="C852" s="1">
        <v>42157</v>
      </c>
      <c r="D852" t="s">
        <v>23</v>
      </c>
      <c r="E852" t="s">
        <v>2081</v>
      </c>
      <c r="F852" t="s">
        <v>2082</v>
      </c>
      <c r="G852" t="s">
        <v>26</v>
      </c>
      <c r="H852" t="s">
        <v>27</v>
      </c>
      <c r="I852" t="s">
        <v>129</v>
      </c>
      <c r="J852" t="s">
        <v>104</v>
      </c>
      <c r="K852" t="s">
        <v>95</v>
      </c>
      <c r="L852" t="s">
        <v>79</v>
      </c>
      <c r="M852" t="s">
        <v>32</v>
      </c>
      <c r="N852" t="s">
        <v>33</v>
      </c>
      <c r="O852" t="s">
        <v>80</v>
      </c>
      <c r="P852">
        <v>45.99</v>
      </c>
      <c r="Q852">
        <v>1</v>
      </c>
      <c r="R852">
        <v>13.3371</v>
      </c>
      <c r="S852" s="3" t="s">
        <v>35</v>
      </c>
      <c r="T852">
        <v>2015</v>
      </c>
      <c r="U852" t="s">
        <v>527</v>
      </c>
      <c r="V852" s="2">
        <v>0.28999999999999998</v>
      </c>
    </row>
    <row r="853" spans="1:22" x14ac:dyDescent="0.25">
      <c r="A853" t="s">
        <v>2682</v>
      </c>
      <c r="B853" s="1">
        <v>42251</v>
      </c>
      <c r="C853" s="1">
        <v>42254</v>
      </c>
      <c r="D853" t="s">
        <v>40</v>
      </c>
      <c r="E853" t="s">
        <v>2683</v>
      </c>
      <c r="F853" t="s">
        <v>2684</v>
      </c>
      <c r="G853" t="s">
        <v>59</v>
      </c>
      <c r="H853" t="s">
        <v>27</v>
      </c>
      <c r="I853" t="s">
        <v>71</v>
      </c>
      <c r="J853" t="s">
        <v>61</v>
      </c>
      <c r="K853" t="s">
        <v>62</v>
      </c>
      <c r="L853" t="s">
        <v>271</v>
      </c>
      <c r="M853" t="s">
        <v>32</v>
      </c>
      <c r="N853" t="s">
        <v>51</v>
      </c>
      <c r="O853" t="s">
        <v>272</v>
      </c>
      <c r="P853">
        <v>134.376</v>
      </c>
      <c r="Q853">
        <v>3</v>
      </c>
      <c r="R853">
        <v>6.7187999999999999</v>
      </c>
      <c r="S853" s="3" t="s">
        <v>172</v>
      </c>
      <c r="T853">
        <v>2015</v>
      </c>
      <c r="U853" t="s">
        <v>81</v>
      </c>
      <c r="V853" s="2">
        <v>0.05</v>
      </c>
    </row>
    <row r="854" spans="1:22" x14ac:dyDescent="0.25">
      <c r="A854" t="s">
        <v>2685</v>
      </c>
      <c r="B854" s="1">
        <v>42268</v>
      </c>
      <c r="C854" s="1">
        <v>42273</v>
      </c>
      <c r="D854" t="s">
        <v>23</v>
      </c>
      <c r="E854" t="s">
        <v>849</v>
      </c>
      <c r="F854" t="s">
        <v>850</v>
      </c>
      <c r="G854" t="s">
        <v>70</v>
      </c>
      <c r="H854" t="s">
        <v>27</v>
      </c>
      <c r="I854" t="s">
        <v>1248</v>
      </c>
      <c r="J854" t="s">
        <v>1249</v>
      </c>
      <c r="K854" t="s">
        <v>95</v>
      </c>
      <c r="L854" t="s">
        <v>2228</v>
      </c>
      <c r="M854" t="s">
        <v>32</v>
      </c>
      <c r="N854" t="s">
        <v>33</v>
      </c>
      <c r="O854" t="s">
        <v>2229</v>
      </c>
      <c r="P854">
        <v>589.9</v>
      </c>
      <c r="Q854">
        <v>2</v>
      </c>
      <c r="R854">
        <v>147.47499999999999</v>
      </c>
      <c r="S854" s="3" t="s">
        <v>35</v>
      </c>
      <c r="T854">
        <v>2015</v>
      </c>
      <c r="U854" t="s">
        <v>81</v>
      </c>
      <c r="V854" s="2">
        <v>0.25</v>
      </c>
    </row>
    <row r="855" spans="1:22" x14ac:dyDescent="0.25">
      <c r="A855" t="s">
        <v>2686</v>
      </c>
      <c r="B855" s="1">
        <v>43093</v>
      </c>
      <c r="C855" s="1">
        <v>43094</v>
      </c>
      <c r="D855" t="s">
        <v>56</v>
      </c>
      <c r="E855" t="s">
        <v>226</v>
      </c>
      <c r="F855" t="s">
        <v>227</v>
      </c>
      <c r="G855" t="s">
        <v>70</v>
      </c>
      <c r="H855" t="s">
        <v>27</v>
      </c>
      <c r="I855" t="s">
        <v>28</v>
      </c>
      <c r="J855" t="s">
        <v>29</v>
      </c>
      <c r="K855" t="s">
        <v>30</v>
      </c>
      <c r="L855" t="s">
        <v>380</v>
      </c>
      <c r="M855" t="s">
        <v>32</v>
      </c>
      <c r="N855" t="s">
        <v>381</v>
      </c>
      <c r="O855" t="s">
        <v>382</v>
      </c>
      <c r="P855">
        <v>2879.9520000000002</v>
      </c>
      <c r="Q855">
        <v>6</v>
      </c>
      <c r="R855">
        <v>1007.9832</v>
      </c>
      <c r="S855" s="3" t="s">
        <v>112</v>
      </c>
      <c r="T855">
        <v>2017</v>
      </c>
      <c r="U855" t="s">
        <v>66</v>
      </c>
      <c r="V855" s="2">
        <v>0.35</v>
      </c>
    </row>
    <row r="856" spans="1:22" x14ac:dyDescent="0.25">
      <c r="A856" t="s">
        <v>2687</v>
      </c>
      <c r="B856" s="1">
        <v>42624</v>
      </c>
      <c r="C856" s="1">
        <v>42629</v>
      </c>
      <c r="D856" t="s">
        <v>23</v>
      </c>
      <c r="E856" t="s">
        <v>2688</v>
      </c>
      <c r="F856" t="s">
        <v>2689</v>
      </c>
      <c r="G856" t="s">
        <v>26</v>
      </c>
      <c r="H856" t="s">
        <v>27</v>
      </c>
      <c r="I856" t="s">
        <v>2690</v>
      </c>
      <c r="J856" t="s">
        <v>693</v>
      </c>
      <c r="K856" t="s">
        <v>155</v>
      </c>
      <c r="L856" t="s">
        <v>2691</v>
      </c>
      <c r="M856" t="s">
        <v>32</v>
      </c>
      <c r="N856" t="s">
        <v>381</v>
      </c>
      <c r="O856" t="s">
        <v>2692</v>
      </c>
      <c r="P856">
        <v>1599.92</v>
      </c>
      <c r="Q856">
        <v>8</v>
      </c>
      <c r="R856">
        <v>751.9624</v>
      </c>
      <c r="S856" s="3" t="s">
        <v>35</v>
      </c>
      <c r="T856">
        <v>2016</v>
      </c>
      <c r="U856" t="s">
        <v>81</v>
      </c>
      <c r="V856" s="2">
        <v>0.47</v>
      </c>
    </row>
    <row r="857" spans="1:22" x14ac:dyDescent="0.25">
      <c r="A857" t="s">
        <v>2693</v>
      </c>
      <c r="B857" s="1">
        <v>42218</v>
      </c>
      <c r="C857" s="1">
        <v>42222</v>
      </c>
      <c r="D857" t="s">
        <v>23</v>
      </c>
      <c r="E857" t="s">
        <v>2694</v>
      </c>
      <c r="F857" t="s">
        <v>2695</v>
      </c>
      <c r="G857" t="s">
        <v>26</v>
      </c>
      <c r="H857" t="s">
        <v>27</v>
      </c>
      <c r="I857" t="s">
        <v>481</v>
      </c>
      <c r="J857" t="s">
        <v>426</v>
      </c>
      <c r="K857" t="s">
        <v>30</v>
      </c>
      <c r="L857" t="s">
        <v>2083</v>
      </c>
      <c r="M857" t="s">
        <v>32</v>
      </c>
      <c r="N857" t="s">
        <v>215</v>
      </c>
      <c r="O857" t="s">
        <v>2084</v>
      </c>
      <c r="P857">
        <v>558.4</v>
      </c>
      <c r="Q857">
        <v>2</v>
      </c>
      <c r="R857">
        <v>41.88</v>
      </c>
      <c r="S857" s="3" t="s">
        <v>53</v>
      </c>
      <c r="T857">
        <v>2015</v>
      </c>
      <c r="U857" t="s">
        <v>46</v>
      </c>
      <c r="V857" s="2">
        <v>7.4999999999999997E-2</v>
      </c>
    </row>
    <row r="858" spans="1:22" x14ac:dyDescent="0.25">
      <c r="A858" t="s">
        <v>2696</v>
      </c>
      <c r="B858" s="1">
        <v>42127</v>
      </c>
      <c r="C858" s="1">
        <v>42131</v>
      </c>
      <c r="D858" t="s">
        <v>23</v>
      </c>
      <c r="E858" t="s">
        <v>2436</v>
      </c>
      <c r="F858" t="s">
        <v>2437</v>
      </c>
      <c r="G858" t="s">
        <v>26</v>
      </c>
      <c r="H858" t="s">
        <v>27</v>
      </c>
      <c r="I858" t="s">
        <v>206</v>
      </c>
      <c r="J858" t="s">
        <v>207</v>
      </c>
      <c r="K858" t="s">
        <v>95</v>
      </c>
      <c r="L858" t="s">
        <v>2697</v>
      </c>
      <c r="M858" t="s">
        <v>32</v>
      </c>
      <c r="N858" t="s">
        <v>51</v>
      </c>
      <c r="O858" t="s">
        <v>2698</v>
      </c>
      <c r="P858">
        <v>27.552</v>
      </c>
      <c r="Q858">
        <v>3</v>
      </c>
      <c r="R858">
        <v>-0.34439999999999998</v>
      </c>
      <c r="S858" s="3" t="s">
        <v>53</v>
      </c>
      <c r="T858">
        <v>2015</v>
      </c>
      <c r="U858" t="s">
        <v>527</v>
      </c>
      <c r="V858" s="2">
        <v>-1.2500000000000001E-2</v>
      </c>
    </row>
    <row r="859" spans="1:22" x14ac:dyDescent="0.25">
      <c r="A859" t="s">
        <v>2699</v>
      </c>
      <c r="B859" s="1">
        <v>42379</v>
      </c>
      <c r="C859" s="1">
        <v>42386</v>
      </c>
      <c r="D859" t="s">
        <v>23</v>
      </c>
      <c r="E859" t="s">
        <v>2121</v>
      </c>
      <c r="F859" t="s">
        <v>2122</v>
      </c>
      <c r="G859" t="s">
        <v>59</v>
      </c>
      <c r="H859" t="s">
        <v>27</v>
      </c>
      <c r="I859" t="s">
        <v>481</v>
      </c>
      <c r="J859" t="s">
        <v>426</v>
      </c>
      <c r="K859" t="s">
        <v>30</v>
      </c>
      <c r="L859" t="s">
        <v>412</v>
      </c>
      <c r="M859" t="s">
        <v>32</v>
      </c>
      <c r="N859" t="s">
        <v>51</v>
      </c>
      <c r="O859" t="s">
        <v>413</v>
      </c>
      <c r="P859">
        <v>69.98</v>
      </c>
      <c r="Q859">
        <v>2</v>
      </c>
      <c r="R859">
        <v>13.296200000000001</v>
      </c>
      <c r="S859" s="3" t="s">
        <v>132</v>
      </c>
      <c r="T859">
        <v>2016</v>
      </c>
      <c r="U859" t="s">
        <v>54</v>
      </c>
      <c r="V859" s="2">
        <v>0.19</v>
      </c>
    </row>
    <row r="860" spans="1:22" x14ac:dyDescent="0.25">
      <c r="A860" t="s">
        <v>2700</v>
      </c>
      <c r="B860" s="1">
        <v>42582</v>
      </c>
      <c r="C860" s="1">
        <v>42588</v>
      </c>
      <c r="D860" t="s">
        <v>23</v>
      </c>
      <c r="E860" t="s">
        <v>293</v>
      </c>
      <c r="F860" t="s">
        <v>294</v>
      </c>
      <c r="G860" t="s">
        <v>26</v>
      </c>
      <c r="H860" t="s">
        <v>27</v>
      </c>
      <c r="I860" t="s">
        <v>851</v>
      </c>
      <c r="J860" t="s">
        <v>256</v>
      </c>
      <c r="K860" t="s">
        <v>62</v>
      </c>
      <c r="L860" t="s">
        <v>664</v>
      </c>
      <c r="M860" t="s">
        <v>32</v>
      </c>
      <c r="N860" t="s">
        <v>33</v>
      </c>
      <c r="O860" t="s">
        <v>665</v>
      </c>
      <c r="P860">
        <v>635.96</v>
      </c>
      <c r="Q860">
        <v>4</v>
      </c>
      <c r="R860">
        <v>165.34960000000001</v>
      </c>
      <c r="S860" s="3" t="s">
        <v>107</v>
      </c>
      <c r="T860">
        <v>2016</v>
      </c>
      <c r="U860" t="s">
        <v>332</v>
      </c>
      <c r="V860" s="2">
        <v>0.26</v>
      </c>
    </row>
    <row r="861" spans="1:22" x14ac:dyDescent="0.25">
      <c r="A861" t="s">
        <v>2700</v>
      </c>
      <c r="B861" s="1">
        <v>42582</v>
      </c>
      <c r="C861" s="1">
        <v>42588</v>
      </c>
      <c r="D861" t="s">
        <v>23</v>
      </c>
      <c r="E861" t="s">
        <v>293</v>
      </c>
      <c r="F861" t="s">
        <v>294</v>
      </c>
      <c r="G861" t="s">
        <v>26</v>
      </c>
      <c r="H861" t="s">
        <v>27</v>
      </c>
      <c r="I861" t="s">
        <v>851</v>
      </c>
      <c r="J861" t="s">
        <v>256</v>
      </c>
      <c r="K861" t="s">
        <v>62</v>
      </c>
      <c r="L861" t="s">
        <v>1639</v>
      </c>
      <c r="M861" t="s">
        <v>32</v>
      </c>
      <c r="N861" t="s">
        <v>33</v>
      </c>
      <c r="O861" t="s">
        <v>1640</v>
      </c>
      <c r="P861">
        <v>118.99</v>
      </c>
      <c r="Q861">
        <v>1</v>
      </c>
      <c r="R861">
        <v>33.3172</v>
      </c>
      <c r="S861" s="3" t="s">
        <v>107</v>
      </c>
      <c r="T861">
        <v>2016</v>
      </c>
      <c r="U861" t="s">
        <v>332</v>
      </c>
      <c r="V861" s="2">
        <v>0.28000000000000003</v>
      </c>
    </row>
    <row r="862" spans="1:22" x14ac:dyDescent="0.25">
      <c r="A862" t="s">
        <v>2701</v>
      </c>
      <c r="B862" s="1">
        <v>41712</v>
      </c>
      <c r="C862" s="1">
        <v>41717</v>
      </c>
      <c r="D862" t="s">
        <v>23</v>
      </c>
      <c r="E862" t="s">
        <v>2702</v>
      </c>
      <c r="F862" t="s">
        <v>2703</v>
      </c>
      <c r="G862" t="s">
        <v>26</v>
      </c>
      <c r="H862" t="s">
        <v>27</v>
      </c>
      <c r="I862" t="s">
        <v>2704</v>
      </c>
      <c r="J862" t="s">
        <v>1167</v>
      </c>
      <c r="K862" t="s">
        <v>30</v>
      </c>
      <c r="L862" t="s">
        <v>2705</v>
      </c>
      <c r="M862" t="s">
        <v>32</v>
      </c>
      <c r="N862" t="s">
        <v>51</v>
      </c>
      <c r="O862" t="s">
        <v>2706</v>
      </c>
      <c r="P862">
        <v>82.8</v>
      </c>
      <c r="Q862">
        <v>12</v>
      </c>
      <c r="R862">
        <v>6.6239999999999997</v>
      </c>
      <c r="S862" s="3" t="s">
        <v>35</v>
      </c>
      <c r="T862">
        <v>2014</v>
      </c>
      <c r="U862" t="s">
        <v>89</v>
      </c>
      <c r="V862" s="2">
        <v>0.08</v>
      </c>
    </row>
    <row r="863" spans="1:22" x14ac:dyDescent="0.25">
      <c r="A863" t="s">
        <v>2707</v>
      </c>
      <c r="B863" s="1">
        <v>42705</v>
      </c>
      <c r="C863" s="1">
        <v>42705</v>
      </c>
      <c r="D863" t="s">
        <v>677</v>
      </c>
      <c r="E863" t="s">
        <v>420</v>
      </c>
      <c r="F863" t="s">
        <v>421</v>
      </c>
      <c r="G863" t="s">
        <v>26</v>
      </c>
      <c r="H863" t="s">
        <v>27</v>
      </c>
      <c r="I863" t="s">
        <v>1425</v>
      </c>
      <c r="J863" t="s">
        <v>154</v>
      </c>
      <c r="K863" t="s">
        <v>155</v>
      </c>
      <c r="L863" t="s">
        <v>1542</v>
      </c>
      <c r="M863" t="s">
        <v>32</v>
      </c>
      <c r="N863" t="s">
        <v>33</v>
      </c>
      <c r="O863" t="s">
        <v>1543</v>
      </c>
      <c r="P863">
        <v>863.928</v>
      </c>
      <c r="Q863">
        <v>9</v>
      </c>
      <c r="R863">
        <v>86.392799999999994</v>
      </c>
      <c r="S863" s="3" t="s">
        <v>683</v>
      </c>
      <c r="T863">
        <v>2016</v>
      </c>
      <c r="U863" t="s">
        <v>66</v>
      </c>
      <c r="V863" s="2">
        <v>0.1</v>
      </c>
    </row>
    <row r="864" spans="1:22" x14ac:dyDescent="0.25">
      <c r="A864" t="s">
        <v>2708</v>
      </c>
      <c r="B864" s="1">
        <v>42545</v>
      </c>
      <c r="C864" s="1">
        <v>42551</v>
      </c>
      <c r="D864" t="s">
        <v>23</v>
      </c>
      <c r="E864" t="s">
        <v>1008</v>
      </c>
      <c r="F864" t="s">
        <v>1009</v>
      </c>
      <c r="G864" t="s">
        <v>26</v>
      </c>
      <c r="H864" t="s">
        <v>27</v>
      </c>
      <c r="I864" t="s">
        <v>2225</v>
      </c>
      <c r="J864" t="s">
        <v>669</v>
      </c>
      <c r="K864" t="s">
        <v>62</v>
      </c>
      <c r="L864" t="s">
        <v>2709</v>
      </c>
      <c r="M864" t="s">
        <v>32</v>
      </c>
      <c r="N864" t="s">
        <v>33</v>
      </c>
      <c r="O864" t="s">
        <v>2710</v>
      </c>
      <c r="P864">
        <v>440.91</v>
      </c>
      <c r="Q864">
        <v>9</v>
      </c>
      <c r="R864">
        <v>123.45480000000001</v>
      </c>
      <c r="S864" s="3" t="s">
        <v>107</v>
      </c>
      <c r="T864">
        <v>2016</v>
      </c>
      <c r="U864" t="s">
        <v>36</v>
      </c>
      <c r="V864" s="2">
        <v>0.28000000000000003</v>
      </c>
    </row>
    <row r="865" spans="1:22" x14ac:dyDescent="0.25">
      <c r="A865" t="s">
        <v>2711</v>
      </c>
      <c r="B865" s="1">
        <v>41993</v>
      </c>
      <c r="C865" s="1">
        <v>41995</v>
      </c>
      <c r="D865" t="s">
        <v>56</v>
      </c>
      <c r="E865" t="s">
        <v>1657</v>
      </c>
      <c r="F865" t="s">
        <v>1658</v>
      </c>
      <c r="G865" t="s">
        <v>26</v>
      </c>
      <c r="H865" t="s">
        <v>27</v>
      </c>
      <c r="I865" t="s">
        <v>397</v>
      </c>
      <c r="J865" t="s">
        <v>123</v>
      </c>
      <c r="K865" t="s">
        <v>30</v>
      </c>
      <c r="L865" t="s">
        <v>330</v>
      </c>
      <c r="M865" t="s">
        <v>32</v>
      </c>
      <c r="N865" t="s">
        <v>51</v>
      </c>
      <c r="O865" t="s">
        <v>331</v>
      </c>
      <c r="P865">
        <v>71.975999999999999</v>
      </c>
      <c r="Q865">
        <v>3</v>
      </c>
      <c r="R865">
        <v>21.5928</v>
      </c>
      <c r="S865" s="3" t="s">
        <v>65</v>
      </c>
      <c r="T865">
        <v>2014</v>
      </c>
      <c r="U865" t="s">
        <v>66</v>
      </c>
      <c r="V865" s="2">
        <v>0.3</v>
      </c>
    </row>
    <row r="866" spans="1:22" x14ac:dyDescent="0.25">
      <c r="A866" t="s">
        <v>2712</v>
      </c>
      <c r="B866" s="1">
        <v>42915</v>
      </c>
      <c r="C866" s="1">
        <v>42916</v>
      </c>
      <c r="D866" t="s">
        <v>56</v>
      </c>
      <c r="E866" t="s">
        <v>1604</v>
      </c>
      <c r="F866" t="s">
        <v>1605</v>
      </c>
      <c r="G866" t="s">
        <v>26</v>
      </c>
      <c r="H866" t="s">
        <v>27</v>
      </c>
      <c r="I866" t="s">
        <v>28</v>
      </c>
      <c r="J866" t="s">
        <v>29</v>
      </c>
      <c r="K866" t="s">
        <v>30</v>
      </c>
      <c r="L866" t="s">
        <v>1504</v>
      </c>
      <c r="M866" t="s">
        <v>32</v>
      </c>
      <c r="N866" t="s">
        <v>51</v>
      </c>
      <c r="O866" t="s">
        <v>1505</v>
      </c>
      <c r="P866">
        <v>62.31</v>
      </c>
      <c r="Q866">
        <v>3</v>
      </c>
      <c r="R866">
        <v>22.4316</v>
      </c>
      <c r="S866" s="3" t="s">
        <v>112</v>
      </c>
      <c r="T866">
        <v>2017</v>
      </c>
      <c r="U866" t="s">
        <v>36</v>
      </c>
      <c r="V866" s="2">
        <v>0.36</v>
      </c>
    </row>
    <row r="867" spans="1:22" x14ac:dyDescent="0.25">
      <c r="A867" t="s">
        <v>2713</v>
      </c>
      <c r="B867" s="1">
        <v>42873</v>
      </c>
      <c r="C867" s="1">
        <v>42875</v>
      </c>
      <c r="D867" t="s">
        <v>56</v>
      </c>
      <c r="E867" t="s">
        <v>2458</v>
      </c>
      <c r="F867" t="s">
        <v>2459</v>
      </c>
      <c r="G867" t="s">
        <v>26</v>
      </c>
      <c r="H867" t="s">
        <v>27</v>
      </c>
      <c r="I867" t="s">
        <v>339</v>
      </c>
      <c r="J867" t="s">
        <v>340</v>
      </c>
      <c r="K867" t="s">
        <v>30</v>
      </c>
      <c r="L867" t="s">
        <v>1060</v>
      </c>
      <c r="M867" t="s">
        <v>32</v>
      </c>
      <c r="N867" t="s">
        <v>33</v>
      </c>
      <c r="O867" t="s">
        <v>2090</v>
      </c>
      <c r="P867">
        <v>344.70400000000001</v>
      </c>
      <c r="Q867">
        <v>2</v>
      </c>
      <c r="R867">
        <v>38.779200000000003</v>
      </c>
      <c r="S867" s="3" t="s">
        <v>65</v>
      </c>
      <c r="T867">
        <v>2017</v>
      </c>
      <c r="U867" t="s">
        <v>527</v>
      </c>
      <c r="V867" s="2">
        <v>0.1125</v>
      </c>
    </row>
    <row r="868" spans="1:22" x14ac:dyDescent="0.25">
      <c r="A868" t="s">
        <v>2714</v>
      </c>
      <c r="B868" s="1">
        <v>42136</v>
      </c>
      <c r="C868" s="1">
        <v>42140</v>
      </c>
      <c r="D868" t="s">
        <v>23</v>
      </c>
      <c r="E868" t="s">
        <v>2715</v>
      </c>
      <c r="F868" t="s">
        <v>2716</v>
      </c>
      <c r="G868" t="s">
        <v>26</v>
      </c>
      <c r="H868" t="s">
        <v>27</v>
      </c>
      <c r="I868" t="s">
        <v>444</v>
      </c>
      <c r="J868" t="s">
        <v>147</v>
      </c>
      <c r="K868" t="s">
        <v>30</v>
      </c>
      <c r="L868" t="s">
        <v>1290</v>
      </c>
      <c r="M868" t="s">
        <v>32</v>
      </c>
      <c r="N868" t="s">
        <v>33</v>
      </c>
      <c r="O868" t="s">
        <v>1291</v>
      </c>
      <c r="P868">
        <v>201.584</v>
      </c>
      <c r="Q868">
        <v>2</v>
      </c>
      <c r="R868">
        <v>20.1584</v>
      </c>
      <c r="S868" s="3" t="s">
        <v>53</v>
      </c>
      <c r="T868">
        <v>2015</v>
      </c>
      <c r="U868" t="s">
        <v>527</v>
      </c>
      <c r="V868" s="2">
        <v>0.1</v>
      </c>
    </row>
    <row r="869" spans="1:22" x14ac:dyDescent="0.25">
      <c r="A869" t="s">
        <v>2717</v>
      </c>
      <c r="B869" s="1">
        <v>42569</v>
      </c>
      <c r="C869" s="1">
        <v>42574</v>
      </c>
      <c r="D869" t="s">
        <v>40</v>
      </c>
      <c r="E869" t="s">
        <v>1695</v>
      </c>
      <c r="F869" t="s">
        <v>1696</v>
      </c>
      <c r="G869" t="s">
        <v>26</v>
      </c>
      <c r="H869" t="s">
        <v>27</v>
      </c>
      <c r="I869" t="s">
        <v>262</v>
      </c>
      <c r="J869" t="s">
        <v>61</v>
      </c>
      <c r="K869" t="s">
        <v>62</v>
      </c>
      <c r="L869" t="s">
        <v>2718</v>
      </c>
      <c r="M869" t="s">
        <v>32</v>
      </c>
      <c r="N869" t="s">
        <v>51</v>
      </c>
      <c r="O869" t="s">
        <v>2719</v>
      </c>
      <c r="P869">
        <v>15.576000000000001</v>
      </c>
      <c r="Q869">
        <v>3</v>
      </c>
      <c r="R869">
        <v>3.3098999999999998</v>
      </c>
      <c r="S869" s="3" t="s">
        <v>35</v>
      </c>
      <c r="T869">
        <v>2016</v>
      </c>
      <c r="U869" t="s">
        <v>332</v>
      </c>
      <c r="V869" s="2">
        <v>0.21249999999999999</v>
      </c>
    </row>
    <row r="870" spans="1:22" x14ac:dyDescent="0.25">
      <c r="A870" t="s">
        <v>2720</v>
      </c>
      <c r="B870" s="1">
        <v>42092</v>
      </c>
      <c r="C870" s="1">
        <v>42094</v>
      </c>
      <c r="D870" t="s">
        <v>40</v>
      </c>
      <c r="E870" t="s">
        <v>1613</v>
      </c>
      <c r="F870" t="s">
        <v>1614</v>
      </c>
      <c r="G870" t="s">
        <v>26</v>
      </c>
      <c r="H870" t="s">
        <v>27</v>
      </c>
      <c r="I870" t="s">
        <v>300</v>
      </c>
      <c r="J870" t="s">
        <v>29</v>
      </c>
      <c r="K870" t="s">
        <v>30</v>
      </c>
      <c r="L870" t="s">
        <v>1124</v>
      </c>
      <c r="M870" t="s">
        <v>32</v>
      </c>
      <c r="N870" t="s">
        <v>51</v>
      </c>
      <c r="O870" t="s">
        <v>1125</v>
      </c>
      <c r="P870">
        <v>53.25</v>
      </c>
      <c r="Q870">
        <v>3</v>
      </c>
      <c r="R870">
        <v>20.767499999999998</v>
      </c>
      <c r="S870" s="3" t="s">
        <v>65</v>
      </c>
      <c r="T870">
        <v>2015</v>
      </c>
      <c r="U870" t="s">
        <v>89</v>
      </c>
      <c r="V870" s="2">
        <v>0.39</v>
      </c>
    </row>
    <row r="871" spans="1:22" x14ac:dyDescent="0.25">
      <c r="A871" t="s">
        <v>2721</v>
      </c>
      <c r="B871" s="1">
        <v>42168</v>
      </c>
      <c r="C871" s="1">
        <v>42174</v>
      </c>
      <c r="D871" t="s">
        <v>23</v>
      </c>
      <c r="E871" t="s">
        <v>2175</v>
      </c>
      <c r="F871" t="s">
        <v>2176</v>
      </c>
      <c r="G871" t="s">
        <v>70</v>
      </c>
      <c r="H871" t="s">
        <v>27</v>
      </c>
      <c r="I871" t="s">
        <v>2722</v>
      </c>
      <c r="J871" t="s">
        <v>1664</v>
      </c>
      <c r="K871" t="s">
        <v>95</v>
      </c>
      <c r="L871" t="s">
        <v>208</v>
      </c>
      <c r="M871" t="s">
        <v>32</v>
      </c>
      <c r="N871" t="s">
        <v>51</v>
      </c>
      <c r="O871" t="s">
        <v>209</v>
      </c>
      <c r="P871">
        <v>67.98</v>
      </c>
      <c r="Q871">
        <v>2</v>
      </c>
      <c r="R871">
        <v>14.9556</v>
      </c>
      <c r="S871" s="3" t="s">
        <v>107</v>
      </c>
      <c r="T871">
        <v>2015</v>
      </c>
      <c r="U871" t="s">
        <v>36</v>
      </c>
      <c r="V871" s="2">
        <v>0.22</v>
      </c>
    </row>
    <row r="872" spans="1:22" x14ac:dyDescent="0.25">
      <c r="A872" t="s">
        <v>2723</v>
      </c>
      <c r="B872" s="1">
        <v>42650</v>
      </c>
      <c r="C872" s="1">
        <v>42652</v>
      </c>
      <c r="D872" t="s">
        <v>56</v>
      </c>
      <c r="E872" t="s">
        <v>1692</v>
      </c>
      <c r="F872" t="s">
        <v>1693</v>
      </c>
      <c r="G872" t="s">
        <v>59</v>
      </c>
      <c r="H872" t="s">
        <v>27</v>
      </c>
      <c r="I872" t="s">
        <v>2724</v>
      </c>
      <c r="J872" t="s">
        <v>426</v>
      </c>
      <c r="K872" t="s">
        <v>30</v>
      </c>
      <c r="L872" t="s">
        <v>2083</v>
      </c>
      <c r="M872" t="s">
        <v>32</v>
      </c>
      <c r="N872" t="s">
        <v>215</v>
      </c>
      <c r="O872" t="s">
        <v>2084</v>
      </c>
      <c r="P872">
        <v>837.6</v>
      </c>
      <c r="Q872">
        <v>3</v>
      </c>
      <c r="R872">
        <v>62.82</v>
      </c>
      <c r="S872" s="3" t="s">
        <v>65</v>
      </c>
      <c r="T872">
        <v>2016</v>
      </c>
      <c r="U872" t="s">
        <v>133</v>
      </c>
      <c r="V872" s="2">
        <v>7.4999999999999997E-2</v>
      </c>
    </row>
    <row r="873" spans="1:22" x14ac:dyDescent="0.25">
      <c r="A873" t="s">
        <v>2725</v>
      </c>
      <c r="B873" s="1">
        <v>42713</v>
      </c>
      <c r="C873" s="1">
        <v>42717</v>
      </c>
      <c r="D873" t="s">
        <v>23</v>
      </c>
      <c r="E873" t="s">
        <v>2600</v>
      </c>
      <c r="F873" t="s">
        <v>2601</v>
      </c>
      <c r="G873" t="s">
        <v>26</v>
      </c>
      <c r="H873" t="s">
        <v>27</v>
      </c>
      <c r="I873" t="s">
        <v>184</v>
      </c>
      <c r="J873" t="s">
        <v>2319</v>
      </c>
      <c r="K873" t="s">
        <v>155</v>
      </c>
      <c r="L873" t="s">
        <v>1275</v>
      </c>
      <c r="M873" t="s">
        <v>32</v>
      </c>
      <c r="N873" t="s">
        <v>33</v>
      </c>
      <c r="O873" t="s">
        <v>1276</v>
      </c>
      <c r="P873">
        <v>40.68</v>
      </c>
      <c r="Q873">
        <v>3</v>
      </c>
      <c r="R873">
        <v>-9.1530000000000005</v>
      </c>
      <c r="S873" s="3" t="s">
        <v>53</v>
      </c>
      <c r="T873">
        <v>2016</v>
      </c>
      <c r="U873" t="s">
        <v>66</v>
      </c>
      <c r="V873" s="2">
        <v>-0.22500000000000001</v>
      </c>
    </row>
    <row r="874" spans="1:22" x14ac:dyDescent="0.25">
      <c r="A874" t="s">
        <v>2726</v>
      </c>
      <c r="B874" s="1">
        <v>42350</v>
      </c>
      <c r="C874" s="1">
        <v>42354</v>
      </c>
      <c r="D874" t="s">
        <v>23</v>
      </c>
      <c r="E874" t="s">
        <v>279</v>
      </c>
      <c r="F874" t="s">
        <v>280</v>
      </c>
      <c r="G874" t="s">
        <v>26</v>
      </c>
      <c r="H874" t="s">
        <v>27</v>
      </c>
      <c r="I874" t="s">
        <v>715</v>
      </c>
      <c r="J874" t="s">
        <v>61</v>
      </c>
      <c r="K874" t="s">
        <v>62</v>
      </c>
      <c r="L874" t="s">
        <v>2727</v>
      </c>
      <c r="M874" t="s">
        <v>32</v>
      </c>
      <c r="N874" t="s">
        <v>51</v>
      </c>
      <c r="O874" t="s">
        <v>2728</v>
      </c>
      <c r="P874">
        <v>22.367999999999999</v>
      </c>
      <c r="Q874">
        <v>4</v>
      </c>
      <c r="R874">
        <v>6.4307999999999996</v>
      </c>
      <c r="S874" s="3" t="s">
        <v>53</v>
      </c>
      <c r="T874">
        <v>2015</v>
      </c>
      <c r="U874" t="s">
        <v>66</v>
      </c>
      <c r="V874" s="2">
        <v>0.28749999999999998</v>
      </c>
    </row>
    <row r="875" spans="1:22" x14ac:dyDescent="0.25">
      <c r="A875" t="s">
        <v>2729</v>
      </c>
      <c r="B875" s="1">
        <v>41946</v>
      </c>
      <c r="C875" s="1">
        <v>41950</v>
      </c>
      <c r="D875" t="s">
        <v>23</v>
      </c>
      <c r="E875" t="s">
        <v>1731</v>
      </c>
      <c r="F875" t="s">
        <v>1732</v>
      </c>
      <c r="G875" t="s">
        <v>26</v>
      </c>
      <c r="H875" t="s">
        <v>27</v>
      </c>
      <c r="I875" t="s">
        <v>103</v>
      </c>
      <c r="J875" t="s">
        <v>104</v>
      </c>
      <c r="K875" t="s">
        <v>95</v>
      </c>
      <c r="L875" t="s">
        <v>556</v>
      </c>
      <c r="M875" t="s">
        <v>32</v>
      </c>
      <c r="N875" t="s">
        <v>33</v>
      </c>
      <c r="O875" t="s">
        <v>557</v>
      </c>
      <c r="P875">
        <v>783.96</v>
      </c>
      <c r="Q875">
        <v>4</v>
      </c>
      <c r="R875">
        <v>219.50880000000001</v>
      </c>
      <c r="S875" s="3" t="s">
        <v>53</v>
      </c>
      <c r="T875">
        <v>2014</v>
      </c>
      <c r="U875" t="s">
        <v>118</v>
      </c>
      <c r="V875" s="2">
        <v>0.28000000000000003</v>
      </c>
    </row>
    <row r="876" spans="1:22" x14ac:dyDescent="0.25">
      <c r="A876" t="s">
        <v>2730</v>
      </c>
      <c r="B876" s="1">
        <v>42072</v>
      </c>
      <c r="C876" s="1">
        <v>42075</v>
      </c>
      <c r="D876" t="s">
        <v>56</v>
      </c>
      <c r="E876" t="s">
        <v>2731</v>
      </c>
      <c r="F876" t="s">
        <v>2732</v>
      </c>
      <c r="G876" t="s">
        <v>59</v>
      </c>
      <c r="H876" t="s">
        <v>27</v>
      </c>
      <c r="I876" t="s">
        <v>213</v>
      </c>
      <c r="J876" t="s">
        <v>61</v>
      </c>
      <c r="K876" t="s">
        <v>62</v>
      </c>
      <c r="L876" t="s">
        <v>876</v>
      </c>
      <c r="M876" t="s">
        <v>32</v>
      </c>
      <c r="N876" t="s">
        <v>51</v>
      </c>
      <c r="O876" t="s">
        <v>877</v>
      </c>
      <c r="P876">
        <v>113.52</v>
      </c>
      <c r="Q876">
        <v>5</v>
      </c>
      <c r="R876">
        <v>29.798999999999999</v>
      </c>
      <c r="S876" s="3" t="s">
        <v>172</v>
      </c>
      <c r="T876">
        <v>2015</v>
      </c>
      <c r="U876" t="s">
        <v>89</v>
      </c>
      <c r="V876" s="2">
        <v>0.26250000000000001</v>
      </c>
    </row>
    <row r="877" spans="1:22" x14ac:dyDescent="0.25">
      <c r="A877" t="s">
        <v>2730</v>
      </c>
      <c r="B877" s="1">
        <v>42072</v>
      </c>
      <c r="C877" s="1">
        <v>42075</v>
      </c>
      <c r="D877" t="s">
        <v>56</v>
      </c>
      <c r="E877" t="s">
        <v>2731</v>
      </c>
      <c r="F877" t="s">
        <v>2732</v>
      </c>
      <c r="G877" t="s">
        <v>59</v>
      </c>
      <c r="H877" t="s">
        <v>27</v>
      </c>
      <c r="I877" t="s">
        <v>213</v>
      </c>
      <c r="J877" t="s">
        <v>61</v>
      </c>
      <c r="K877" t="s">
        <v>62</v>
      </c>
      <c r="L877" t="s">
        <v>1485</v>
      </c>
      <c r="M877" t="s">
        <v>32</v>
      </c>
      <c r="N877" t="s">
        <v>33</v>
      </c>
      <c r="O877" t="s">
        <v>1486</v>
      </c>
      <c r="P877">
        <v>359.88</v>
      </c>
      <c r="Q877">
        <v>3</v>
      </c>
      <c r="R877">
        <v>22.4925</v>
      </c>
      <c r="S877" s="3" t="s">
        <v>172</v>
      </c>
      <c r="T877">
        <v>2015</v>
      </c>
      <c r="U877" t="s">
        <v>89</v>
      </c>
      <c r="V877" s="2">
        <v>6.25E-2</v>
      </c>
    </row>
    <row r="878" spans="1:22" x14ac:dyDescent="0.25">
      <c r="A878" t="s">
        <v>2733</v>
      </c>
      <c r="B878" s="1">
        <v>41943</v>
      </c>
      <c r="C878" s="1">
        <v>41946</v>
      </c>
      <c r="D878" t="s">
        <v>40</v>
      </c>
      <c r="E878" t="s">
        <v>2734</v>
      </c>
      <c r="F878" t="s">
        <v>2735</v>
      </c>
      <c r="G878" t="s">
        <v>26</v>
      </c>
      <c r="H878" t="s">
        <v>27</v>
      </c>
      <c r="I878" t="s">
        <v>2736</v>
      </c>
      <c r="J878" t="s">
        <v>123</v>
      </c>
      <c r="K878" t="s">
        <v>30</v>
      </c>
      <c r="L878" t="s">
        <v>72</v>
      </c>
      <c r="M878" t="s">
        <v>32</v>
      </c>
      <c r="N878" t="s">
        <v>33</v>
      </c>
      <c r="O878" t="s">
        <v>73</v>
      </c>
      <c r="P878">
        <v>742.33600000000001</v>
      </c>
      <c r="Q878">
        <v>8</v>
      </c>
      <c r="R878">
        <v>83.512799999999999</v>
      </c>
      <c r="S878" s="3" t="s">
        <v>172</v>
      </c>
      <c r="T878">
        <v>2014</v>
      </c>
      <c r="U878" t="s">
        <v>133</v>
      </c>
      <c r="V878" s="2">
        <v>0.1125</v>
      </c>
    </row>
    <row r="879" spans="1:22" x14ac:dyDescent="0.25">
      <c r="A879" t="s">
        <v>2737</v>
      </c>
      <c r="B879" s="1">
        <v>43062</v>
      </c>
      <c r="C879" s="1">
        <v>43066</v>
      </c>
      <c r="D879" t="s">
        <v>23</v>
      </c>
      <c r="E879" t="s">
        <v>2738</v>
      </c>
      <c r="F879" t="s">
        <v>2739</v>
      </c>
      <c r="G879" t="s">
        <v>26</v>
      </c>
      <c r="H879" t="s">
        <v>27</v>
      </c>
      <c r="I879" t="s">
        <v>140</v>
      </c>
      <c r="J879" t="s">
        <v>78</v>
      </c>
      <c r="K879" t="s">
        <v>62</v>
      </c>
      <c r="L879" t="s">
        <v>1049</v>
      </c>
      <c r="M879" t="s">
        <v>32</v>
      </c>
      <c r="N879" t="s">
        <v>33</v>
      </c>
      <c r="O879" t="s">
        <v>1050</v>
      </c>
      <c r="P879">
        <v>222.38399999999999</v>
      </c>
      <c r="Q879">
        <v>2</v>
      </c>
      <c r="R879">
        <v>16.678799999999999</v>
      </c>
      <c r="S879" s="3" t="s">
        <v>53</v>
      </c>
      <c r="T879">
        <v>2017</v>
      </c>
      <c r="U879" t="s">
        <v>118</v>
      </c>
      <c r="V879" s="2">
        <v>7.4999999999999997E-2</v>
      </c>
    </row>
    <row r="880" spans="1:22" x14ac:dyDescent="0.25">
      <c r="A880" t="s">
        <v>2740</v>
      </c>
      <c r="B880" s="1">
        <v>42349</v>
      </c>
      <c r="C880" s="1">
        <v>42354</v>
      </c>
      <c r="D880" t="s">
        <v>23</v>
      </c>
      <c r="E880" t="s">
        <v>1080</v>
      </c>
      <c r="F880" t="s">
        <v>1081</v>
      </c>
      <c r="G880" t="s">
        <v>26</v>
      </c>
      <c r="H880" t="s">
        <v>27</v>
      </c>
      <c r="I880" t="s">
        <v>2741</v>
      </c>
      <c r="J880" t="s">
        <v>147</v>
      </c>
      <c r="K880" t="s">
        <v>30</v>
      </c>
      <c r="L880" t="s">
        <v>2742</v>
      </c>
      <c r="M880" t="s">
        <v>32</v>
      </c>
      <c r="N880" t="s">
        <v>51</v>
      </c>
      <c r="O880" t="s">
        <v>2743</v>
      </c>
      <c r="P880">
        <v>58.08</v>
      </c>
      <c r="Q880">
        <v>4</v>
      </c>
      <c r="R880">
        <v>-6.5339999999999998</v>
      </c>
      <c r="S880" s="3" t="s">
        <v>35</v>
      </c>
      <c r="T880">
        <v>2015</v>
      </c>
      <c r="U880" t="s">
        <v>66</v>
      </c>
      <c r="V880" s="2">
        <v>-0.1125</v>
      </c>
    </row>
    <row r="881" spans="1:22" x14ac:dyDescent="0.25">
      <c r="A881" t="s">
        <v>2744</v>
      </c>
      <c r="B881" s="1">
        <v>42504</v>
      </c>
      <c r="C881" s="1">
        <v>42509</v>
      </c>
      <c r="D881" t="s">
        <v>23</v>
      </c>
      <c r="E881" t="s">
        <v>2745</v>
      </c>
      <c r="F881" t="s">
        <v>2746</v>
      </c>
      <c r="G881" t="s">
        <v>59</v>
      </c>
      <c r="H881" t="s">
        <v>27</v>
      </c>
      <c r="I881" t="s">
        <v>460</v>
      </c>
      <c r="J881" t="s">
        <v>288</v>
      </c>
      <c r="K881" t="s">
        <v>155</v>
      </c>
      <c r="L881" t="s">
        <v>98</v>
      </c>
      <c r="M881" t="s">
        <v>32</v>
      </c>
      <c r="N881" t="s">
        <v>33</v>
      </c>
      <c r="O881" t="s">
        <v>99</v>
      </c>
      <c r="P881">
        <v>43.6</v>
      </c>
      <c r="Q881">
        <v>5</v>
      </c>
      <c r="R881">
        <v>4.3600000000000003</v>
      </c>
      <c r="S881" s="3" t="s">
        <v>35</v>
      </c>
      <c r="T881">
        <v>2016</v>
      </c>
      <c r="U881" t="s">
        <v>527</v>
      </c>
      <c r="V881" s="2">
        <v>0.1</v>
      </c>
    </row>
    <row r="882" spans="1:22" x14ac:dyDescent="0.25">
      <c r="A882" t="s">
        <v>2747</v>
      </c>
      <c r="B882" s="1">
        <v>42929</v>
      </c>
      <c r="C882" s="1">
        <v>42933</v>
      </c>
      <c r="D882" t="s">
        <v>40</v>
      </c>
      <c r="E882" t="s">
        <v>2748</v>
      </c>
      <c r="F882" t="s">
        <v>2749</v>
      </c>
      <c r="G882" t="s">
        <v>26</v>
      </c>
      <c r="H882" t="s">
        <v>27</v>
      </c>
      <c r="I882" t="s">
        <v>206</v>
      </c>
      <c r="J882" t="s">
        <v>207</v>
      </c>
      <c r="K882" t="s">
        <v>95</v>
      </c>
      <c r="L882" t="s">
        <v>951</v>
      </c>
      <c r="M882" t="s">
        <v>32</v>
      </c>
      <c r="N882" t="s">
        <v>33</v>
      </c>
      <c r="O882" t="s">
        <v>952</v>
      </c>
      <c r="P882">
        <v>39.594000000000001</v>
      </c>
      <c r="Q882">
        <v>1</v>
      </c>
      <c r="R882">
        <v>-7.2588999999999997</v>
      </c>
      <c r="S882" s="3" t="s">
        <v>53</v>
      </c>
      <c r="T882">
        <v>2017</v>
      </c>
      <c r="U882" t="s">
        <v>332</v>
      </c>
      <c r="V882" s="2">
        <v>-0.18333333333333299</v>
      </c>
    </row>
    <row r="883" spans="1:22" x14ac:dyDescent="0.25">
      <c r="A883" t="s">
        <v>2750</v>
      </c>
      <c r="B883" s="1">
        <v>42365</v>
      </c>
      <c r="C883" s="1">
        <v>42368</v>
      </c>
      <c r="D883" t="s">
        <v>56</v>
      </c>
      <c r="E883" t="s">
        <v>2751</v>
      </c>
      <c r="F883" t="s">
        <v>2752</v>
      </c>
      <c r="G883" t="s">
        <v>26</v>
      </c>
      <c r="H883" t="s">
        <v>27</v>
      </c>
      <c r="I883" t="s">
        <v>2753</v>
      </c>
      <c r="J883" t="s">
        <v>185</v>
      </c>
      <c r="K883" t="s">
        <v>62</v>
      </c>
      <c r="L883" t="s">
        <v>1491</v>
      </c>
      <c r="M883" t="s">
        <v>32</v>
      </c>
      <c r="N883" t="s">
        <v>33</v>
      </c>
      <c r="O883" t="s">
        <v>1492</v>
      </c>
      <c r="P883">
        <v>239.9</v>
      </c>
      <c r="Q883">
        <v>2</v>
      </c>
      <c r="R883">
        <v>71.97</v>
      </c>
      <c r="S883" s="3" t="s">
        <v>172</v>
      </c>
      <c r="T883">
        <v>2015</v>
      </c>
      <c r="U883" t="s">
        <v>66</v>
      </c>
      <c r="V883" s="2">
        <v>0.3</v>
      </c>
    </row>
    <row r="884" spans="1:22" x14ac:dyDescent="0.25">
      <c r="A884" t="s">
        <v>2754</v>
      </c>
      <c r="B884" s="1">
        <v>42688</v>
      </c>
      <c r="C884" s="1">
        <v>42693</v>
      </c>
      <c r="D884" t="s">
        <v>40</v>
      </c>
      <c r="E884" t="s">
        <v>2088</v>
      </c>
      <c r="F884" t="s">
        <v>2089</v>
      </c>
      <c r="G884" t="s">
        <v>26</v>
      </c>
      <c r="H884" t="s">
        <v>27</v>
      </c>
      <c r="I884" t="s">
        <v>206</v>
      </c>
      <c r="J884" t="s">
        <v>207</v>
      </c>
      <c r="K884" t="s">
        <v>95</v>
      </c>
      <c r="L884" t="s">
        <v>439</v>
      </c>
      <c r="M884" t="s">
        <v>32</v>
      </c>
      <c r="N884" t="s">
        <v>381</v>
      </c>
      <c r="O884" t="s">
        <v>440</v>
      </c>
      <c r="P884">
        <v>1199.9760000000001</v>
      </c>
      <c r="Q884">
        <v>4</v>
      </c>
      <c r="R884">
        <v>179.99639999999999</v>
      </c>
      <c r="S884" s="3" t="s">
        <v>35</v>
      </c>
      <c r="T884">
        <v>2016</v>
      </c>
      <c r="U884" t="s">
        <v>118</v>
      </c>
      <c r="V884" s="2">
        <v>0.15</v>
      </c>
    </row>
    <row r="885" spans="1:22" x14ac:dyDescent="0.25">
      <c r="A885" t="s">
        <v>2755</v>
      </c>
      <c r="B885" s="1">
        <v>42101</v>
      </c>
      <c r="C885" s="1">
        <v>42105</v>
      </c>
      <c r="D885" t="s">
        <v>23</v>
      </c>
      <c r="E885" t="s">
        <v>2756</v>
      </c>
      <c r="F885" t="s">
        <v>2757</v>
      </c>
      <c r="G885" t="s">
        <v>26</v>
      </c>
      <c r="H885" t="s">
        <v>27</v>
      </c>
      <c r="I885" t="s">
        <v>213</v>
      </c>
      <c r="J885" t="s">
        <v>61</v>
      </c>
      <c r="K885" t="s">
        <v>62</v>
      </c>
      <c r="L885" t="s">
        <v>795</v>
      </c>
      <c r="M885" t="s">
        <v>32</v>
      </c>
      <c r="N885" t="s">
        <v>51</v>
      </c>
      <c r="O885" t="s">
        <v>796</v>
      </c>
      <c r="P885">
        <v>383.952</v>
      </c>
      <c r="Q885">
        <v>6</v>
      </c>
      <c r="R885">
        <v>47.994</v>
      </c>
      <c r="S885" s="3" t="s">
        <v>53</v>
      </c>
      <c r="T885">
        <v>2015</v>
      </c>
      <c r="U885" t="s">
        <v>291</v>
      </c>
      <c r="V885" s="2">
        <v>0.125</v>
      </c>
    </row>
    <row r="886" spans="1:22" x14ac:dyDescent="0.25">
      <c r="A886" t="s">
        <v>2758</v>
      </c>
      <c r="B886" s="1">
        <v>42695</v>
      </c>
      <c r="C886" s="1">
        <v>42700</v>
      </c>
      <c r="D886" t="s">
        <v>23</v>
      </c>
      <c r="E886" t="s">
        <v>605</v>
      </c>
      <c r="F886" t="s">
        <v>606</v>
      </c>
      <c r="G886" t="s">
        <v>26</v>
      </c>
      <c r="H886" t="s">
        <v>27</v>
      </c>
      <c r="I886" t="s">
        <v>176</v>
      </c>
      <c r="J886" t="s">
        <v>177</v>
      </c>
      <c r="K886" t="s">
        <v>95</v>
      </c>
      <c r="L886" t="s">
        <v>2759</v>
      </c>
      <c r="M886" t="s">
        <v>32</v>
      </c>
      <c r="N886" t="s">
        <v>215</v>
      </c>
      <c r="O886" t="s">
        <v>2760</v>
      </c>
      <c r="P886">
        <v>30.344999999999999</v>
      </c>
      <c r="Q886">
        <v>7</v>
      </c>
      <c r="R886">
        <v>-24.276</v>
      </c>
      <c r="S886" s="3" t="s">
        <v>35</v>
      </c>
      <c r="T886">
        <v>2016</v>
      </c>
      <c r="U886" t="s">
        <v>118</v>
      </c>
      <c r="V886" s="2">
        <v>-0.8</v>
      </c>
    </row>
    <row r="887" spans="1:22" x14ac:dyDescent="0.25">
      <c r="A887" t="s">
        <v>2761</v>
      </c>
      <c r="B887" s="1">
        <v>42887</v>
      </c>
      <c r="C887" s="1">
        <v>42889</v>
      </c>
      <c r="D887" t="s">
        <v>56</v>
      </c>
      <c r="E887" t="s">
        <v>1928</v>
      </c>
      <c r="F887" t="s">
        <v>1929</v>
      </c>
      <c r="G887" t="s">
        <v>26</v>
      </c>
      <c r="H887" t="s">
        <v>27</v>
      </c>
      <c r="I887" t="s">
        <v>281</v>
      </c>
      <c r="J887" t="s">
        <v>177</v>
      </c>
      <c r="K887" t="s">
        <v>95</v>
      </c>
      <c r="L887" t="s">
        <v>257</v>
      </c>
      <c r="M887" t="s">
        <v>32</v>
      </c>
      <c r="N887" t="s">
        <v>33</v>
      </c>
      <c r="O887" t="s">
        <v>258</v>
      </c>
      <c r="P887">
        <v>158.376</v>
      </c>
      <c r="Q887">
        <v>4</v>
      </c>
      <c r="R887">
        <v>-34.314799999999998</v>
      </c>
      <c r="S887" s="3" t="s">
        <v>65</v>
      </c>
      <c r="T887">
        <v>2017</v>
      </c>
      <c r="U887" t="s">
        <v>36</v>
      </c>
      <c r="V887" s="2">
        <v>-0.21666666666666701</v>
      </c>
    </row>
    <row r="888" spans="1:22" x14ac:dyDescent="0.25">
      <c r="A888" t="s">
        <v>2762</v>
      </c>
      <c r="B888" s="1">
        <v>41815</v>
      </c>
      <c r="C888" s="1">
        <v>41817</v>
      </c>
      <c r="D888" t="s">
        <v>40</v>
      </c>
      <c r="E888" t="s">
        <v>362</v>
      </c>
      <c r="F888" t="s">
        <v>363</v>
      </c>
      <c r="G888" t="s">
        <v>59</v>
      </c>
      <c r="H888" t="s">
        <v>27</v>
      </c>
      <c r="I888" t="s">
        <v>594</v>
      </c>
      <c r="J888" t="s">
        <v>340</v>
      </c>
      <c r="K888" t="s">
        <v>30</v>
      </c>
      <c r="L888" t="s">
        <v>966</v>
      </c>
      <c r="M888" t="s">
        <v>32</v>
      </c>
      <c r="N888" t="s">
        <v>33</v>
      </c>
      <c r="O888" t="s">
        <v>967</v>
      </c>
      <c r="P888">
        <v>263.95999999999998</v>
      </c>
      <c r="Q888">
        <v>5</v>
      </c>
      <c r="R888">
        <v>19.797000000000001</v>
      </c>
      <c r="S888" s="3" t="s">
        <v>65</v>
      </c>
      <c r="T888">
        <v>2014</v>
      </c>
      <c r="U888" t="s">
        <v>36</v>
      </c>
      <c r="V888" s="2">
        <v>7.4999999999999997E-2</v>
      </c>
    </row>
    <row r="889" spans="1:22" x14ac:dyDescent="0.25">
      <c r="A889" t="s">
        <v>2763</v>
      </c>
      <c r="B889" s="1">
        <v>41740</v>
      </c>
      <c r="C889" s="1">
        <v>41745</v>
      </c>
      <c r="D889" t="s">
        <v>40</v>
      </c>
      <c r="E889" t="s">
        <v>1708</v>
      </c>
      <c r="F889" t="s">
        <v>1709</v>
      </c>
      <c r="G889" t="s">
        <v>70</v>
      </c>
      <c r="H889" t="s">
        <v>27</v>
      </c>
      <c r="I889" t="s">
        <v>715</v>
      </c>
      <c r="J889" t="s">
        <v>61</v>
      </c>
      <c r="K889" t="s">
        <v>62</v>
      </c>
      <c r="L889" t="s">
        <v>1781</v>
      </c>
      <c r="M889" t="s">
        <v>32</v>
      </c>
      <c r="N889" t="s">
        <v>33</v>
      </c>
      <c r="O889" t="s">
        <v>1782</v>
      </c>
      <c r="P889">
        <v>758.35199999999998</v>
      </c>
      <c r="Q889">
        <v>6</v>
      </c>
      <c r="R889">
        <v>265.42320000000001</v>
      </c>
      <c r="S889" s="3" t="s">
        <v>35</v>
      </c>
      <c r="T889">
        <v>2014</v>
      </c>
      <c r="U889" t="s">
        <v>291</v>
      </c>
      <c r="V889" s="2">
        <v>0.35</v>
      </c>
    </row>
    <row r="890" spans="1:22" x14ac:dyDescent="0.25">
      <c r="A890" t="s">
        <v>2764</v>
      </c>
      <c r="B890" s="1">
        <v>42912</v>
      </c>
      <c r="C890" s="1">
        <v>42916</v>
      </c>
      <c r="D890" t="s">
        <v>23</v>
      </c>
      <c r="E890" t="s">
        <v>167</v>
      </c>
      <c r="F890" t="s">
        <v>168</v>
      </c>
      <c r="G890" t="s">
        <v>26</v>
      </c>
      <c r="H890" t="s">
        <v>27</v>
      </c>
      <c r="I890" t="s">
        <v>103</v>
      </c>
      <c r="J890" t="s">
        <v>104</v>
      </c>
      <c r="K890" t="s">
        <v>95</v>
      </c>
      <c r="L890" t="s">
        <v>607</v>
      </c>
      <c r="M890" t="s">
        <v>32</v>
      </c>
      <c r="N890" t="s">
        <v>33</v>
      </c>
      <c r="O890" t="s">
        <v>608</v>
      </c>
      <c r="P890">
        <v>239.97</v>
      </c>
      <c r="Q890">
        <v>3</v>
      </c>
      <c r="R890">
        <v>67.191599999999994</v>
      </c>
      <c r="S890" s="3" t="s">
        <v>53</v>
      </c>
      <c r="T890">
        <v>2017</v>
      </c>
      <c r="U890" t="s">
        <v>36</v>
      </c>
      <c r="V890" s="2">
        <v>0.28000000000000003</v>
      </c>
    </row>
    <row r="891" spans="1:22" x14ac:dyDescent="0.25">
      <c r="A891" t="s">
        <v>2765</v>
      </c>
      <c r="B891" s="1">
        <v>43063</v>
      </c>
      <c r="C891" s="1">
        <v>43068</v>
      </c>
      <c r="D891" t="s">
        <v>23</v>
      </c>
      <c r="E891" t="s">
        <v>2766</v>
      </c>
      <c r="F891" t="s">
        <v>2767</v>
      </c>
      <c r="G891" t="s">
        <v>59</v>
      </c>
      <c r="H891" t="s">
        <v>27</v>
      </c>
      <c r="I891" t="s">
        <v>2300</v>
      </c>
      <c r="J891" t="s">
        <v>207</v>
      </c>
      <c r="K891" t="s">
        <v>95</v>
      </c>
      <c r="L891" t="s">
        <v>1121</v>
      </c>
      <c r="M891" t="s">
        <v>32</v>
      </c>
      <c r="N891" t="s">
        <v>33</v>
      </c>
      <c r="O891" t="s">
        <v>1122</v>
      </c>
      <c r="P891">
        <v>89.988</v>
      </c>
      <c r="Q891">
        <v>2</v>
      </c>
      <c r="R891">
        <v>-14.997999999999999</v>
      </c>
      <c r="S891" s="3" t="s">
        <v>35</v>
      </c>
      <c r="T891">
        <v>2017</v>
      </c>
      <c r="U891" t="s">
        <v>118</v>
      </c>
      <c r="V891" s="2">
        <v>-0.16666666666666699</v>
      </c>
    </row>
    <row r="892" spans="1:22" x14ac:dyDescent="0.25">
      <c r="A892" t="s">
        <v>2768</v>
      </c>
      <c r="B892" s="1">
        <v>41975</v>
      </c>
      <c r="C892" s="1">
        <v>41980</v>
      </c>
      <c r="D892" t="s">
        <v>23</v>
      </c>
      <c r="E892" t="s">
        <v>2769</v>
      </c>
      <c r="F892" t="s">
        <v>2770</v>
      </c>
      <c r="G892" t="s">
        <v>59</v>
      </c>
      <c r="H892" t="s">
        <v>27</v>
      </c>
      <c r="I892" t="s">
        <v>176</v>
      </c>
      <c r="J892" t="s">
        <v>177</v>
      </c>
      <c r="K892" t="s">
        <v>95</v>
      </c>
      <c r="L892" t="s">
        <v>636</v>
      </c>
      <c r="M892" t="s">
        <v>32</v>
      </c>
      <c r="N892" t="s">
        <v>51</v>
      </c>
      <c r="O892" t="s">
        <v>637</v>
      </c>
      <c r="P892">
        <v>119.8</v>
      </c>
      <c r="Q892">
        <v>5</v>
      </c>
      <c r="R892">
        <v>29.95</v>
      </c>
      <c r="S892" s="3" t="s">
        <v>35</v>
      </c>
      <c r="T892">
        <v>2014</v>
      </c>
      <c r="U892" t="s">
        <v>66</v>
      </c>
      <c r="V892" s="2">
        <v>0.25</v>
      </c>
    </row>
    <row r="893" spans="1:22" x14ac:dyDescent="0.25">
      <c r="A893" t="s">
        <v>2771</v>
      </c>
      <c r="B893" s="1">
        <v>43041</v>
      </c>
      <c r="C893" s="1">
        <v>43044</v>
      </c>
      <c r="D893" t="s">
        <v>40</v>
      </c>
      <c r="E893" t="s">
        <v>2772</v>
      </c>
      <c r="F893" t="s">
        <v>2773</v>
      </c>
      <c r="G893" t="s">
        <v>59</v>
      </c>
      <c r="H893" t="s">
        <v>27</v>
      </c>
      <c r="I893" t="s">
        <v>2076</v>
      </c>
      <c r="J893" t="s">
        <v>804</v>
      </c>
      <c r="K893" t="s">
        <v>155</v>
      </c>
      <c r="L893" t="s">
        <v>1675</v>
      </c>
      <c r="M893" t="s">
        <v>32</v>
      </c>
      <c r="N893" t="s">
        <v>51</v>
      </c>
      <c r="O893" t="s">
        <v>1676</v>
      </c>
      <c r="P893">
        <v>2249.91</v>
      </c>
      <c r="Q893">
        <v>9</v>
      </c>
      <c r="R893">
        <v>517.47929999999997</v>
      </c>
      <c r="S893" s="3" t="s">
        <v>172</v>
      </c>
      <c r="T893">
        <v>2017</v>
      </c>
      <c r="U893" t="s">
        <v>118</v>
      </c>
      <c r="V893" s="2">
        <v>0.23</v>
      </c>
    </row>
    <row r="894" spans="1:22" x14ac:dyDescent="0.25">
      <c r="A894" t="s">
        <v>2774</v>
      </c>
      <c r="B894" s="1">
        <v>42702</v>
      </c>
      <c r="C894" s="1">
        <v>42705</v>
      </c>
      <c r="D894" t="s">
        <v>40</v>
      </c>
      <c r="E894" t="s">
        <v>2775</v>
      </c>
      <c r="F894" t="s">
        <v>2776</v>
      </c>
      <c r="G894" t="s">
        <v>59</v>
      </c>
      <c r="H894" t="s">
        <v>27</v>
      </c>
      <c r="I894" t="s">
        <v>2777</v>
      </c>
      <c r="J894" t="s">
        <v>1006</v>
      </c>
      <c r="K894" t="s">
        <v>155</v>
      </c>
      <c r="L894" t="s">
        <v>800</v>
      </c>
      <c r="M894" t="s">
        <v>32</v>
      </c>
      <c r="N894" t="s">
        <v>51</v>
      </c>
      <c r="O894" t="s">
        <v>801</v>
      </c>
      <c r="P894">
        <v>101.7</v>
      </c>
      <c r="Q894">
        <v>6</v>
      </c>
      <c r="R894">
        <v>6.1020000000000003</v>
      </c>
      <c r="S894" s="3" t="s">
        <v>172</v>
      </c>
      <c r="T894">
        <v>2016</v>
      </c>
      <c r="U894" t="s">
        <v>118</v>
      </c>
      <c r="V894" s="2">
        <v>0.06</v>
      </c>
    </row>
    <row r="895" spans="1:22" x14ac:dyDescent="0.25">
      <c r="A895" t="s">
        <v>2778</v>
      </c>
      <c r="B895" s="1">
        <v>41961</v>
      </c>
      <c r="C895" s="1">
        <v>41966</v>
      </c>
      <c r="D895" t="s">
        <v>40</v>
      </c>
      <c r="E895" t="s">
        <v>2779</v>
      </c>
      <c r="F895" t="s">
        <v>2780</v>
      </c>
      <c r="G895" t="s">
        <v>26</v>
      </c>
      <c r="H895" t="s">
        <v>27</v>
      </c>
      <c r="I895" t="s">
        <v>1638</v>
      </c>
      <c r="J895" t="s">
        <v>177</v>
      </c>
      <c r="K895" t="s">
        <v>95</v>
      </c>
      <c r="L895" t="s">
        <v>2781</v>
      </c>
      <c r="M895" t="s">
        <v>32</v>
      </c>
      <c r="N895" t="s">
        <v>33</v>
      </c>
      <c r="O895" t="s">
        <v>2782</v>
      </c>
      <c r="P895">
        <v>9.5879999999999992</v>
      </c>
      <c r="Q895">
        <v>2</v>
      </c>
      <c r="R895">
        <v>-2.0773999999999999</v>
      </c>
      <c r="S895" s="3" t="s">
        <v>35</v>
      </c>
      <c r="T895">
        <v>2014</v>
      </c>
      <c r="U895" t="s">
        <v>118</v>
      </c>
      <c r="V895" s="2">
        <v>-0.21666666666666701</v>
      </c>
    </row>
    <row r="896" spans="1:22" x14ac:dyDescent="0.25">
      <c r="A896" t="s">
        <v>2783</v>
      </c>
      <c r="B896" s="1">
        <v>42749</v>
      </c>
      <c r="C896" s="1">
        <v>42753</v>
      </c>
      <c r="D896" t="s">
        <v>23</v>
      </c>
      <c r="E896" t="s">
        <v>24</v>
      </c>
      <c r="F896" t="s">
        <v>25</v>
      </c>
      <c r="G896" t="s">
        <v>26</v>
      </c>
      <c r="H896" t="s">
        <v>27</v>
      </c>
      <c r="I896" t="s">
        <v>2432</v>
      </c>
      <c r="J896" t="s">
        <v>2319</v>
      </c>
      <c r="K896" t="s">
        <v>155</v>
      </c>
      <c r="L896" t="s">
        <v>507</v>
      </c>
      <c r="M896" t="s">
        <v>32</v>
      </c>
      <c r="N896" t="s">
        <v>33</v>
      </c>
      <c r="O896" t="s">
        <v>508</v>
      </c>
      <c r="P896">
        <v>111.98399999999999</v>
      </c>
      <c r="Q896">
        <v>2</v>
      </c>
      <c r="R896">
        <v>6.9989999999999997</v>
      </c>
      <c r="S896" s="3" t="s">
        <v>53</v>
      </c>
      <c r="T896">
        <v>2017</v>
      </c>
      <c r="U896" t="s">
        <v>54</v>
      </c>
      <c r="V896" s="2">
        <v>6.25E-2</v>
      </c>
    </row>
    <row r="897" spans="1:22" x14ac:dyDescent="0.25">
      <c r="A897" t="s">
        <v>2784</v>
      </c>
      <c r="B897" s="1">
        <v>42371</v>
      </c>
      <c r="C897" s="1">
        <v>42376</v>
      </c>
      <c r="D897" t="s">
        <v>23</v>
      </c>
      <c r="E897" t="s">
        <v>2785</v>
      </c>
      <c r="F897" t="s">
        <v>2786</v>
      </c>
      <c r="G897" t="s">
        <v>59</v>
      </c>
      <c r="H897" t="s">
        <v>27</v>
      </c>
      <c r="I897" t="s">
        <v>2787</v>
      </c>
      <c r="J897" t="s">
        <v>1035</v>
      </c>
      <c r="K897" t="s">
        <v>95</v>
      </c>
      <c r="L897" t="s">
        <v>1410</v>
      </c>
      <c r="M897" t="s">
        <v>32</v>
      </c>
      <c r="N897" t="s">
        <v>33</v>
      </c>
      <c r="O897" t="s">
        <v>1411</v>
      </c>
      <c r="P897">
        <v>231.98</v>
      </c>
      <c r="Q897">
        <v>2</v>
      </c>
      <c r="R897">
        <v>67.274199999999993</v>
      </c>
      <c r="S897" s="3" t="s">
        <v>35</v>
      </c>
      <c r="T897">
        <v>2016</v>
      </c>
      <c r="U897" t="s">
        <v>54</v>
      </c>
      <c r="V897" s="2">
        <v>0.28999999999999998</v>
      </c>
    </row>
    <row r="898" spans="1:22" x14ac:dyDescent="0.25">
      <c r="A898" t="s">
        <v>2788</v>
      </c>
      <c r="B898" s="1">
        <v>43094</v>
      </c>
      <c r="C898" s="1">
        <v>43098</v>
      </c>
      <c r="D898" t="s">
        <v>40</v>
      </c>
      <c r="E898" t="s">
        <v>1085</v>
      </c>
      <c r="F898" t="s">
        <v>1086</v>
      </c>
      <c r="G898" t="s">
        <v>70</v>
      </c>
      <c r="H898" t="s">
        <v>27</v>
      </c>
      <c r="I898" t="s">
        <v>517</v>
      </c>
      <c r="J898" t="s">
        <v>555</v>
      </c>
      <c r="K898" t="s">
        <v>155</v>
      </c>
      <c r="L898" t="s">
        <v>1897</v>
      </c>
      <c r="M898" t="s">
        <v>32</v>
      </c>
      <c r="N898" t="s">
        <v>33</v>
      </c>
      <c r="O898" t="s">
        <v>1898</v>
      </c>
      <c r="P898">
        <v>90.48</v>
      </c>
      <c r="Q898">
        <v>2</v>
      </c>
      <c r="R898">
        <v>23.524799999999999</v>
      </c>
      <c r="S898" s="3" t="s">
        <v>53</v>
      </c>
      <c r="T898">
        <v>2017</v>
      </c>
      <c r="U898" t="s">
        <v>66</v>
      </c>
      <c r="V898" s="2">
        <v>0.26</v>
      </c>
    </row>
    <row r="899" spans="1:22" x14ac:dyDescent="0.25">
      <c r="A899" t="s">
        <v>2789</v>
      </c>
      <c r="B899" s="1">
        <v>42078</v>
      </c>
      <c r="C899" s="1">
        <v>42084</v>
      </c>
      <c r="D899" t="s">
        <v>23</v>
      </c>
      <c r="E899" t="s">
        <v>2790</v>
      </c>
      <c r="F899" t="s">
        <v>2791</v>
      </c>
      <c r="G899" t="s">
        <v>59</v>
      </c>
      <c r="H899" t="s">
        <v>27</v>
      </c>
      <c r="I899" t="s">
        <v>2792</v>
      </c>
      <c r="J899" t="s">
        <v>1167</v>
      </c>
      <c r="K899" t="s">
        <v>30</v>
      </c>
      <c r="L899" t="s">
        <v>2793</v>
      </c>
      <c r="M899" t="s">
        <v>32</v>
      </c>
      <c r="N899" t="s">
        <v>33</v>
      </c>
      <c r="O899" t="s">
        <v>2794</v>
      </c>
      <c r="P899">
        <v>16.776</v>
      </c>
      <c r="Q899">
        <v>3</v>
      </c>
      <c r="R899">
        <v>1.6776</v>
      </c>
      <c r="S899" s="3" t="s">
        <v>107</v>
      </c>
      <c r="T899">
        <v>2015</v>
      </c>
      <c r="U899" t="s">
        <v>89</v>
      </c>
      <c r="V899" s="2">
        <v>0.1</v>
      </c>
    </row>
    <row r="900" spans="1:22" x14ac:dyDescent="0.25">
      <c r="A900" t="s">
        <v>2795</v>
      </c>
      <c r="B900" s="1">
        <v>42079</v>
      </c>
      <c r="C900" s="1">
        <v>42083</v>
      </c>
      <c r="D900" t="s">
        <v>23</v>
      </c>
      <c r="E900" t="s">
        <v>260</v>
      </c>
      <c r="F900" t="s">
        <v>261</v>
      </c>
      <c r="G900" t="s">
        <v>59</v>
      </c>
      <c r="H900" t="s">
        <v>27</v>
      </c>
      <c r="I900" t="s">
        <v>103</v>
      </c>
      <c r="J900" t="s">
        <v>104</v>
      </c>
      <c r="K900" t="s">
        <v>95</v>
      </c>
      <c r="L900" t="s">
        <v>1689</v>
      </c>
      <c r="M900" t="s">
        <v>32</v>
      </c>
      <c r="N900" t="s">
        <v>33</v>
      </c>
      <c r="O900" t="s">
        <v>1690</v>
      </c>
      <c r="P900">
        <v>85.9</v>
      </c>
      <c r="Q900">
        <v>2</v>
      </c>
      <c r="R900">
        <v>2.577</v>
      </c>
      <c r="S900" s="3" t="s">
        <v>53</v>
      </c>
      <c r="T900">
        <v>2015</v>
      </c>
      <c r="U900" t="s">
        <v>89</v>
      </c>
      <c r="V900" s="2">
        <v>0.03</v>
      </c>
    </row>
    <row r="901" spans="1:22" x14ac:dyDescent="0.25">
      <c r="A901" t="s">
        <v>2796</v>
      </c>
      <c r="B901" s="1">
        <v>42692</v>
      </c>
      <c r="C901" s="1">
        <v>42696</v>
      </c>
      <c r="D901" t="s">
        <v>23</v>
      </c>
      <c r="E901" t="s">
        <v>2797</v>
      </c>
      <c r="F901" t="s">
        <v>2798</v>
      </c>
      <c r="G901" t="s">
        <v>70</v>
      </c>
      <c r="H901" t="s">
        <v>27</v>
      </c>
      <c r="I901" t="s">
        <v>28</v>
      </c>
      <c r="J901" t="s">
        <v>29</v>
      </c>
      <c r="K901" t="s">
        <v>30</v>
      </c>
      <c r="L901" t="s">
        <v>1328</v>
      </c>
      <c r="M901" t="s">
        <v>32</v>
      </c>
      <c r="N901" t="s">
        <v>33</v>
      </c>
      <c r="O901" t="s">
        <v>1329</v>
      </c>
      <c r="P901">
        <v>61.192</v>
      </c>
      <c r="Q901">
        <v>1</v>
      </c>
      <c r="R901">
        <v>6.1192000000000002</v>
      </c>
      <c r="S901" s="3" t="s">
        <v>53</v>
      </c>
      <c r="T901">
        <v>2016</v>
      </c>
      <c r="U901" t="s">
        <v>118</v>
      </c>
      <c r="V901" s="2">
        <v>0.1</v>
      </c>
    </row>
    <row r="902" spans="1:22" x14ac:dyDescent="0.25">
      <c r="A902" t="s">
        <v>2799</v>
      </c>
      <c r="B902" s="1">
        <v>42149</v>
      </c>
      <c r="C902" s="1">
        <v>42152</v>
      </c>
      <c r="D902" t="s">
        <v>40</v>
      </c>
      <c r="E902" t="s">
        <v>981</v>
      </c>
      <c r="F902" t="s">
        <v>982</v>
      </c>
      <c r="G902" t="s">
        <v>59</v>
      </c>
      <c r="H902" t="s">
        <v>27</v>
      </c>
      <c r="I902" t="s">
        <v>1557</v>
      </c>
      <c r="J902" t="s">
        <v>2319</v>
      </c>
      <c r="K902" t="s">
        <v>155</v>
      </c>
      <c r="L902" t="s">
        <v>1665</v>
      </c>
      <c r="M902" t="s">
        <v>32</v>
      </c>
      <c r="N902" t="s">
        <v>33</v>
      </c>
      <c r="O902" t="s">
        <v>1666</v>
      </c>
      <c r="P902">
        <v>467.04</v>
      </c>
      <c r="Q902">
        <v>4</v>
      </c>
      <c r="R902">
        <v>58.38</v>
      </c>
      <c r="S902" s="3" t="s">
        <v>172</v>
      </c>
      <c r="T902">
        <v>2015</v>
      </c>
      <c r="U902" t="s">
        <v>527</v>
      </c>
      <c r="V902" s="2">
        <v>0.125</v>
      </c>
    </row>
    <row r="903" spans="1:22" x14ac:dyDescent="0.25">
      <c r="A903" t="s">
        <v>2800</v>
      </c>
      <c r="B903" s="1">
        <v>42218</v>
      </c>
      <c r="C903" s="1">
        <v>42221</v>
      </c>
      <c r="D903" t="s">
        <v>40</v>
      </c>
      <c r="E903" t="s">
        <v>2801</v>
      </c>
      <c r="F903" t="s">
        <v>2802</v>
      </c>
      <c r="G903" t="s">
        <v>70</v>
      </c>
      <c r="H903" t="s">
        <v>27</v>
      </c>
      <c r="I903" t="s">
        <v>2668</v>
      </c>
      <c r="J903" t="s">
        <v>1721</v>
      </c>
      <c r="K903" t="s">
        <v>95</v>
      </c>
      <c r="L903" t="s">
        <v>1689</v>
      </c>
      <c r="M903" t="s">
        <v>32</v>
      </c>
      <c r="N903" t="s">
        <v>33</v>
      </c>
      <c r="O903" t="s">
        <v>1690</v>
      </c>
      <c r="P903">
        <v>128.85</v>
      </c>
      <c r="Q903">
        <v>3</v>
      </c>
      <c r="R903">
        <v>3.8654999999999999</v>
      </c>
      <c r="S903" s="3" t="s">
        <v>172</v>
      </c>
      <c r="T903">
        <v>2015</v>
      </c>
      <c r="U903" t="s">
        <v>46</v>
      </c>
      <c r="V903" s="2">
        <v>0.03</v>
      </c>
    </row>
    <row r="904" spans="1:22" x14ac:dyDescent="0.25">
      <c r="A904" t="s">
        <v>2800</v>
      </c>
      <c r="B904" s="1">
        <v>42218</v>
      </c>
      <c r="C904" s="1">
        <v>42221</v>
      </c>
      <c r="D904" t="s">
        <v>40</v>
      </c>
      <c r="E904" t="s">
        <v>2801</v>
      </c>
      <c r="F904" t="s">
        <v>2802</v>
      </c>
      <c r="G904" t="s">
        <v>70</v>
      </c>
      <c r="H904" t="s">
        <v>27</v>
      </c>
      <c r="I904" t="s">
        <v>2668</v>
      </c>
      <c r="J904" t="s">
        <v>1721</v>
      </c>
      <c r="K904" t="s">
        <v>95</v>
      </c>
      <c r="L904" t="s">
        <v>482</v>
      </c>
      <c r="M904" t="s">
        <v>32</v>
      </c>
      <c r="N904" t="s">
        <v>51</v>
      </c>
      <c r="O904" t="s">
        <v>483</v>
      </c>
      <c r="P904">
        <v>199.98</v>
      </c>
      <c r="Q904">
        <v>2</v>
      </c>
      <c r="R904">
        <v>83.991600000000005</v>
      </c>
      <c r="S904" s="3" t="s">
        <v>172</v>
      </c>
      <c r="T904">
        <v>2015</v>
      </c>
      <c r="U904" t="s">
        <v>46</v>
      </c>
      <c r="V904" s="2">
        <v>0.42</v>
      </c>
    </row>
    <row r="905" spans="1:22" x14ac:dyDescent="0.25">
      <c r="A905" t="s">
        <v>2803</v>
      </c>
      <c r="B905" s="1">
        <v>42265</v>
      </c>
      <c r="C905" s="1">
        <v>42270</v>
      </c>
      <c r="D905" t="s">
        <v>40</v>
      </c>
      <c r="E905" t="s">
        <v>2804</v>
      </c>
      <c r="F905" t="s">
        <v>2805</v>
      </c>
      <c r="G905" t="s">
        <v>59</v>
      </c>
      <c r="H905" t="s">
        <v>27</v>
      </c>
      <c r="I905" t="s">
        <v>460</v>
      </c>
      <c r="J905" t="s">
        <v>288</v>
      </c>
      <c r="K905" t="s">
        <v>155</v>
      </c>
      <c r="L905" t="s">
        <v>930</v>
      </c>
      <c r="M905" t="s">
        <v>32</v>
      </c>
      <c r="N905" t="s">
        <v>51</v>
      </c>
      <c r="O905" t="s">
        <v>931</v>
      </c>
      <c r="P905">
        <v>717.12</v>
      </c>
      <c r="Q905">
        <v>9</v>
      </c>
      <c r="R905">
        <v>152.38800000000001</v>
      </c>
      <c r="S905" s="3" t="s">
        <v>35</v>
      </c>
      <c r="T905">
        <v>2015</v>
      </c>
      <c r="U905" t="s">
        <v>81</v>
      </c>
      <c r="V905" s="2">
        <v>0.21249999999999999</v>
      </c>
    </row>
    <row r="906" spans="1:22" x14ac:dyDescent="0.25">
      <c r="A906" t="s">
        <v>2806</v>
      </c>
      <c r="B906" s="1">
        <v>42345</v>
      </c>
      <c r="C906" s="1">
        <v>42347</v>
      </c>
      <c r="D906" t="s">
        <v>56</v>
      </c>
      <c r="E906" t="s">
        <v>322</v>
      </c>
      <c r="F906" t="s">
        <v>323</v>
      </c>
      <c r="G906" t="s">
        <v>26</v>
      </c>
      <c r="H906" t="s">
        <v>27</v>
      </c>
      <c r="I906" t="s">
        <v>103</v>
      </c>
      <c r="J906" t="s">
        <v>104</v>
      </c>
      <c r="K906" t="s">
        <v>95</v>
      </c>
      <c r="L906" t="s">
        <v>1148</v>
      </c>
      <c r="M906" t="s">
        <v>32</v>
      </c>
      <c r="N906" t="s">
        <v>33</v>
      </c>
      <c r="O906" t="s">
        <v>1149</v>
      </c>
      <c r="P906">
        <v>773.94</v>
      </c>
      <c r="Q906">
        <v>6</v>
      </c>
      <c r="R906">
        <v>224.4426</v>
      </c>
      <c r="S906" s="3" t="s">
        <v>65</v>
      </c>
      <c r="T906">
        <v>2015</v>
      </c>
      <c r="U906" t="s">
        <v>66</v>
      </c>
      <c r="V906" s="2">
        <v>0.28999999999999998</v>
      </c>
    </row>
    <row r="907" spans="1:22" x14ac:dyDescent="0.25">
      <c r="A907" t="s">
        <v>2807</v>
      </c>
      <c r="B907" s="1">
        <v>42713</v>
      </c>
      <c r="C907" s="1">
        <v>42717</v>
      </c>
      <c r="D907" t="s">
        <v>40</v>
      </c>
      <c r="E907" t="s">
        <v>1555</v>
      </c>
      <c r="F907" t="s">
        <v>1556</v>
      </c>
      <c r="G907" t="s">
        <v>59</v>
      </c>
      <c r="H907" t="s">
        <v>27</v>
      </c>
      <c r="I907" t="s">
        <v>140</v>
      </c>
      <c r="J907" t="s">
        <v>78</v>
      </c>
      <c r="K907" t="s">
        <v>62</v>
      </c>
      <c r="L907" t="s">
        <v>2541</v>
      </c>
      <c r="M907" t="s">
        <v>32</v>
      </c>
      <c r="N907" t="s">
        <v>51</v>
      </c>
      <c r="O907" t="s">
        <v>2542</v>
      </c>
      <c r="P907">
        <v>19.04</v>
      </c>
      <c r="Q907">
        <v>4</v>
      </c>
      <c r="R907">
        <v>-1.4279999999999999</v>
      </c>
      <c r="S907" s="3" t="s">
        <v>53</v>
      </c>
      <c r="T907">
        <v>2016</v>
      </c>
      <c r="U907" t="s">
        <v>66</v>
      </c>
      <c r="V907" s="2">
        <v>-7.4999999999999997E-2</v>
      </c>
    </row>
    <row r="908" spans="1:22" x14ac:dyDescent="0.25">
      <c r="A908" t="s">
        <v>2808</v>
      </c>
      <c r="B908" s="1">
        <v>42978</v>
      </c>
      <c r="C908" s="1">
        <v>42982</v>
      </c>
      <c r="D908" t="s">
        <v>23</v>
      </c>
      <c r="E908" t="s">
        <v>1633</v>
      </c>
      <c r="F908" t="s">
        <v>1634</v>
      </c>
      <c r="G908" t="s">
        <v>70</v>
      </c>
      <c r="H908" t="s">
        <v>27</v>
      </c>
      <c r="I908" t="s">
        <v>43</v>
      </c>
      <c r="J908" t="s">
        <v>29</v>
      </c>
      <c r="K908" t="s">
        <v>30</v>
      </c>
      <c r="L908" t="s">
        <v>1060</v>
      </c>
      <c r="M908" t="s">
        <v>32</v>
      </c>
      <c r="N908" t="s">
        <v>33</v>
      </c>
      <c r="O908" t="s">
        <v>2090</v>
      </c>
      <c r="P908">
        <v>689.40800000000002</v>
      </c>
      <c r="Q908">
        <v>4</v>
      </c>
      <c r="R908">
        <v>77.558400000000006</v>
      </c>
      <c r="S908" s="3" t="s">
        <v>53</v>
      </c>
      <c r="T908">
        <v>2017</v>
      </c>
      <c r="U908" t="s">
        <v>46</v>
      </c>
      <c r="V908" s="2">
        <v>0.1125</v>
      </c>
    </row>
    <row r="909" spans="1:22" x14ac:dyDescent="0.25">
      <c r="A909" t="s">
        <v>2809</v>
      </c>
      <c r="B909" s="1">
        <v>42400</v>
      </c>
      <c r="C909" s="1">
        <v>42404</v>
      </c>
      <c r="D909" t="s">
        <v>23</v>
      </c>
      <c r="E909" t="s">
        <v>2336</v>
      </c>
      <c r="F909" t="s">
        <v>2337</v>
      </c>
      <c r="G909" t="s">
        <v>70</v>
      </c>
      <c r="H909" t="s">
        <v>27</v>
      </c>
      <c r="I909" t="s">
        <v>28</v>
      </c>
      <c r="J909" t="s">
        <v>29</v>
      </c>
      <c r="K909" t="s">
        <v>30</v>
      </c>
      <c r="L909" t="s">
        <v>2273</v>
      </c>
      <c r="M909" t="s">
        <v>32</v>
      </c>
      <c r="N909" t="s">
        <v>33</v>
      </c>
      <c r="O909" t="s">
        <v>2274</v>
      </c>
      <c r="P909">
        <v>109.592</v>
      </c>
      <c r="Q909">
        <v>1</v>
      </c>
      <c r="R909">
        <v>8.2194000000000003</v>
      </c>
      <c r="S909" s="3" t="s">
        <v>53</v>
      </c>
      <c r="T909">
        <v>2016</v>
      </c>
      <c r="U909" t="s">
        <v>54</v>
      </c>
      <c r="V909" s="2">
        <v>7.4999999999999997E-2</v>
      </c>
    </row>
    <row r="910" spans="1:22" x14ac:dyDescent="0.25">
      <c r="A910" t="s">
        <v>2810</v>
      </c>
      <c r="B910" s="1">
        <v>42862</v>
      </c>
      <c r="C910" s="1">
        <v>42867</v>
      </c>
      <c r="D910" t="s">
        <v>23</v>
      </c>
      <c r="E910" t="s">
        <v>392</v>
      </c>
      <c r="F910" t="s">
        <v>393</v>
      </c>
      <c r="G910" t="s">
        <v>70</v>
      </c>
      <c r="H910" t="s">
        <v>27</v>
      </c>
      <c r="I910" t="s">
        <v>28</v>
      </c>
      <c r="J910" t="s">
        <v>29</v>
      </c>
      <c r="K910" t="s">
        <v>30</v>
      </c>
      <c r="L910" t="s">
        <v>1370</v>
      </c>
      <c r="M910" t="s">
        <v>32</v>
      </c>
      <c r="N910" t="s">
        <v>51</v>
      </c>
      <c r="O910" t="s">
        <v>1371</v>
      </c>
      <c r="P910">
        <v>79.989999999999995</v>
      </c>
      <c r="Q910">
        <v>1</v>
      </c>
      <c r="R910">
        <v>28.796399999999998</v>
      </c>
      <c r="S910" s="3" t="s">
        <v>35</v>
      </c>
      <c r="T910">
        <v>2017</v>
      </c>
      <c r="U910" t="s">
        <v>527</v>
      </c>
      <c r="V910" s="2">
        <v>0.36</v>
      </c>
    </row>
    <row r="911" spans="1:22" x14ac:dyDescent="0.25">
      <c r="A911" t="s">
        <v>2811</v>
      </c>
      <c r="B911" s="1">
        <v>41759</v>
      </c>
      <c r="C911" s="1">
        <v>41761</v>
      </c>
      <c r="D911" t="s">
        <v>40</v>
      </c>
      <c r="E911" t="s">
        <v>1742</v>
      </c>
      <c r="F911" t="s">
        <v>1743</v>
      </c>
      <c r="G911" t="s">
        <v>26</v>
      </c>
      <c r="H911" t="s">
        <v>27</v>
      </c>
      <c r="I911" t="s">
        <v>687</v>
      </c>
      <c r="J911" t="s">
        <v>688</v>
      </c>
      <c r="K911" t="s">
        <v>155</v>
      </c>
      <c r="L911" t="s">
        <v>1807</v>
      </c>
      <c r="M911" t="s">
        <v>32</v>
      </c>
      <c r="N911" t="s">
        <v>51</v>
      </c>
      <c r="O911" t="s">
        <v>1808</v>
      </c>
      <c r="P911">
        <v>47.79</v>
      </c>
      <c r="Q911">
        <v>3</v>
      </c>
      <c r="R911">
        <v>16.2486</v>
      </c>
      <c r="S911" s="3" t="s">
        <v>65</v>
      </c>
      <c r="T911">
        <v>2014</v>
      </c>
      <c r="U911" t="s">
        <v>291</v>
      </c>
      <c r="V911" s="2">
        <v>0.34</v>
      </c>
    </row>
    <row r="912" spans="1:22" x14ac:dyDescent="0.25">
      <c r="A912" t="s">
        <v>2812</v>
      </c>
      <c r="B912" s="1">
        <v>42317</v>
      </c>
      <c r="C912" s="1">
        <v>42322</v>
      </c>
      <c r="D912" t="s">
        <v>23</v>
      </c>
      <c r="E912" t="s">
        <v>2003</v>
      </c>
      <c r="F912" t="s">
        <v>2004</v>
      </c>
      <c r="G912" t="s">
        <v>70</v>
      </c>
      <c r="H912" t="s">
        <v>27</v>
      </c>
      <c r="I912" t="s">
        <v>103</v>
      </c>
      <c r="J912" t="s">
        <v>104</v>
      </c>
      <c r="K912" t="s">
        <v>95</v>
      </c>
      <c r="L912" t="s">
        <v>2813</v>
      </c>
      <c r="M912" t="s">
        <v>32</v>
      </c>
      <c r="N912" t="s">
        <v>215</v>
      </c>
      <c r="O912" t="s">
        <v>2814</v>
      </c>
      <c r="P912">
        <v>2321.9</v>
      </c>
      <c r="Q912">
        <v>2</v>
      </c>
      <c r="R912">
        <v>1114.5119999999999</v>
      </c>
      <c r="S912" s="3" t="s">
        <v>35</v>
      </c>
      <c r="T912">
        <v>2015</v>
      </c>
      <c r="U912" t="s">
        <v>118</v>
      </c>
      <c r="V912" s="2">
        <v>0.48</v>
      </c>
    </row>
    <row r="913" spans="1:22" x14ac:dyDescent="0.25">
      <c r="A913" t="s">
        <v>2815</v>
      </c>
      <c r="B913" s="1">
        <v>42254</v>
      </c>
      <c r="C913" s="1">
        <v>42261</v>
      </c>
      <c r="D913" t="s">
        <v>23</v>
      </c>
      <c r="E913" t="s">
        <v>2816</v>
      </c>
      <c r="F913" t="s">
        <v>2817</v>
      </c>
      <c r="G913" t="s">
        <v>59</v>
      </c>
      <c r="H913" t="s">
        <v>27</v>
      </c>
      <c r="I913" t="s">
        <v>206</v>
      </c>
      <c r="J913" t="s">
        <v>207</v>
      </c>
      <c r="K913" t="s">
        <v>95</v>
      </c>
      <c r="L913" t="s">
        <v>487</v>
      </c>
      <c r="M913" t="s">
        <v>32</v>
      </c>
      <c r="N913" t="s">
        <v>33</v>
      </c>
      <c r="O913" t="s">
        <v>488</v>
      </c>
      <c r="P913">
        <v>791.96400000000006</v>
      </c>
      <c r="Q913">
        <v>6</v>
      </c>
      <c r="R913">
        <v>-131.994</v>
      </c>
      <c r="S913" s="3" t="s">
        <v>132</v>
      </c>
      <c r="T913">
        <v>2015</v>
      </c>
      <c r="U913" t="s">
        <v>81</v>
      </c>
      <c r="V913" s="2">
        <v>-0.16666666666666699</v>
      </c>
    </row>
    <row r="914" spans="1:22" x14ac:dyDescent="0.25">
      <c r="A914" t="s">
        <v>2818</v>
      </c>
      <c r="B914" s="1">
        <v>42937</v>
      </c>
      <c r="C914" s="1">
        <v>42942</v>
      </c>
      <c r="D914" t="s">
        <v>23</v>
      </c>
      <c r="E914" t="s">
        <v>2045</v>
      </c>
      <c r="F914" t="s">
        <v>2046</v>
      </c>
      <c r="G914" t="s">
        <v>70</v>
      </c>
      <c r="H914" t="s">
        <v>27</v>
      </c>
      <c r="I914" t="s">
        <v>1310</v>
      </c>
      <c r="J914" t="s">
        <v>177</v>
      </c>
      <c r="K914" t="s">
        <v>95</v>
      </c>
      <c r="L914" t="s">
        <v>2819</v>
      </c>
      <c r="M914" t="s">
        <v>32</v>
      </c>
      <c r="N914" t="s">
        <v>33</v>
      </c>
      <c r="O914" t="s">
        <v>2820</v>
      </c>
      <c r="P914">
        <v>210.56399999999999</v>
      </c>
      <c r="Q914">
        <v>6</v>
      </c>
      <c r="R914">
        <v>-52.640999999999998</v>
      </c>
      <c r="S914" s="3" t="s">
        <v>35</v>
      </c>
      <c r="T914">
        <v>2017</v>
      </c>
      <c r="U914" t="s">
        <v>332</v>
      </c>
      <c r="V914" s="2">
        <v>-0.25</v>
      </c>
    </row>
    <row r="915" spans="1:22" x14ac:dyDescent="0.25">
      <c r="A915" t="s">
        <v>2821</v>
      </c>
      <c r="B915" s="1">
        <v>41967</v>
      </c>
      <c r="C915" s="1">
        <v>41972</v>
      </c>
      <c r="D915" t="s">
        <v>23</v>
      </c>
      <c r="E915" t="s">
        <v>1334</v>
      </c>
      <c r="F915" t="s">
        <v>1335</v>
      </c>
      <c r="G915" t="s">
        <v>26</v>
      </c>
      <c r="H915" t="s">
        <v>27</v>
      </c>
      <c r="I915" t="s">
        <v>965</v>
      </c>
      <c r="J915" t="s">
        <v>177</v>
      </c>
      <c r="K915" t="s">
        <v>95</v>
      </c>
      <c r="L915" t="s">
        <v>2822</v>
      </c>
      <c r="M915" t="s">
        <v>32</v>
      </c>
      <c r="N915" t="s">
        <v>33</v>
      </c>
      <c r="O915" t="s">
        <v>2823</v>
      </c>
      <c r="P915">
        <v>1502.376</v>
      </c>
      <c r="Q915">
        <v>4</v>
      </c>
      <c r="R915">
        <v>-250.39599999999999</v>
      </c>
      <c r="S915" s="3" t="s">
        <v>35</v>
      </c>
      <c r="T915">
        <v>2014</v>
      </c>
      <c r="U915" t="s">
        <v>118</v>
      </c>
      <c r="V915" s="2">
        <v>-0.16666666666666699</v>
      </c>
    </row>
    <row r="916" spans="1:22" x14ac:dyDescent="0.25">
      <c r="A916" t="s">
        <v>2824</v>
      </c>
      <c r="B916" s="1">
        <v>41958</v>
      </c>
      <c r="C916" s="1">
        <v>41961</v>
      </c>
      <c r="D916" t="s">
        <v>56</v>
      </c>
      <c r="E916" t="s">
        <v>2825</v>
      </c>
      <c r="F916" t="s">
        <v>2826</v>
      </c>
      <c r="G916" t="s">
        <v>26</v>
      </c>
      <c r="H916" t="s">
        <v>27</v>
      </c>
      <c r="I916" t="s">
        <v>28</v>
      </c>
      <c r="J916" t="s">
        <v>29</v>
      </c>
      <c r="K916" t="s">
        <v>30</v>
      </c>
      <c r="L916" t="s">
        <v>289</v>
      </c>
      <c r="M916" t="s">
        <v>32</v>
      </c>
      <c r="N916" t="s">
        <v>51</v>
      </c>
      <c r="O916" t="s">
        <v>290</v>
      </c>
      <c r="P916">
        <v>772.47</v>
      </c>
      <c r="Q916">
        <v>3</v>
      </c>
      <c r="R916">
        <v>146.76929999999999</v>
      </c>
      <c r="S916" s="3" t="s">
        <v>172</v>
      </c>
      <c r="T916">
        <v>2014</v>
      </c>
      <c r="U916" t="s">
        <v>118</v>
      </c>
      <c r="V916" s="2">
        <v>0.19</v>
      </c>
    </row>
    <row r="917" spans="1:22" x14ac:dyDescent="0.25">
      <c r="A917" t="s">
        <v>2827</v>
      </c>
      <c r="B917" s="1">
        <v>42722</v>
      </c>
      <c r="C917" s="1">
        <v>42728</v>
      </c>
      <c r="D917" t="s">
        <v>23</v>
      </c>
      <c r="E917" t="s">
        <v>844</v>
      </c>
      <c r="F917" t="s">
        <v>845</v>
      </c>
      <c r="G917" t="s">
        <v>26</v>
      </c>
      <c r="H917" t="s">
        <v>27</v>
      </c>
      <c r="I917" t="s">
        <v>300</v>
      </c>
      <c r="J917" t="s">
        <v>29</v>
      </c>
      <c r="K917" t="s">
        <v>30</v>
      </c>
      <c r="L917" t="s">
        <v>571</v>
      </c>
      <c r="M917" t="s">
        <v>32</v>
      </c>
      <c r="N917" t="s">
        <v>51</v>
      </c>
      <c r="O917" t="s">
        <v>572</v>
      </c>
      <c r="P917">
        <v>72.64</v>
      </c>
      <c r="Q917">
        <v>2</v>
      </c>
      <c r="R917">
        <v>21.792000000000002</v>
      </c>
      <c r="S917" s="3" t="s">
        <v>107</v>
      </c>
      <c r="T917">
        <v>2016</v>
      </c>
      <c r="U917" t="s">
        <v>66</v>
      </c>
      <c r="V917" s="2">
        <v>0.3</v>
      </c>
    </row>
    <row r="918" spans="1:22" x14ac:dyDescent="0.25">
      <c r="A918" t="s">
        <v>2827</v>
      </c>
      <c r="B918" s="1">
        <v>42722</v>
      </c>
      <c r="C918" s="1">
        <v>42728</v>
      </c>
      <c r="D918" t="s">
        <v>23</v>
      </c>
      <c r="E918" t="s">
        <v>844</v>
      </c>
      <c r="F918" t="s">
        <v>845</v>
      </c>
      <c r="G918" t="s">
        <v>26</v>
      </c>
      <c r="H918" t="s">
        <v>27</v>
      </c>
      <c r="I918" t="s">
        <v>300</v>
      </c>
      <c r="J918" t="s">
        <v>29</v>
      </c>
      <c r="K918" t="s">
        <v>30</v>
      </c>
      <c r="L918" t="s">
        <v>289</v>
      </c>
      <c r="M918" t="s">
        <v>32</v>
      </c>
      <c r="N918" t="s">
        <v>51</v>
      </c>
      <c r="O918" t="s">
        <v>290</v>
      </c>
      <c r="P918">
        <v>772.47</v>
      </c>
      <c r="Q918">
        <v>3</v>
      </c>
      <c r="R918">
        <v>146.76929999999999</v>
      </c>
      <c r="S918" s="3" t="s">
        <v>107</v>
      </c>
      <c r="T918">
        <v>2016</v>
      </c>
      <c r="U918" t="s">
        <v>66</v>
      </c>
      <c r="V918" s="2">
        <v>0.19</v>
      </c>
    </row>
    <row r="919" spans="1:22" x14ac:dyDescent="0.25">
      <c r="A919" t="s">
        <v>2828</v>
      </c>
      <c r="B919" s="1">
        <v>42945</v>
      </c>
      <c r="C919" s="1">
        <v>42950</v>
      </c>
      <c r="D919" t="s">
        <v>23</v>
      </c>
      <c r="E919" t="s">
        <v>2371</v>
      </c>
      <c r="F919" t="s">
        <v>2372</v>
      </c>
      <c r="G919" t="s">
        <v>26</v>
      </c>
      <c r="H919" t="s">
        <v>27</v>
      </c>
      <c r="I919" t="s">
        <v>1541</v>
      </c>
      <c r="J919" t="s">
        <v>200</v>
      </c>
      <c r="K919" t="s">
        <v>62</v>
      </c>
      <c r="L919" t="s">
        <v>427</v>
      </c>
      <c r="M919" t="s">
        <v>32</v>
      </c>
      <c r="N919" t="s">
        <v>33</v>
      </c>
      <c r="O919" t="s">
        <v>428</v>
      </c>
      <c r="P919">
        <v>461.97</v>
      </c>
      <c r="Q919">
        <v>3</v>
      </c>
      <c r="R919">
        <v>133.97130000000001</v>
      </c>
      <c r="S919" s="3" t="s">
        <v>35</v>
      </c>
      <c r="T919">
        <v>2017</v>
      </c>
      <c r="U919" t="s">
        <v>332</v>
      </c>
      <c r="V919" s="2">
        <v>0.28999999999999998</v>
      </c>
    </row>
    <row r="920" spans="1:22" x14ac:dyDescent="0.25">
      <c r="A920" t="s">
        <v>2829</v>
      </c>
      <c r="B920" s="1">
        <v>41884</v>
      </c>
      <c r="C920" s="1">
        <v>41889</v>
      </c>
      <c r="D920" t="s">
        <v>40</v>
      </c>
      <c r="E920" t="s">
        <v>1723</v>
      </c>
      <c r="F920" t="s">
        <v>1724</v>
      </c>
      <c r="G920" t="s">
        <v>26</v>
      </c>
      <c r="H920" t="s">
        <v>27</v>
      </c>
      <c r="I920" t="s">
        <v>140</v>
      </c>
      <c r="J920" t="s">
        <v>78</v>
      </c>
      <c r="K920" t="s">
        <v>62</v>
      </c>
      <c r="L920" t="s">
        <v>710</v>
      </c>
      <c r="M920" t="s">
        <v>32</v>
      </c>
      <c r="N920" t="s">
        <v>51</v>
      </c>
      <c r="O920" t="s">
        <v>711</v>
      </c>
      <c r="P920">
        <v>239.976</v>
      </c>
      <c r="Q920">
        <v>3</v>
      </c>
      <c r="R920">
        <v>53.994599999999998</v>
      </c>
      <c r="S920" s="3" t="s">
        <v>35</v>
      </c>
      <c r="T920">
        <v>2014</v>
      </c>
      <c r="U920" t="s">
        <v>81</v>
      </c>
      <c r="V920" s="2">
        <v>0.22500000000000001</v>
      </c>
    </row>
    <row r="921" spans="1:22" x14ac:dyDescent="0.25">
      <c r="A921" t="s">
        <v>2830</v>
      </c>
      <c r="B921" s="1">
        <v>41735</v>
      </c>
      <c r="C921" s="1">
        <v>41741</v>
      </c>
      <c r="D921" t="s">
        <v>23</v>
      </c>
      <c r="E921" t="s">
        <v>1711</v>
      </c>
      <c r="F921" t="s">
        <v>1712</v>
      </c>
      <c r="G921" t="s">
        <v>59</v>
      </c>
      <c r="H921" t="s">
        <v>27</v>
      </c>
      <c r="I921" t="s">
        <v>481</v>
      </c>
      <c r="J921" t="s">
        <v>426</v>
      </c>
      <c r="K921" t="s">
        <v>30</v>
      </c>
      <c r="L921" t="s">
        <v>800</v>
      </c>
      <c r="M921" t="s">
        <v>32</v>
      </c>
      <c r="N921" t="s">
        <v>51</v>
      </c>
      <c r="O921" t="s">
        <v>801</v>
      </c>
      <c r="P921">
        <v>33.9</v>
      </c>
      <c r="Q921">
        <v>2</v>
      </c>
      <c r="R921">
        <v>2.0339999999999998</v>
      </c>
      <c r="S921" s="3" t="s">
        <v>107</v>
      </c>
      <c r="T921">
        <v>2014</v>
      </c>
      <c r="U921" t="s">
        <v>291</v>
      </c>
      <c r="V921" s="2">
        <v>0.06</v>
      </c>
    </row>
    <row r="922" spans="1:22" x14ac:dyDescent="0.25">
      <c r="A922" t="s">
        <v>2831</v>
      </c>
      <c r="B922" s="1">
        <v>43056</v>
      </c>
      <c r="C922" s="1">
        <v>43060</v>
      </c>
      <c r="D922" t="s">
        <v>40</v>
      </c>
      <c r="E922" t="s">
        <v>2832</v>
      </c>
      <c r="F922" t="s">
        <v>2833</v>
      </c>
      <c r="G922" t="s">
        <v>26</v>
      </c>
      <c r="H922" t="s">
        <v>27</v>
      </c>
      <c r="I922" t="s">
        <v>77</v>
      </c>
      <c r="J922" t="s">
        <v>78</v>
      </c>
      <c r="K922" t="s">
        <v>62</v>
      </c>
      <c r="L922" t="s">
        <v>721</v>
      </c>
      <c r="M922" t="s">
        <v>32</v>
      </c>
      <c r="N922" t="s">
        <v>51</v>
      </c>
      <c r="O922" t="s">
        <v>722</v>
      </c>
      <c r="P922">
        <v>239.96</v>
      </c>
      <c r="Q922">
        <v>5</v>
      </c>
      <c r="R922">
        <v>83.986000000000004</v>
      </c>
      <c r="S922" s="3" t="s">
        <v>53</v>
      </c>
      <c r="T922">
        <v>2017</v>
      </c>
      <c r="U922" t="s">
        <v>118</v>
      </c>
      <c r="V922" s="2">
        <v>0.35</v>
      </c>
    </row>
    <row r="923" spans="1:22" x14ac:dyDescent="0.25">
      <c r="A923" t="s">
        <v>2834</v>
      </c>
      <c r="B923" s="1">
        <v>42196</v>
      </c>
      <c r="C923" s="1">
        <v>42197</v>
      </c>
      <c r="D923" t="s">
        <v>56</v>
      </c>
      <c r="E923" t="s">
        <v>2048</v>
      </c>
      <c r="F923" t="s">
        <v>2049</v>
      </c>
      <c r="G923" t="s">
        <v>59</v>
      </c>
      <c r="H923" t="s">
        <v>27</v>
      </c>
      <c r="I923" t="s">
        <v>169</v>
      </c>
      <c r="J923" t="s">
        <v>94</v>
      </c>
      <c r="K923" t="s">
        <v>95</v>
      </c>
      <c r="L923" t="s">
        <v>1385</v>
      </c>
      <c r="M923" t="s">
        <v>32</v>
      </c>
      <c r="N923" t="s">
        <v>33</v>
      </c>
      <c r="O923" t="s">
        <v>1386</v>
      </c>
      <c r="P923">
        <v>716</v>
      </c>
      <c r="Q923">
        <v>2</v>
      </c>
      <c r="R923">
        <v>193.32</v>
      </c>
      <c r="S923" s="3" t="s">
        <v>112</v>
      </c>
      <c r="T923">
        <v>2015</v>
      </c>
      <c r="U923" t="s">
        <v>332</v>
      </c>
      <c r="V923" s="2">
        <v>0.27</v>
      </c>
    </row>
    <row r="924" spans="1:22" x14ac:dyDescent="0.25">
      <c r="A924" t="s">
        <v>2835</v>
      </c>
      <c r="B924" s="1">
        <v>41729</v>
      </c>
      <c r="C924" s="1">
        <v>41733</v>
      </c>
      <c r="D924" t="s">
        <v>23</v>
      </c>
      <c r="E924" t="s">
        <v>2836</v>
      </c>
      <c r="F924" t="s">
        <v>2837</v>
      </c>
      <c r="G924" t="s">
        <v>26</v>
      </c>
      <c r="H924" t="s">
        <v>27</v>
      </c>
      <c r="I924" t="s">
        <v>140</v>
      </c>
      <c r="J924" t="s">
        <v>78</v>
      </c>
      <c r="K924" t="s">
        <v>62</v>
      </c>
      <c r="L924" t="s">
        <v>780</v>
      </c>
      <c r="M924" t="s">
        <v>32</v>
      </c>
      <c r="N924" t="s">
        <v>51</v>
      </c>
      <c r="O924" t="s">
        <v>781</v>
      </c>
      <c r="P924">
        <v>79.983999999999995</v>
      </c>
      <c r="Q924">
        <v>2</v>
      </c>
      <c r="R924">
        <v>13.997199999999999</v>
      </c>
      <c r="S924" s="3" t="s">
        <v>53</v>
      </c>
      <c r="T924">
        <v>2014</v>
      </c>
      <c r="U924" t="s">
        <v>89</v>
      </c>
      <c r="V924" s="2">
        <v>0.17499999999999999</v>
      </c>
    </row>
    <row r="925" spans="1:22" x14ac:dyDescent="0.25">
      <c r="A925" t="s">
        <v>2838</v>
      </c>
      <c r="B925" s="1">
        <v>42007</v>
      </c>
      <c r="C925" s="1">
        <v>42012</v>
      </c>
      <c r="D925" t="s">
        <v>40</v>
      </c>
      <c r="E925" t="s">
        <v>2556</v>
      </c>
      <c r="F925" t="s">
        <v>2557</v>
      </c>
      <c r="G925" t="s">
        <v>26</v>
      </c>
      <c r="H925" t="s">
        <v>27</v>
      </c>
      <c r="I925" t="s">
        <v>262</v>
      </c>
      <c r="J925" t="s">
        <v>61</v>
      </c>
      <c r="K925" t="s">
        <v>62</v>
      </c>
      <c r="L925" t="s">
        <v>930</v>
      </c>
      <c r="M925" t="s">
        <v>32</v>
      </c>
      <c r="N925" t="s">
        <v>51</v>
      </c>
      <c r="O925" t="s">
        <v>931</v>
      </c>
      <c r="P925">
        <v>398.4</v>
      </c>
      <c r="Q925">
        <v>5</v>
      </c>
      <c r="R925">
        <v>84.66</v>
      </c>
      <c r="S925" s="3" t="s">
        <v>35</v>
      </c>
      <c r="T925">
        <v>2015</v>
      </c>
      <c r="U925" t="s">
        <v>54</v>
      </c>
      <c r="V925" s="2">
        <v>0.21249999999999999</v>
      </c>
    </row>
    <row r="926" spans="1:22" x14ac:dyDescent="0.25">
      <c r="A926" t="s">
        <v>2839</v>
      </c>
      <c r="B926" s="1">
        <v>42709</v>
      </c>
      <c r="C926" s="1">
        <v>42711</v>
      </c>
      <c r="D926" t="s">
        <v>40</v>
      </c>
      <c r="E926" t="s">
        <v>1566</v>
      </c>
      <c r="F926" t="s">
        <v>1567</v>
      </c>
      <c r="G926" t="s">
        <v>26</v>
      </c>
      <c r="H926" t="s">
        <v>27</v>
      </c>
      <c r="I926" t="s">
        <v>2840</v>
      </c>
      <c r="J926" t="s">
        <v>804</v>
      </c>
      <c r="K926" t="s">
        <v>155</v>
      </c>
      <c r="L926" t="s">
        <v>906</v>
      </c>
      <c r="M926" t="s">
        <v>32</v>
      </c>
      <c r="N926" t="s">
        <v>33</v>
      </c>
      <c r="O926" t="s">
        <v>907</v>
      </c>
      <c r="P926">
        <v>699.98</v>
      </c>
      <c r="Q926">
        <v>2</v>
      </c>
      <c r="R926">
        <v>195.99440000000001</v>
      </c>
      <c r="S926" s="3" t="s">
        <v>65</v>
      </c>
      <c r="T926">
        <v>2016</v>
      </c>
      <c r="U926" t="s">
        <v>66</v>
      </c>
      <c r="V926" s="2">
        <v>0.28000000000000003</v>
      </c>
    </row>
    <row r="927" spans="1:22" x14ac:dyDescent="0.25">
      <c r="A927" t="s">
        <v>2841</v>
      </c>
      <c r="B927" s="1">
        <v>42132</v>
      </c>
      <c r="C927" s="1">
        <v>42136</v>
      </c>
      <c r="D927" t="s">
        <v>23</v>
      </c>
      <c r="E927" t="s">
        <v>2014</v>
      </c>
      <c r="F927" t="s">
        <v>2015</v>
      </c>
      <c r="G927" t="s">
        <v>26</v>
      </c>
      <c r="H927" t="s">
        <v>27</v>
      </c>
      <c r="I927" t="s">
        <v>2842</v>
      </c>
      <c r="J927" t="s">
        <v>86</v>
      </c>
      <c r="K927" t="s">
        <v>62</v>
      </c>
      <c r="L927" t="s">
        <v>1290</v>
      </c>
      <c r="M927" t="s">
        <v>32</v>
      </c>
      <c r="N927" t="s">
        <v>33</v>
      </c>
      <c r="O927" t="s">
        <v>1291</v>
      </c>
      <c r="P927">
        <v>377.97</v>
      </c>
      <c r="Q927">
        <v>3</v>
      </c>
      <c r="R927">
        <v>105.83159999999999</v>
      </c>
      <c r="S927" s="3" t="s">
        <v>53</v>
      </c>
      <c r="T927">
        <v>2015</v>
      </c>
      <c r="U927" t="s">
        <v>527</v>
      </c>
      <c r="V927" s="2">
        <v>0.28000000000000003</v>
      </c>
    </row>
    <row r="928" spans="1:22" x14ac:dyDescent="0.25">
      <c r="A928" t="s">
        <v>2843</v>
      </c>
      <c r="B928" s="1">
        <v>43000</v>
      </c>
      <c r="C928" s="1">
        <v>43002</v>
      </c>
      <c r="D928" t="s">
        <v>56</v>
      </c>
      <c r="E928" t="s">
        <v>1373</v>
      </c>
      <c r="F928" t="s">
        <v>1374</v>
      </c>
      <c r="G928" t="s">
        <v>26</v>
      </c>
      <c r="H928" t="s">
        <v>27</v>
      </c>
      <c r="I928" t="s">
        <v>169</v>
      </c>
      <c r="J928" t="s">
        <v>94</v>
      </c>
      <c r="K928" t="s">
        <v>95</v>
      </c>
      <c r="L928" t="s">
        <v>63</v>
      </c>
      <c r="M928" t="s">
        <v>32</v>
      </c>
      <c r="N928" t="s">
        <v>33</v>
      </c>
      <c r="O928" t="s">
        <v>64</v>
      </c>
      <c r="P928">
        <v>391.98</v>
      </c>
      <c r="Q928">
        <v>2</v>
      </c>
      <c r="R928">
        <v>113.6742</v>
      </c>
      <c r="S928" s="3" t="s">
        <v>65</v>
      </c>
      <c r="T928">
        <v>2017</v>
      </c>
      <c r="U928" t="s">
        <v>81</v>
      </c>
      <c r="V928" s="2">
        <v>0.28999999999999998</v>
      </c>
    </row>
    <row r="929" spans="1:22" x14ac:dyDescent="0.25">
      <c r="A929" t="s">
        <v>2844</v>
      </c>
      <c r="B929" s="1">
        <v>43069</v>
      </c>
      <c r="C929" s="1">
        <v>43076</v>
      </c>
      <c r="D929" t="s">
        <v>23</v>
      </c>
      <c r="E929" t="s">
        <v>1998</v>
      </c>
      <c r="F929" t="s">
        <v>1999</v>
      </c>
      <c r="G929" t="s">
        <v>26</v>
      </c>
      <c r="H929" t="s">
        <v>27</v>
      </c>
      <c r="I929" t="s">
        <v>680</v>
      </c>
      <c r="J929" t="s">
        <v>154</v>
      </c>
      <c r="K929" t="s">
        <v>155</v>
      </c>
      <c r="L929" t="s">
        <v>346</v>
      </c>
      <c r="M929" t="s">
        <v>32</v>
      </c>
      <c r="N929" t="s">
        <v>51</v>
      </c>
      <c r="O929" t="s">
        <v>347</v>
      </c>
      <c r="P929">
        <v>383.976</v>
      </c>
      <c r="Q929">
        <v>3</v>
      </c>
      <c r="R929">
        <v>81.594899999999996</v>
      </c>
      <c r="S929" s="3" t="s">
        <v>132</v>
      </c>
      <c r="T929">
        <v>2017</v>
      </c>
      <c r="U929" t="s">
        <v>118</v>
      </c>
      <c r="V929" s="2">
        <v>0.21249999999999999</v>
      </c>
    </row>
    <row r="930" spans="1:22" x14ac:dyDescent="0.25">
      <c r="A930" t="s">
        <v>2845</v>
      </c>
      <c r="B930" s="1">
        <v>41859</v>
      </c>
      <c r="C930" s="1">
        <v>41863</v>
      </c>
      <c r="D930" t="s">
        <v>23</v>
      </c>
      <c r="E930" t="s">
        <v>2160</v>
      </c>
      <c r="F930" t="s">
        <v>2161</v>
      </c>
      <c r="G930" t="s">
        <v>70</v>
      </c>
      <c r="H930" t="s">
        <v>27</v>
      </c>
      <c r="I930" t="s">
        <v>2846</v>
      </c>
      <c r="J930" t="s">
        <v>256</v>
      </c>
      <c r="K930" t="s">
        <v>62</v>
      </c>
      <c r="L930" t="s">
        <v>2346</v>
      </c>
      <c r="M930" t="s">
        <v>32</v>
      </c>
      <c r="N930" t="s">
        <v>381</v>
      </c>
      <c r="O930" t="s">
        <v>2347</v>
      </c>
      <c r="P930">
        <v>549.99</v>
      </c>
      <c r="Q930">
        <v>1</v>
      </c>
      <c r="R930">
        <v>274.995</v>
      </c>
      <c r="S930" s="3" t="s">
        <v>53</v>
      </c>
      <c r="T930">
        <v>2014</v>
      </c>
      <c r="U930" t="s">
        <v>46</v>
      </c>
      <c r="V930" s="2">
        <v>0.5</v>
      </c>
    </row>
    <row r="931" spans="1:22" x14ac:dyDescent="0.25">
      <c r="A931" t="s">
        <v>2845</v>
      </c>
      <c r="B931" s="1">
        <v>41859</v>
      </c>
      <c r="C931" s="1">
        <v>41863</v>
      </c>
      <c r="D931" t="s">
        <v>23</v>
      </c>
      <c r="E931" t="s">
        <v>2160</v>
      </c>
      <c r="F931" t="s">
        <v>2161</v>
      </c>
      <c r="G931" t="s">
        <v>70</v>
      </c>
      <c r="H931" t="s">
        <v>27</v>
      </c>
      <c r="I931" t="s">
        <v>2846</v>
      </c>
      <c r="J931" t="s">
        <v>256</v>
      </c>
      <c r="K931" t="s">
        <v>62</v>
      </c>
      <c r="L931" t="s">
        <v>2194</v>
      </c>
      <c r="M931" t="s">
        <v>32</v>
      </c>
      <c r="N931" t="s">
        <v>33</v>
      </c>
      <c r="O931" t="s">
        <v>2195</v>
      </c>
      <c r="P931">
        <v>299.98</v>
      </c>
      <c r="Q931">
        <v>2</v>
      </c>
      <c r="R931">
        <v>83.994399999999999</v>
      </c>
      <c r="S931" s="3" t="s">
        <v>53</v>
      </c>
      <c r="T931">
        <v>2014</v>
      </c>
      <c r="U931" t="s">
        <v>46</v>
      </c>
      <c r="V931" s="2">
        <v>0.28000000000000003</v>
      </c>
    </row>
    <row r="932" spans="1:22" x14ac:dyDescent="0.25">
      <c r="A932" t="s">
        <v>2847</v>
      </c>
      <c r="B932" s="1">
        <v>42621</v>
      </c>
      <c r="C932" s="1">
        <v>42625</v>
      </c>
      <c r="D932" t="s">
        <v>23</v>
      </c>
      <c r="E932" t="s">
        <v>2848</v>
      </c>
      <c r="F932" t="s">
        <v>2849</v>
      </c>
      <c r="G932" t="s">
        <v>26</v>
      </c>
      <c r="H932" t="s">
        <v>27</v>
      </c>
      <c r="I932" t="s">
        <v>228</v>
      </c>
      <c r="J932" t="s">
        <v>154</v>
      </c>
      <c r="K932" t="s">
        <v>155</v>
      </c>
      <c r="L932" t="s">
        <v>1105</v>
      </c>
      <c r="M932" t="s">
        <v>32</v>
      </c>
      <c r="N932" t="s">
        <v>51</v>
      </c>
      <c r="O932" t="s">
        <v>1106</v>
      </c>
      <c r="P932">
        <v>35.167999999999999</v>
      </c>
      <c r="Q932">
        <v>4</v>
      </c>
      <c r="R932">
        <v>8.3523999999999994</v>
      </c>
      <c r="S932" s="3" t="s">
        <v>53</v>
      </c>
      <c r="T932">
        <v>2016</v>
      </c>
      <c r="U932" t="s">
        <v>81</v>
      </c>
      <c r="V932" s="2">
        <v>0.23749999999999999</v>
      </c>
    </row>
    <row r="933" spans="1:22" x14ac:dyDescent="0.25">
      <c r="A933" t="s">
        <v>2850</v>
      </c>
      <c r="B933" s="1">
        <v>42068</v>
      </c>
      <c r="C933" s="1">
        <v>42072</v>
      </c>
      <c r="D933" t="s">
        <v>23</v>
      </c>
      <c r="E933" t="s">
        <v>2769</v>
      </c>
      <c r="F933" t="s">
        <v>2770</v>
      </c>
      <c r="G933" t="s">
        <v>59</v>
      </c>
      <c r="H933" t="s">
        <v>27</v>
      </c>
      <c r="I933" t="s">
        <v>206</v>
      </c>
      <c r="J933" t="s">
        <v>207</v>
      </c>
      <c r="K933" t="s">
        <v>95</v>
      </c>
      <c r="L933" t="s">
        <v>2851</v>
      </c>
      <c r="M933" t="s">
        <v>32</v>
      </c>
      <c r="N933" t="s">
        <v>33</v>
      </c>
      <c r="O933" t="s">
        <v>2852</v>
      </c>
      <c r="P933">
        <v>466.15800000000002</v>
      </c>
      <c r="Q933">
        <v>7</v>
      </c>
      <c r="R933">
        <v>-93.2316</v>
      </c>
      <c r="S933" s="3" t="s">
        <v>53</v>
      </c>
      <c r="T933">
        <v>2015</v>
      </c>
      <c r="U933" t="s">
        <v>89</v>
      </c>
      <c r="V933" s="2">
        <v>-0.2</v>
      </c>
    </row>
    <row r="934" spans="1:22" x14ac:dyDescent="0.25">
      <c r="A934" t="s">
        <v>2850</v>
      </c>
      <c r="B934" s="1">
        <v>42068</v>
      </c>
      <c r="C934" s="1">
        <v>42072</v>
      </c>
      <c r="D934" t="s">
        <v>23</v>
      </c>
      <c r="E934" t="s">
        <v>2769</v>
      </c>
      <c r="F934" t="s">
        <v>2770</v>
      </c>
      <c r="G934" t="s">
        <v>59</v>
      </c>
      <c r="H934" t="s">
        <v>27</v>
      </c>
      <c r="I934" t="s">
        <v>206</v>
      </c>
      <c r="J934" t="s">
        <v>207</v>
      </c>
      <c r="K934" t="s">
        <v>95</v>
      </c>
      <c r="L934" t="s">
        <v>659</v>
      </c>
      <c r="M934" t="s">
        <v>32</v>
      </c>
      <c r="N934" t="s">
        <v>51</v>
      </c>
      <c r="O934" t="s">
        <v>660</v>
      </c>
      <c r="P934">
        <v>10.311999999999999</v>
      </c>
      <c r="Q934">
        <v>1</v>
      </c>
      <c r="R934">
        <v>-1.2889999999999999</v>
      </c>
      <c r="S934" s="3" t="s">
        <v>53</v>
      </c>
      <c r="T934">
        <v>2015</v>
      </c>
      <c r="U934" t="s">
        <v>89</v>
      </c>
      <c r="V934" s="2">
        <v>-0.125</v>
      </c>
    </row>
    <row r="935" spans="1:22" x14ac:dyDescent="0.25">
      <c r="A935" t="s">
        <v>2853</v>
      </c>
      <c r="B935" s="1">
        <v>41979</v>
      </c>
      <c r="C935" s="1">
        <v>41983</v>
      </c>
      <c r="D935" t="s">
        <v>23</v>
      </c>
      <c r="E935" t="s">
        <v>2854</v>
      </c>
      <c r="F935" t="s">
        <v>2855</v>
      </c>
      <c r="G935" t="s">
        <v>26</v>
      </c>
      <c r="H935" t="s">
        <v>27</v>
      </c>
      <c r="I935" t="s">
        <v>140</v>
      </c>
      <c r="J935" t="s">
        <v>78</v>
      </c>
      <c r="K935" t="s">
        <v>62</v>
      </c>
      <c r="L935" t="s">
        <v>1023</v>
      </c>
      <c r="M935" t="s">
        <v>32</v>
      </c>
      <c r="N935" t="s">
        <v>33</v>
      </c>
      <c r="O935" t="s">
        <v>1024</v>
      </c>
      <c r="P935">
        <v>35.04</v>
      </c>
      <c r="Q935">
        <v>4</v>
      </c>
      <c r="R935">
        <v>-7.008</v>
      </c>
      <c r="S935" s="3" t="s">
        <v>53</v>
      </c>
      <c r="T935">
        <v>2014</v>
      </c>
      <c r="U935" t="s">
        <v>66</v>
      </c>
      <c r="V935" s="2">
        <v>-0.2</v>
      </c>
    </row>
    <row r="936" spans="1:22" x14ac:dyDescent="0.25">
      <c r="A936" t="s">
        <v>2856</v>
      </c>
      <c r="B936" s="1">
        <v>42089</v>
      </c>
      <c r="C936" s="1">
        <v>42093</v>
      </c>
      <c r="D936" t="s">
        <v>40</v>
      </c>
      <c r="E936" t="s">
        <v>2857</v>
      </c>
      <c r="F936" t="s">
        <v>2858</v>
      </c>
      <c r="G936" t="s">
        <v>26</v>
      </c>
      <c r="H936" t="s">
        <v>27</v>
      </c>
      <c r="I936" t="s">
        <v>206</v>
      </c>
      <c r="J936" t="s">
        <v>207</v>
      </c>
      <c r="K936" t="s">
        <v>95</v>
      </c>
      <c r="L936" t="s">
        <v>116</v>
      </c>
      <c r="M936" t="s">
        <v>32</v>
      </c>
      <c r="N936" t="s">
        <v>51</v>
      </c>
      <c r="O936" t="s">
        <v>117</v>
      </c>
      <c r="P936">
        <v>16.776</v>
      </c>
      <c r="Q936">
        <v>3</v>
      </c>
      <c r="R936">
        <v>5.0327999999999999</v>
      </c>
      <c r="S936" s="3" t="s">
        <v>53</v>
      </c>
      <c r="T936">
        <v>2015</v>
      </c>
      <c r="U936" t="s">
        <v>89</v>
      </c>
      <c r="V936" s="2">
        <v>0.3</v>
      </c>
    </row>
    <row r="937" spans="1:22" x14ac:dyDescent="0.25">
      <c r="A937" t="s">
        <v>2859</v>
      </c>
      <c r="B937" s="1">
        <v>42266</v>
      </c>
      <c r="C937" s="1">
        <v>42273</v>
      </c>
      <c r="D937" t="s">
        <v>23</v>
      </c>
      <c r="E937" t="s">
        <v>2473</v>
      </c>
      <c r="F937" t="s">
        <v>2474</v>
      </c>
      <c r="G937" t="s">
        <v>59</v>
      </c>
      <c r="H937" t="s">
        <v>27</v>
      </c>
      <c r="I937" t="s">
        <v>176</v>
      </c>
      <c r="J937" t="s">
        <v>1006</v>
      </c>
      <c r="K937" t="s">
        <v>155</v>
      </c>
      <c r="L937" t="s">
        <v>1771</v>
      </c>
      <c r="M937" t="s">
        <v>32</v>
      </c>
      <c r="N937" t="s">
        <v>51</v>
      </c>
      <c r="O937" t="s">
        <v>1772</v>
      </c>
      <c r="P937">
        <v>66.36</v>
      </c>
      <c r="Q937">
        <v>4</v>
      </c>
      <c r="R937">
        <v>23.225999999999999</v>
      </c>
      <c r="S937" s="3" t="s">
        <v>132</v>
      </c>
      <c r="T937">
        <v>2015</v>
      </c>
      <c r="U937" t="s">
        <v>81</v>
      </c>
      <c r="V937" s="2">
        <v>0.35</v>
      </c>
    </row>
    <row r="938" spans="1:22" x14ac:dyDescent="0.25">
      <c r="A938" t="s">
        <v>2860</v>
      </c>
      <c r="B938" s="1">
        <v>42273</v>
      </c>
      <c r="C938" s="1">
        <v>42280</v>
      </c>
      <c r="D938" t="s">
        <v>23</v>
      </c>
      <c r="E938" t="s">
        <v>2857</v>
      </c>
      <c r="F938" t="s">
        <v>2858</v>
      </c>
      <c r="G938" t="s">
        <v>26</v>
      </c>
      <c r="H938" t="s">
        <v>27</v>
      </c>
      <c r="I938" t="s">
        <v>2861</v>
      </c>
      <c r="J938" t="s">
        <v>104</v>
      </c>
      <c r="K938" t="s">
        <v>95</v>
      </c>
      <c r="L938" t="s">
        <v>2284</v>
      </c>
      <c r="M938" t="s">
        <v>32</v>
      </c>
      <c r="N938" t="s">
        <v>215</v>
      </c>
      <c r="O938" t="s">
        <v>2285</v>
      </c>
      <c r="P938">
        <v>629.92999999999995</v>
      </c>
      <c r="Q938">
        <v>7</v>
      </c>
      <c r="R938">
        <v>296.06709999999998</v>
      </c>
      <c r="S938" s="3" t="s">
        <v>132</v>
      </c>
      <c r="T938">
        <v>2015</v>
      </c>
      <c r="U938" t="s">
        <v>81</v>
      </c>
      <c r="V938" s="2">
        <v>0.47</v>
      </c>
    </row>
    <row r="939" spans="1:22" x14ac:dyDescent="0.25">
      <c r="A939" t="s">
        <v>2862</v>
      </c>
      <c r="B939" s="1">
        <v>41733</v>
      </c>
      <c r="C939" s="1">
        <v>41737</v>
      </c>
      <c r="D939" t="s">
        <v>23</v>
      </c>
      <c r="E939" t="s">
        <v>2121</v>
      </c>
      <c r="F939" t="s">
        <v>2122</v>
      </c>
      <c r="G939" t="s">
        <v>59</v>
      </c>
      <c r="H939" t="s">
        <v>27</v>
      </c>
      <c r="I939" t="s">
        <v>2507</v>
      </c>
      <c r="J939" t="s">
        <v>229</v>
      </c>
      <c r="K939" t="s">
        <v>155</v>
      </c>
      <c r="L939" t="s">
        <v>1413</v>
      </c>
      <c r="M939" t="s">
        <v>32</v>
      </c>
      <c r="N939" t="s">
        <v>51</v>
      </c>
      <c r="O939" t="s">
        <v>1414</v>
      </c>
      <c r="P939">
        <v>99.98</v>
      </c>
      <c r="Q939">
        <v>2</v>
      </c>
      <c r="R939">
        <v>42.991399999999999</v>
      </c>
      <c r="S939" s="3" t="s">
        <v>53</v>
      </c>
      <c r="T939">
        <v>2014</v>
      </c>
      <c r="U939" t="s">
        <v>291</v>
      </c>
      <c r="V939" s="2">
        <v>0.43</v>
      </c>
    </row>
    <row r="940" spans="1:22" x14ac:dyDescent="0.25">
      <c r="A940" t="s">
        <v>2863</v>
      </c>
      <c r="B940" s="1">
        <v>41896</v>
      </c>
      <c r="C940" s="1">
        <v>41896</v>
      </c>
      <c r="D940" t="s">
        <v>677</v>
      </c>
      <c r="E940" t="s">
        <v>2416</v>
      </c>
      <c r="F940" t="s">
        <v>2417</v>
      </c>
      <c r="G940" t="s">
        <v>26</v>
      </c>
      <c r="H940" t="s">
        <v>27</v>
      </c>
      <c r="I940" t="s">
        <v>103</v>
      </c>
      <c r="J940" t="s">
        <v>104</v>
      </c>
      <c r="K940" t="s">
        <v>95</v>
      </c>
      <c r="L940" t="s">
        <v>978</v>
      </c>
      <c r="M940" t="s">
        <v>32</v>
      </c>
      <c r="N940" t="s">
        <v>215</v>
      </c>
      <c r="O940" t="s">
        <v>979</v>
      </c>
      <c r="P940">
        <v>2799.96</v>
      </c>
      <c r="Q940">
        <v>4</v>
      </c>
      <c r="R940">
        <v>1371.9803999999999</v>
      </c>
      <c r="S940" s="3" t="s">
        <v>683</v>
      </c>
      <c r="T940">
        <v>2014</v>
      </c>
      <c r="U940" t="s">
        <v>81</v>
      </c>
      <c r="V940" s="2">
        <v>0.49</v>
      </c>
    </row>
    <row r="941" spans="1:22" x14ac:dyDescent="0.25">
      <c r="A941" t="s">
        <v>2863</v>
      </c>
      <c r="B941" s="1">
        <v>41896</v>
      </c>
      <c r="C941" s="1">
        <v>41896</v>
      </c>
      <c r="D941" t="s">
        <v>677</v>
      </c>
      <c r="E941" t="s">
        <v>2416</v>
      </c>
      <c r="F941" t="s">
        <v>2417</v>
      </c>
      <c r="G941" t="s">
        <v>26</v>
      </c>
      <c r="H941" t="s">
        <v>27</v>
      </c>
      <c r="I941" t="s">
        <v>103</v>
      </c>
      <c r="J941" t="s">
        <v>104</v>
      </c>
      <c r="K941" t="s">
        <v>95</v>
      </c>
      <c r="L941" t="s">
        <v>1610</v>
      </c>
      <c r="M941" t="s">
        <v>32</v>
      </c>
      <c r="N941" t="s">
        <v>33</v>
      </c>
      <c r="O941" t="s">
        <v>1611</v>
      </c>
      <c r="P941">
        <v>16.989999999999998</v>
      </c>
      <c r="Q941">
        <v>1</v>
      </c>
      <c r="R941">
        <v>4.4173999999999998</v>
      </c>
      <c r="S941" s="3" t="s">
        <v>683</v>
      </c>
      <c r="T941">
        <v>2014</v>
      </c>
      <c r="U941" t="s">
        <v>81</v>
      </c>
      <c r="V941" s="2">
        <v>0.26</v>
      </c>
    </row>
    <row r="942" spans="1:22" x14ac:dyDescent="0.25">
      <c r="A942" t="s">
        <v>2863</v>
      </c>
      <c r="B942" s="1">
        <v>41896</v>
      </c>
      <c r="C942" s="1">
        <v>41896</v>
      </c>
      <c r="D942" t="s">
        <v>677</v>
      </c>
      <c r="E942" t="s">
        <v>2416</v>
      </c>
      <c r="F942" t="s">
        <v>2417</v>
      </c>
      <c r="G942" t="s">
        <v>26</v>
      </c>
      <c r="H942" t="s">
        <v>27</v>
      </c>
      <c r="I942" t="s">
        <v>103</v>
      </c>
      <c r="J942" t="s">
        <v>104</v>
      </c>
      <c r="K942" t="s">
        <v>95</v>
      </c>
      <c r="L942" t="s">
        <v>2077</v>
      </c>
      <c r="M942" t="s">
        <v>32</v>
      </c>
      <c r="N942" t="s">
        <v>33</v>
      </c>
      <c r="O942" t="s">
        <v>2078</v>
      </c>
      <c r="P942">
        <v>287.97000000000003</v>
      </c>
      <c r="Q942">
        <v>3</v>
      </c>
      <c r="R942">
        <v>80.631600000000006</v>
      </c>
      <c r="S942" s="3" t="s">
        <v>683</v>
      </c>
      <c r="T942">
        <v>2014</v>
      </c>
      <c r="U942" t="s">
        <v>81</v>
      </c>
      <c r="V942" s="2">
        <v>0.28000000000000003</v>
      </c>
    </row>
    <row r="943" spans="1:22" x14ac:dyDescent="0.25">
      <c r="A943" t="s">
        <v>2864</v>
      </c>
      <c r="B943" s="1">
        <v>42176</v>
      </c>
      <c r="C943" s="1">
        <v>42182</v>
      </c>
      <c r="D943" t="s">
        <v>23</v>
      </c>
      <c r="E943" t="s">
        <v>1251</v>
      </c>
      <c r="F943" t="s">
        <v>1252</v>
      </c>
      <c r="G943" t="s">
        <v>26</v>
      </c>
      <c r="H943" t="s">
        <v>27</v>
      </c>
      <c r="I943" t="s">
        <v>1129</v>
      </c>
      <c r="J943" t="s">
        <v>288</v>
      </c>
      <c r="K943" t="s">
        <v>155</v>
      </c>
      <c r="L943" t="s">
        <v>987</v>
      </c>
      <c r="M943" t="s">
        <v>32</v>
      </c>
      <c r="N943" t="s">
        <v>33</v>
      </c>
      <c r="O943" t="s">
        <v>988</v>
      </c>
      <c r="P943">
        <v>107.976</v>
      </c>
      <c r="Q943">
        <v>3</v>
      </c>
      <c r="R943">
        <v>37.791600000000003</v>
      </c>
      <c r="S943" s="3" t="s">
        <v>107</v>
      </c>
      <c r="T943">
        <v>2015</v>
      </c>
      <c r="U943" t="s">
        <v>36</v>
      </c>
      <c r="V943" s="2">
        <v>0.35</v>
      </c>
    </row>
    <row r="944" spans="1:22" x14ac:dyDescent="0.25">
      <c r="A944" t="s">
        <v>2865</v>
      </c>
      <c r="B944" s="1">
        <v>42316</v>
      </c>
      <c r="C944" s="1">
        <v>42320</v>
      </c>
      <c r="D944" t="s">
        <v>23</v>
      </c>
      <c r="E944" t="s">
        <v>2866</v>
      </c>
      <c r="F944" t="s">
        <v>2867</v>
      </c>
      <c r="G944" t="s">
        <v>26</v>
      </c>
      <c r="H944" t="s">
        <v>27</v>
      </c>
      <c r="I944" t="s">
        <v>43</v>
      </c>
      <c r="J944" t="s">
        <v>29</v>
      </c>
      <c r="K944" t="s">
        <v>30</v>
      </c>
      <c r="L944" t="s">
        <v>341</v>
      </c>
      <c r="M944" t="s">
        <v>32</v>
      </c>
      <c r="N944" t="s">
        <v>51</v>
      </c>
      <c r="O944" t="s">
        <v>342</v>
      </c>
      <c r="P944">
        <v>119.9</v>
      </c>
      <c r="Q944">
        <v>2</v>
      </c>
      <c r="R944">
        <v>43.164000000000001</v>
      </c>
      <c r="S944" s="3" t="s">
        <v>53</v>
      </c>
      <c r="T944">
        <v>2015</v>
      </c>
      <c r="U944" t="s">
        <v>118</v>
      </c>
      <c r="V944" s="2">
        <v>0.36</v>
      </c>
    </row>
    <row r="945" spans="1:22" x14ac:dyDescent="0.25">
      <c r="A945" t="s">
        <v>2868</v>
      </c>
      <c r="B945" s="1">
        <v>41811</v>
      </c>
      <c r="C945" s="1">
        <v>41811</v>
      </c>
      <c r="D945" t="s">
        <v>677</v>
      </c>
      <c r="E945" t="s">
        <v>1304</v>
      </c>
      <c r="F945" t="s">
        <v>1305</v>
      </c>
      <c r="G945" t="s">
        <v>26</v>
      </c>
      <c r="H945" t="s">
        <v>27</v>
      </c>
      <c r="I945" t="s">
        <v>1256</v>
      </c>
      <c r="J945" t="s">
        <v>104</v>
      </c>
      <c r="K945" t="s">
        <v>95</v>
      </c>
      <c r="L945" t="s">
        <v>1593</v>
      </c>
      <c r="M945" t="s">
        <v>32</v>
      </c>
      <c r="N945" t="s">
        <v>33</v>
      </c>
      <c r="O945" t="s">
        <v>1594</v>
      </c>
      <c r="P945">
        <v>1214.8499999999999</v>
      </c>
      <c r="Q945">
        <v>3</v>
      </c>
      <c r="R945">
        <v>352.30650000000003</v>
      </c>
      <c r="S945" s="3" t="s">
        <v>683</v>
      </c>
      <c r="T945">
        <v>2014</v>
      </c>
      <c r="U945" t="s">
        <v>36</v>
      </c>
      <c r="V945" s="2">
        <v>0.28999999999999998</v>
      </c>
    </row>
    <row r="946" spans="1:22" x14ac:dyDescent="0.25">
      <c r="A946" t="s">
        <v>2869</v>
      </c>
      <c r="B946" s="1">
        <v>42916</v>
      </c>
      <c r="C946" s="1">
        <v>42920</v>
      </c>
      <c r="D946" t="s">
        <v>40</v>
      </c>
      <c r="E946" t="s">
        <v>2870</v>
      </c>
      <c r="F946" t="s">
        <v>2871</v>
      </c>
      <c r="G946" t="s">
        <v>70</v>
      </c>
      <c r="H946" t="s">
        <v>27</v>
      </c>
      <c r="I946" t="s">
        <v>140</v>
      </c>
      <c r="J946" t="s">
        <v>78</v>
      </c>
      <c r="K946" t="s">
        <v>62</v>
      </c>
      <c r="L946" t="s">
        <v>2822</v>
      </c>
      <c r="M946" t="s">
        <v>32</v>
      </c>
      <c r="N946" t="s">
        <v>33</v>
      </c>
      <c r="O946" t="s">
        <v>2823</v>
      </c>
      <c r="P946">
        <v>1001.5839999999999</v>
      </c>
      <c r="Q946">
        <v>2</v>
      </c>
      <c r="R946">
        <v>125.19799999999999</v>
      </c>
      <c r="S946" s="3" t="s">
        <v>53</v>
      </c>
      <c r="T946">
        <v>2017</v>
      </c>
      <c r="U946" t="s">
        <v>36</v>
      </c>
      <c r="V946" s="2">
        <v>0.125</v>
      </c>
    </row>
    <row r="947" spans="1:22" x14ac:dyDescent="0.25">
      <c r="A947" t="s">
        <v>2872</v>
      </c>
      <c r="B947" s="1">
        <v>42303</v>
      </c>
      <c r="C947" s="1">
        <v>42307</v>
      </c>
      <c r="D947" t="s">
        <v>40</v>
      </c>
      <c r="E947" t="s">
        <v>2873</v>
      </c>
      <c r="F947" t="s">
        <v>2874</v>
      </c>
      <c r="G947" t="s">
        <v>59</v>
      </c>
      <c r="H947" t="s">
        <v>27</v>
      </c>
      <c r="I947" t="s">
        <v>2875</v>
      </c>
      <c r="J947" t="s">
        <v>123</v>
      </c>
      <c r="K947" t="s">
        <v>30</v>
      </c>
      <c r="L947" t="s">
        <v>257</v>
      </c>
      <c r="M947" t="s">
        <v>32</v>
      </c>
      <c r="N947" t="s">
        <v>33</v>
      </c>
      <c r="O947" t="s">
        <v>258</v>
      </c>
      <c r="P947">
        <v>105.584</v>
      </c>
      <c r="Q947">
        <v>2</v>
      </c>
      <c r="R947">
        <v>9.2385999999999999</v>
      </c>
      <c r="S947" s="3" t="s">
        <v>53</v>
      </c>
      <c r="T947">
        <v>2015</v>
      </c>
      <c r="U947" t="s">
        <v>133</v>
      </c>
      <c r="V947" s="2">
        <v>8.7499999999999994E-2</v>
      </c>
    </row>
    <row r="948" spans="1:22" x14ac:dyDescent="0.25">
      <c r="A948" t="s">
        <v>2872</v>
      </c>
      <c r="B948" s="1">
        <v>42303</v>
      </c>
      <c r="C948" s="1">
        <v>42307</v>
      </c>
      <c r="D948" t="s">
        <v>40</v>
      </c>
      <c r="E948" t="s">
        <v>2873</v>
      </c>
      <c r="F948" t="s">
        <v>2874</v>
      </c>
      <c r="G948" t="s">
        <v>59</v>
      </c>
      <c r="H948" t="s">
        <v>27</v>
      </c>
      <c r="I948" t="s">
        <v>2875</v>
      </c>
      <c r="J948" t="s">
        <v>123</v>
      </c>
      <c r="K948" t="s">
        <v>30</v>
      </c>
      <c r="L948" t="s">
        <v>1689</v>
      </c>
      <c r="M948" t="s">
        <v>32</v>
      </c>
      <c r="N948" t="s">
        <v>33</v>
      </c>
      <c r="O948" t="s">
        <v>1690</v>
      </c>
      <c r="P948">
        <v>68.72</v>
      </c>
      <c r="Q948">
        <v>2</v>
      </c>
      <c r="R948">
        <v>-14.603</v>
      </c>
      <c r="S948" s="3" t="s">
        <v>53</v>
      </c>
      <c r="T948">
        <v>2015</v>
      </c>
      <c r="U948" t="s">
        <v>133</v>
      </c>
      <c r="V948" s="2">
        <v>-0.21249999999999999</v>
      </c>
    </row>
    <row r="949" spans="1:22" x14ac:dyDescent="0.25">
      <c r="A949" t="s">
        <v>2876</v>
      </c>
      <c r="B949" s="1">
        <v>42107</v>
      </c>
      <c r="C949" s="1">
        <v>42113</v>
      </c>
      <c r="D949" t="s">
        <v>23</v>
      </c>
      <c r="E949" t="s">
        <v>2877</v>
      </c>
      <c r="F949" t="s">
        <v>2878</v>
      </c>
      <c r="G949" t="s">
        <v>59</v>
      </c>
      <c r="H949" t="s">
        <v>27</v>
      </c>
      <c r="I949" t="s">
        <v>28</v>
      </c>
      <c r="J949" t="s">
        <v>29</v>
      </c>
      <c r="K949" t="s">
        <v>30</v>
      </c>
      <c r="L949" t="s">
        <v>370</v>
      </c>
      <c r="M949" t="s">
        <v>32</v>
      </c>
      <c r="N949" t="s">
        <v>33</v>
      </c>
      <c r="O949" t="s">
        <v>371</v>
      </c>
      <c r="P949">
        <v>258.57600000000002</v>
      </c>
      <c r="Q949">
        <v>2</v>
      </c>
      <c r="R949">
        <v>19.3932</v>
      </c>
      <c r="S949" s="3" t="s">
        <v>107</v>
      </c>
      <c r="T949">
        <v>2015</v>
      </c>
      <c r="U949" t="s">
        <v>291</v>
      </c>
      <c r="V949" s="2">
        <v>7.4999999999999997E-2</v>
      </c>
    </row>
    <row r="950" spans="1:22" x14ac:dyDescent="0.25">
      <c r="A950" t="s">
        <v>2879</v>
      </c>
      <c r="B950" s="1">
        <v>42335</v>
      </c>
      <c r="C950" s="1">
        <v>42341</v>
      </c>
      <c r="D950" t="s">
        <v>23</v>
      </c>
      <c r="E950" t="s">
        <v>2389</v>
      </c>
      <c r="F950" t="s">
        <v>2390</v>
      </c>
      <c r="G950" t="s">
        <v>70</v>
      </c>
      <c r="H950" t="s">
        <v>27</v>
      </c>
      <c r="I950" t="s">
        <v>206</v>
      </c>
      <c r="J950" t="s">
        <v>207</v>
      </c>
      <c r="K950" t="s">
        <v>95</v>
      </c>
      <c r="L950" t="s">
        <v>2425</v>
      </c>
      <c r="M950" t="s">
        <v>32</v>
      </c>
      <c r="N950" t="s">
        <v>33</v>
      </c>
      <c r="O950" t="s">
        <v>2426</v>
      </c>
      <c r="P950">
        <v>748.75199999999995</v>
      </c>
      <c r="Q950">
        <v>8</v>
      </c>
      <c r="R950">
        <v>-162.2296</v>
      </c>
      <c r="S950" s="3" t="s">
        <v>107</v>
      </c>
      <c r="T950">
        <v>2015</v>
      </c>
      <c r="U950" t="s">
        <v>118</v>
      </c>
      <c r="V950" s="2">
        <v>-0.21666666666666701</v>
      </c>
    </row>
    <row r="951" spans="1:22" x14ac:dyDescent="0.25">
      <c r="A951" t="s">
        <v>2880</v>
      </c>
      <c r="B951" s="1">
        <v>42260</v>
      </c>
      <c r="C951" s="1">
        <v>42265</v>
      </c>
      <c r="D951" t="s">
        <v>23</v>
      </c>
      <c r="E951" t="s">
        <v>592</v>
      </c>
      <c r="F951" t="s">
        <v>593</v>
      </c>
      <c r="G951" t="s">
        <v>26</v>
      </c>
      <c r="H951" t="s">
        <v>27</v>
      </c>
      <c r="I951" t="s">
        <v>176</v>
      </c>
      <c r="J951" t="s">
        <v>669</v>
      </c>
      <c r="K951" t="s">
        <v>62</v>
      </c>
      <c r="L951" t="s">
        <v>1155</v>
      </c>
      <c r="M951" t="s">
        <v>32</v>
      </c>
      <c r="N951" t="s">
        <v>51</v>
      </c>
      <c r="O951" t="s">
        <v>1156</v>
      </c>
      <c r="P951">
        <v>199.96</v>
      </c>
      <c r="Q951">
        <v>4</v>
      </c>
      <c r="R951">
        <v>15.9968</v>
      </c>
      <c r="S951" s="3" t="s">
        <v>35</v>
      </c>
      <c r="T951">
        <v>2015</v>
      </c>
      <c r="U951" t="s">
        <v>81</v>
      </c>
      <c r="V951" s="2">
        <v>0.08</v>
      </c>
    </row>
    <row r="952" spans="1:22" x14ac:dyDescent="0.25">
      <c r="A952" t="s">
        <v>2881</v>
      </c>
      <c r="B952" s="1">
        <v>43053</v>
      </c>
      <c r="C952" s="1">
        <v>43057</v>
      </c>
      <c r="D952" t="s">
        <v>23</v>
      </c>
      <c r="E952" t="s">
        <v>495</v>
      </c>
      <c r="F952" t="s">
        <v>496</v>
      </c>
      <c r="G952" t="s">
        <v>26</v>
      </c>
      <c r="H952" t="s">
        <v>27</v>
      </c>
      <c r="I952" t="s">
        <v>911</v>
      </c>
      <c r="J952" t="s">
        <v>61</v>
      </c>
      <c r="K952" t="s">
        <v>62</v>
      </c>
      <c r="L952" t="s">
        <v>1295</v>
      </c>
      <c r="M952" t="s">
        <v>32</v>
      </c>
      <c r="N952" t="s">
        <v>51</v>
      </c>
      <c r="O952" t="s">
        <v>1296</v>
      </c>
      <c r="P952">
        <v>167.952</v>
      </c>
      <c r="Q952">
        <v>6</v>
      </c>
      <c r="R952">
        <v>-27.292200000000001</v>
      </c>
      <c r="S952" s="3" t="s">
        <v>53</v>
      </c>
      <c r="T952">
        <v>2017</v>
      </c>
      <c r="U952" t="s">
        <v>118</v>
      </c>
      <c r="V952" s="2">
        <v>-0.16250000000000001</v>
      </c>
    </row>
    <row r="953" spans="1:22" x14ac:dyDescent="0.25">
      <c r="A953" t="s">
        <v>2882</v>
      </c>
      <c r="B953" s="1">
        <v>41769</v>
      </c>
      <c r="C953" s="1">
        <v>41774</v>
      </c>
      <c r="D953" t="s">
        <v>23</v>
      </c>
      <c r="E953" t="s">
        <v>2883</v>
      </c>
      <c r="F953" t="s">
        <v>2884</v>
      </c>
      <c r="G953" t="s">
        <v>26</v>
      </c>
      <c r="H953" t="s">
        <v>27</v>
      </c>
      <c r="I953" t="s">
        <v>1300</v>
      </c>
      <c r="J953" t="s">
        <v>426</v>
      </c>
      <c r="K953" t="s">
        <v>30</v>
      </c>
      <c r="L953" t="s">
        <v>98</v>
      </c>
      <c r="M953" t="s">
        <v>32</v>
      </c>
      <c r="N953" t="s">
        <v>33</v>
      </c>
      <c r="O953" t="s">
        <v>99</v>
      </c>
      <c r="P953">
        <v>43.6</v>
      </c>
      <c r="Q953">
        <v>5</v>
      </c>
      <c r="R953">
        <v>4.3600000000000003</v>
      </c>
      <c r="S953" s="3" t="s">
        <v>35</v>
      </c>
      <c r="T953">
        <v>2014</v>
      </c>
      <c r="U953" t="s">
        <v>527</v>
      </c>
      <c r="V953" s="2">
        <v>0.1</v>
      </c>
    </row>
    <row r="954" spans="1:22" x14ac:dyDescent="0.25">
      <c r="A954" t="s">
        <v>2885</v>
      </c>
      <c r="B954" s="1">
        <v>42432</v>
      </c>
      <c r="C954" s="1">
        <v>42437</v>
      </c>
      <c r="D954" t="s">
        <v>23</v>
      </c>
      <c r="E954" t="s">
        <v>2886</v>
      </c>
      <c r="F954" t="s">
        <v>2887</v>
      </c>
      <c r="G954" t="s">
        <v>26</v>
      </c>
      <c r="H954" t="s">
        <v>27</v>
      </c>
      <c r="I954" t="s">
        <v>2888</v>
      </c>
      <c r="J954" t="s">
        <v>61</v>
      </c>
      <c r="K954" t="s">
        <v>62</v>
      </c>
      <c r="L954" t="s">
        <v>1437</v>
      </c>
      <c r="M954" t="s">
        <v>32</v>
      </c>
      <c r="N954" t="s">
        <v>33</v>
      </c>
      <c r="O954" t="s">
        <v>1438</v>
      </c>
      <c r="P954">
        <v>431.976</v>
      </c>
      <c r="Q954">
        <v>3</v>
      </c>
      <c r="R954">
        <v>32.398200000000003</v>
      </c>
      <c r="S954" s="3" t="s">
        <v>35</v>
      </c>
      <c r="T954">
        <v>2016</v>
      </c>
      <c r="U954" t="s">
        <v>89</v>
      </c>
      <c r="V954" s="2">
        <v>7.4999999999999997E-2</v>
      </c>
    </row>
    <row r="955" spans="1:22" x14ac:dyDescent="0.25">
      <c r="A955" t="s">
        <v>2885</v>
      </c>
      <c r="B955" s="1">
        <v>42432</v>
      </c>
      <c r="C955" s="1">
        <v>42437</v>
      </c>
      <c r="D955" t="s">
        <v>23</v>
      </c>
      <c r="E955" t="s">
        <v>2886</v>
      </c>
      <c r="F955" t="s">
        <v>2887</v>
      </c>
      <c r="G955" t="s">
        <v>26</v>
      </c>
      <c r="H955" t="s">
        <v>27</v>
      </c>
      <c r="I955" t="s">
        <v>2888</v>
      </c>
      <c r="J955" t="s">
        <v>61</v>
      </c>
      <c r="K955" t="s">
        <v>62</v>
      </c>
      <c r="L955" t="s">
        <v>644</v>
      </c>
      <c r="M955" t="s">
        <v>32</v>
      </c>
      <c r="N955" t="s">
        <v>51</v>
      </c>
      <c r="O955" t="s">
        <v>645</v>
      </c>
      <c r="P955">
        <v>41.72</v>
      </c>
      <c r="Q955">
        <v>7</v>
      </c>
      <c r="R955">
        <v>5.7365000000000004</v>
      </c>
      <c r="S955" s="3" t="s">
        <v>35</v>
      </c>
      <c r="T955">
        <v>2016</v>
      </c>
      <c r="U955" t="s">
        <v>89</v>
      </c>
      <c r="V955" s="2">
        <v>0.13750000000000001</v>
      </c>
    </row>
    <row r="956" spans="1:22" x14ac:dyDescent="0.25">
      <c r="A956" t="s">
        <v>2889</v>
      </c>
      <c r="B956" s="1">
        <v>42873</v>
      </c>
      <c r="C956" s="1">
        <v>42877</v>
      </c>
      <c r="D956" t="s">
        <v>40</v>
      </c>
      <c r="E956" t="s">
        <v>1171</v>
      </c>
      <c r="F956" t="s">
        <v>1172</v>
      </c>
      <c r="G956" t="s">
        <v>70</v>
      </c>
      <c r="H956" t="s">
        <v>27</v>
      </c>
      <c r="I956" t="s">
        <v>946</v>
      </c>
      <c r="J956" t="s">
        <v>532</v>
      </c>
      <c r="K956" t="s">
        <v>62</v>
      </c>
      <c r="L956" t="s">
        <v>548</v>
      </c>
      <c r="M956" t="s">
        <v>32</v>
      </c>
      <c r="N956" t="s">
        <v>33</v>
      </c>
      <c r="O956" t="s">
        <v>549</v>
      </c>
      <c r="P956">
        <v>114.95</v>
      </c>
      <c r="Q956">
        <v>5</v>
      </c>
      <c r="R956">
        <v>2.2989999999999999</v>
      </c>
      <c r="S956" s="3" t="s">
        <v>53</v>
      </c>
      <c r="T956">
        <v>2017</v>
      </c>
      <c r="U956" t="s">
        <v>527</v>
      </c>
      <c r="V956" s="2">
        <v>0.02</v>
      </c>
    </row>
    <row r="957" spans="1:22" x14ac:dyDescent="0.25">
      <c r="A957" t="s">
        <v>2890</v>
      </c>
      <c r="B957" s="1">
        <v>41902</v>
      </c>
      <c r="C957" s="1">
        <v>41906</v>
      </c>
      <c r="D957" t="s">
        <v>23</v>
      </c>
      <c r="E957" t="s">
        <v>2891</v>
      </c>
      <c r="F957" t="s">
        <v>2892</v>
      </c>
      <c r="G957" t="s">
        <v>26</v>
      </c>
      <c r="H957" t="s">
        <v>27</v>
      </c>
      <c r="I957" t="s">
        <v>1557</v>
      </c>
      <c r="J957" t="s">
        <v>1035</v>
      </c>
      <c r="K957" t="s">
        <v>95</v>
      </c>
      <c r="L957" t="s">
        <v>330</v>
      </c>
      <c r="M957" t="s">
        <v>32</v>
      </c>
      <c r="N957" t="s">
        <v>51</v>
      </c>
      <c r="O957" t="s">
        <v>331</v>
      </c>
      <c r="P957">
        <v>59.98</v>
      </c>
      <c r="Q957">
        <v>2</v>
      </c>
      <c r="R957">
        <v>26.391200000000001</v>
      </c>
      <c r="S957" s="3" t="s">
        <v>53</v>
      </c>
      <c r="T957">
        <v>2014</v>
      </c>
      <c r="U957" t="s">
        <v>81</v>
      </c>
      <c r="V957" s="2">
        <v>0.44</v>
      </c>
    </row>
    <row r="958" spans="1:22" x14ac:dyDescent="0.25">
      <c r="A958" t="s">
        <v>2893</v>
      </c>
      <c r="B958" s="1">
        <v>42584</v>
      </c>
      <c r="C958" s="1">
        <v>42586</v>
      </c>
      <c r="D958" t="s">
        <v>40</v>
      </c>
      <c r="E958" t="s">
        <v>2894</v>
      </c>
      <c r="F958" t="s">
        <v>2895</v>
      </c>
      <c r="G958" t="s">
        <v>59</v>
      </c>
      <c r="H958" t="s">
        <v>27</v>
      </c>
      <c r="I958" t="s">
        <v>28</v>
      </c>
      <c r="J958" t="s">
        <v>29</v>
      </c>
      <c r="K958" t="s">
        <v>30</v>
      </c>
      <c r="L958" t="s">
        <v>250</v>
      </c>
      <c r="M958" t="s">
        <v>32</v>
      </c>
      <c r="N958" t="s">
        <v>33</v>
      </c>
      <c r="O958" t="s">
        <v>251</v>
      </c>
      <c r="P958">
        <v>333.57600000000002</v>
      </c>
      <c r="Q958">
        <v>3</v>
      </c>
      <c r="R958">
        <v>33.357599999999998</v>
      </c>
      <c r="S958" s="3" t="s">
        <v>65</v>
      </c>
      <c r="T958">
        <v>2016</v>
      </c>
      <c r="U958" t="s">
        <v>46</v>
      </c>
      <c r="V958" s="2">
        <v>0.1</v>
      </c>
    </row>
    <row r="959" spans="1:22" x14ac:dyDescent="0.25">
      <c r="A959" t="s">
        <v>2896</v>
      </c>
      <c r="B959" s="1">
        <v>43042</v>
      </c>
      <c r="C959" s="1">
        <v>43044</v>
      </c>
      <c r="D959" t="s">
        <v>40</v>
      </c>
      <c r="E959" t="s">
        <v>2897</v>
      </c>
      <c r="F959" t="s">
        <v>2898</v>
      </c>
      <c r="G959" t="s">
        <v>26</v>
      </c>
      <c r="H959" t="s">
        <v>27</v>
      </c>
      <c r="I959" t="s">
        <v>481</v>
      </c>
      <c r="J959" t="s">
        <v>426</v>
      </c>
      <c r="K959" t="s">
        <v>30</v>
      </c>
      <c r="L959" t="s">
        <v>234</v>
      </c>
      <c r="M959" t="s">
        <v>32</v>
      </c>
      <c r="N959" t="s">
        <v>51</v>
      </c>
      <c r="O959" t="s">
        <v>235</v>
      </c>
      <c r="P959">
        <v>43.5</v>
      </c>
      <c r="Q959">
        <v>3</v>
      </c>
      <c r="R959">
        <v>10.875</v>
      </c>
      <c r="S959" s="3" t="s">
        <v>65</v>
      </c>
      <c r="T959">
        <v>2017</v>
      </c>
      <c r="U959" t="s">
        <v>118</v>
      </c>
      <c r="V959" s="2">
        <v>0.25</v>
      </c>
    </row>
    <row r="960" spans="1:22" x14ac:dyDescent="0.25">
      <c r="A960" t="s">
        <v>2899</v>
      </c>
      <c r="B960" s="1">
        <v>42716</v>
      </c>
      <c r="C960" s="1">
        <v>42722</v>
      </c>
      <c r="D960" t="s">
        <v>23</v>
      </c>
      <c r="E960" t="s">
        <v>2900</v>
      </c>
      <c r="F960" t="s">
        <v>2901</v>
      </c>
      <c r="G960" t="s">
        <v>26</v>
      </c>
      <c r="H960" t="s">
        <v>27</v>
      </c>
      <c r="I960" t="s">
        <v>176</v>
      </c>
      <c r="J960" t="s">
        <v>1006</v>
      </c>
      <c r="K960" t="s">
        <v>155</v>
      </c>
      <c r="L960" t="s">
        <v>1155</v>
      </c>
      <c r="M960" t="s">
        <v>32</v>
      </c>
      <c r="N960" t="s">
        <v>51</v>
      </c>
      <c r="O960" t="s">
        <v>1156</v>
      </c>
      <c r="P960">
        <v>249.95</v>
      </c>
      <c r="Q960">
        <v>5</v>
      </c>
      <c r="R960">
        <v>19.995999999999999</v>
      </c>
      <c r="S960" s="3" t="s">
        <v>107</v>
      </c>
      <c r="T960">
        <v>2016</v>
      </c>
      <c r="U960" t="s">
        <v>66</v>
      </c>
      <c r="V960" s="2">
        <v>0.08</v>
      </c>
    </row>
    <row r="961" spans="1:22" x14ac:dyDescent="0.25">
      <c r="A961" t="s">
        <v>2902</v>
      </c>
      <c r="B961" s="1">
        <v>41889</v>
      </c>
      <c r="C961" s="1">
        <v>41892</v>
      </c>
      <c r="D961" t="s">
        <v>56</v>
      </c>
      <c r="E961" t="s">
        <v>2903</v>
      </c>
      <c r="F961" t="s">
        <v>2904</v>
      </c>
      <c r="G961" t="s">
        <v>70</v>
      </c>
      <c r="H961" t="s">
        <v>27</v>
      </c>
      <c r="I961" t="s">
        <v>71</v>
      </c>
      <c r="J961" t="s">
        <v>61</v>
      </c>
      <c r="K961" t="s">
        <v>62</v>
      </c>
      <c r="L961" t="s">
        <v>1793</v>
      </c>
      <c r="M961" t="s">
        <v>32</v>
      </c>
      <c r="N961" t="s">
        <v>33</v>
      </c>
      <c r="O961" t="s">
        <v>1794</v>
      </c>
      <c r="P961">
        <v>196.77600000000001</v>
      </c>
      <c r="Q961">
        <v>3</v>
      </c>
      <c r="R961">
        <v>14.7582</v>
      </c>
      <c r="S961" s="3" t="s">
        <v>172</v>
      </c>
      <c r="T961">
        <v>2014</v>
      </c>
      <c r="U961" t="s">
        <v>81</v>
      </c>
      <c r="V961" s="2">
        <v>7.4999999999999997E-2</v>
      </c>
    </row>
    <row r="962" spans="1:22" x14ac:dyDescent="0.25">
      <c r="A962" t="s">
        <v>2902</v>
      </c>
      <c r="B962" s="1">
        <v>41889</v>
      </c>
      <c r="C962" s="1">
        <v>41892</v>
      </c>
      <c r="D962" t="s">
        <v>56</v>
      </c>
      <c r="E962" t="s">
        <v>2903</v>
      </c>
      <c r="F962" t="s">
        <v>2904</v>
      </c>
      <c r="G962" t="s">
        <v>70</v>
      </c>
      <c r="H962" t="s">
        <v>27</v>
      </c>
      <c r="I962" t="s">
        <v>71</v>
      </c>
      <c r="J962" t="s">
        <v>61</v>
      </c>
      <c r="K962" t="s">
        <v>62</v>
      </c>
      <c r="L962" t="s">
        <v>1531</v>
      </c>
      <c r="M962" t="s">
        <v>32</v>
      </c>
      <c r="N962" t="s">
        <v>51</v>
      </c>
      <c r="O962" t="s">
        <v>1532</v>
      </c>
      <c r="P962">
        <v>46.688000000000002</v>
      </c>
      <c r="Q962">
        <v>4</v>
      </c>
      <c r="R962">
        <v>-2.9180000000000001</v>
      </c>
      <c r="S962" s="3" t="s">
        <v>172</v>
      </c>
      <c r="T962">
        <v>2014</v>
      </c>
      <c r="U962" t="s">
        <v>81</v>
      </c>
      <c r="V962" s="2">
        <v>-6.25E-2</v>
      </c>
    </row>
    <row r="963" spans="1:22" x14ac:dyDescent="0.25">
      <c r="A963" t="s">
        <v>2905</v>
      </c>
      <c r="B963" s="1">
        <v>43055</v>
      </c>
      <c r="C963" s="1">
        <v>43060</v>
      </c>
      <c r="D963" t="s">
        <v>23</v>
      </c>
      <c r="E963" t="s">
        <v>1085</v>
      </c>
      <c r="F963" t="s">
        <v>1086</v>
      </c>
      <c r="G963" t="s">
        <v>70</v>
      </c>
      <c r="H963" t="s">
        <v>27</v>
      </c>
      <c r="I963" t="s">
        <v>977</v>
      </c>
      <c r="J963" t="s">
        <v>104</v>
      </c>
      <c r="K963" t="s">
        <v>95</v>
      </c>
      <c r="L963" t="s">
        <v>2906</v>
      </c>
      <c r="M963" t="s">
        <v>32</v>
      </c>
      <c r="N963" t="s">
        <v>215</v>
      </c>
      <c r="O963" t="s">
        <v>2907</v>
      </c>
      <c r="P963">
        <v>52.44</v>
      </c>
      <c r="Q963">
        <v>4</v>
      </c>
      <c r="R963">
        <v>24.122399999999999</v>
      </c>
      <c r="S963" s="3" t="s">
        <v>35</v>
      </c>
      <c r="T963">
        <v>2017</v>
      </c>
      <c r="U963" t="s">
        <v>118</v>
      </c>
      <c r="V963" s="2">
        <v>0.46</v>
      </c>
    </row>
    <row r="964" spans="1:22" x14ac:dyDescent="0.25">
      <c r="A964" t="s">
        <v>2908</v>
      </c>
      <c r="B964" s="1">
        <v>43083</v>
      </c>
      <c r="C964" s="1">
        <v>43089</v>
      </c>
      <c r="D964" t="s">
        <v>23</v>
      </c>
      <c r="E964" t="s">
        <v>2393</v>
      </c>
      <c r="F964" t="s">
        <v>2394</v>
      </c>
      <c r="G964" t="s">
        <v>59</v>
      </c>
      <c r="H964" t="s">
        <v>27</v>
      </c>
      <c r="I964" t="s">
        <v>2269</v>
      </c>
      <c r="J964" t="s">
        <v>1011</v>
      </c>
      <c r="K964" t="s">
        <v>155</v>
      </c>
      <c r="L964" t="s">
        <v>325</v>
      </c>
      <c r="M964" t="s">
        <v>32</v>
      </c>
      <c r="N964" t="s">
        <v>51</v>
      </c>
      <c r="O964" t="s">
        <v>326</v>
      </c>
      <c r="P964">
        <v>159.80000000000001</v>
      </c>
      <c r="Q964">
        <v>4</v>
      </c>
      <c r="R964">
        <v>70.311999999999998</v>
      </c>
      <c r="S964" s="3" t="s">
        <v>107</v>
      </c>
      <c r="T964">
        <v>2017</v>
      </c>
      <c r="U964" t="s">
        <v>66</v>
      </c>
      <c r="V964" s="2">
        <v>0.44</v>
      </c>
    </row>
    <row r="965" spans="1:22" x14ac:dyDescent="0.25">
      <c r="A965" t="s">
        <v>2908</v>
      </c>
      <c r="B965" s="1">
        <v>43083</v>
      </c>
      <c r="C965" s="1">
        <v>43089</v>
      </c>
      <c r="D965" t="s">
        <v>23</v>
      </c>
      <c r="E965" t="s">
        <v>2393</v>
      </c>
      <c r="F965" t="s">
        <v>2394</v>
      </c>
      <c r="G965" t="s">
        <v>59</v>
      </c>
      <c r="H965" t="s">
        <v>27</v>
      </c>
      <c r="I965" t="s">
        <v>2269</v>
      </c>
      <c r="J965" t="s">
        <v>1011</v>
      </c>
      <c r="K965" t="s">
        <v>155</v>
      </c>
      <c r="L965" t="s">
        <v>1264</v>
      </c>
      <c r="M965" t="s">
        <v>32</v>
      </c>
      <c r="N965" t="s">
        <v>51</v>
      </c>
      <c r="O965" t="s">
        <v>1265</v>
      </c>
      <c r="P965">
        <v>44.75</v>
      </c>
      <c r="Q965">
        <v>5</v>
      </c>
      <c r="R965">
        <v>8.5024999999999995</v>
      </c>
      <c r="S965" s="3" t="s">
        <v>107</v>
      </c>
      <c r="T965">
        <v>2017</v>
      </c>
      <c r="U965" t="s">
        <v>66</v>
      </c>
      <c r="V965" s="2">
        <v>0.19</v>
      </c>
    </row>
    <row r="966" spans="1:22" x14ac:dyDescent="0.25">
      <c r="A966" t="s">
        <v>2909</v>
      </c>
      <c r="B966" s="1">
        <v>42985</v>
      </c>
      <c r="C966" s="1">
        <v>42989</v>
      </c>
      <c r="D966" t="s">
        <v>23</v>
      </c>
      <c r="E966" t="s">
        <v>432</v>
      </c>
      <c r="F966" t="s">
        <v>433</v>
      </c>
      <c r="G966" t="s">
        <v>26</v>
      </c>
      <c r="H966" t="s">
        <v>27</v>
      </c>
      <c r="I966" t="s">
        <v>872</v>
      </c>
      <c r="J966" t="s">
        <v>185</v>
      </c>
      <c r="K966" t="s">
        <v>62</v>
      </c>
      <c r="L966" t="s">
        <v>2304</v>
      </c>
      <c r="M966" t="s">
        <v>32</v>
      </c>
      <c r="N966" t="s">
        <v>51</v>
      </c>
      <c r="O966" t="s">
        <v>2305</v>
      </c>
      <c r="P966">
        <v>13.48</v>
      </c>
      <c r="Q966">
        <v>1</v>
      </c>
      <c r="R966">
        <v>1.8872</v>
      </c>
      <c r="S966" s="3" t="s">
        <v>53</v>
      </c>
      <c r="T966">
        <v>2017</v>
      </c>
      <c r="U966" t="s">
        <v>81</v>
      </c>
      <c r="V966" s="2">
        <v>0.14000000000000001</v>
      </c>
    </row>
    <row r="967" spans="1:22" x14ac:dyDescent="0.25">
      <c r="A967" t="s">
        <v>2910</v>
      </c>
      <c r="B967" s="1">
        <v>42943</v>
      </c>
      <c r="C967" s="1">
        <v>42947</v>
      </c>
      <c r="D967" t="s">
        <v>23</v>
      </c>
      <c r="E967" t="s">
        <v>2911</v>
      </c>
      <c r="F967" t="s">
        <v>2912</v>
      </c>
      <c r="G967" t="s">
        <v>26</v>
      </c>
      <c r="H967" t="s">
        <v>27</v>
      </c>
      <c r="I967" t="s">
        <v>977</v>
      </c>
      <c r="J967" t="s">
        <v>104</v>
      </c>
      <c r="K967" t="s">
        <v>95</v>
      </c>
      <c r="L967" t="s">
        <v>852</v>
      </c>
      <c r="M967" t="s">
        <v>32</v>
      </c>
      <c r="N967" t="s">
        <v>33</v>
      </c>
      <c r="O967" t="s">
        <v>853</v>
      </c>
      <c r="P967">
        <v>543.91999999999996</v>
      </c>
      <c r="Q967">
        <v>8</v>
      </c>
      <c r="R967">
        <v>135.97999999999999</v>
      </c>
      <c r="S967" s="3" t="s">
        <v>53</v>
      </c>
      <c r="T967">
        <v>2017</v>
      </c>
      <c r="U967" t="s">
        <v>332</v>
      </c>
      <c r="V967" s="2">
        <v>0.25</v>
      </c>
    </row>
    <row r="968" spans="1:22" x14ac:dyDescent="0.25">
      <c r="A968" t="s">
        <v>2913</v>
      </c>
      <c r="B968" s="1">
        <v>42520</v>
      </c>
      <c r="C968" s="1">
        <v>42524</v>
      </c>
      <c r="D968" t="s">
        <v>23</v>
      </c>
      <c r="E968" t="s">
        <v>2400</v>
      </c>
      <c r="F968" t="s">
        <v>2401</v>
      </c>
      <c r="G968" t="s">
        <v>59</v>
      </c>
      <c r="H968" t="s">
        <v>27</v>
      </c>
      <c r="I968" t="s">
        <v>946</v>
      </c>
      <c r="J968" t="s">
        <v>693</v>
      </c>
      <c r="K968" t="s">
        <v>155</v>
      </c>
      <c r="L968" t="s">
        <v>922</v>
      </c>
      <c r="M968" t="s">
        <v>32</v>
      </c>
      <c r="N968" t="s">
        <v>51</v>
      </c>
      <c r="O968" t="s">
        <v>923</v>
      </c>
      <c r="P968">
        <v>1979.7</v>
      </c>
      <c r="Q968">
        <v>6</v>
      </c>
      <c r="R968">
        <v>653.30100000000004</v>
      </c>
      <c r="S968" s="3" t="s">
        <v>53</v>
      </c>
      <c r="T968">
        <v>2016</v>
      </c>
      <c r="U968" t="s">
        <v>527</v>
      </c>
      <c r="V968" s="2">
        <v>0.33</v>
      </c>
    </row>
    <row r="969" spans="1:22" x14ac:dyDescent="0.25">
      <c r="A969" t="s">
        <v>2914</v>
      </c>
      <c r="B969" s="1">
        <v>42421</v>
      </c>
      <c r="C969" s="1">
        <v>42426</v>
      </c>
      <c r="D969" t="s">
        <v>23</v>
      </c>
      <c r="E969" t="s">
        <v>753</v>
      </c>
      <c r="F969" t="s">
        <v>754</v>
      </c>
      <c r="G969" t="s">
        <v>59</v>
      </c>
      <c r="H969" t="s">
        <v>27</v>
      </c>
      <c r="I969" t="s">
        <v>2861</v>
      </c>
      <c r="J969" t="s">
        <v>104</v>
      </c>
      <c r="K969" t="s">
        <v>95</v>
      </c>
      <c r="L969" t="s">
        <v>2915</v>
      </c>
      <c r="M969" t="s">
        <v>32</v>
      </c>
      <c r="N969" t="s">
        <v>33</v>
      </c>
      <c r="O969" t="s">
        <v>2916</v>
      </c>
      <c r="P969">
        <v>39.979999999999997</v>
      </c>
      <c r="Q969">
        <v>2</v>
      </c>
      <c r="R969">
        <v>1.9990000000000001</v>
      </c>
      <c r="S969" s="3" t="s">
        <v>35</v>
      </c>
      <c r="T969">
        <v>2016</v>
      </c>
      <c r="U969" t="s">
        <v>180</v>
      </c>
      <c r="V969" s="2">
        <v>0.05</v>
      </c>
    </row>
    <row r="970" spans="1:22" x14ac:dyDescent="0.25">
      <c r="A970" t="s">
        <v>2917</v>
      </c>
      <c r="B970" s="1">
        <v>42068</v>
      </c>
      <c r="C970" s="1">
        <v>42072</v>
      </c>
      <c r="D970" t="s">
        <v>23</v>
      </c>
      <c r="E970" t="s">
        <v>420</v>
      </c>
      <c r="F970" t="s">
        <v>421</v>
      </c>
      <c r="G970" t="s">
        <v>26</v>
      </c>
      <c r="H970" t="s">
        <v>27</v>
      </c>
      <c r="I970" t="s">
        <v>71</v>
      </c>
      <c r="J970" t="s">
        <v>61</v>
      </c>
      <c r="K970" t="s">
        <v>62</v>
      </c>
      <c r="L970" t="s">
        <v>492</v>
      </c>
      <c r="M970" t="s">
        <v>32</v>
      </c>
      <c r="N970" t="s">
        <v>33</v>
      </c>
      <c r="O970" t="s">
        <v>493</v>
      </c>
      <c r="P970">
        <v>31.92</v>
      </c>
      <c r="Q970">
        <v>2</v>
      </c>
      <c r="R970">
        <v>2.3940000000000001</v>
      </c>
      <c r="S970" s="3" t="s">
        <v>53</v>
      </c>
      <c r="T970">
        <v>2015</v>
      </c>
      <c r="U970" t="s">
        <v>89</v>
      </c>
      <c r="V970" s="2">
        <v>7.4999999999999997E-2</v>
      </c>
    </row>
    <row r="971" spans="1:22" x14ac:dyDescent="0.25">
      <c r="A971" t="s">
        <v>2918</v>
      </c>
      <c r="B971" s="1">
        <v>42317</v>
      </c>
      <c r="C971" s="1">
        <v>42322</v>
      </c>
      <c r="D971" t="s">
        <v>40</v>
      </c>
      <c r="E971" t="s">
        <v>586</v>
      </c>
      <c r="F971" t="s">
        <v>587</v>
      </c>
      <c r="G971" t="s">
        <v>26</v>
      </c>
      <c r="H971" t="s">
        <v>27</v>
      </c>
      <c r="I971" t="s">
        <v>2861</v>
      </c>
      <c r="J971" t="s">
        <v>104</v>
      </c>
      <c r="K971" t="s">
        <v>95</v>
      </c>
      <c r="L971" t="s">
        <v>2727</v>
      </c>
      <c r="M971" t="s">
        <v>32</v>
      </c>
      <c r="N971" t="s">
        <v>51</v>
      </c>
      <c r="O971" t="s">
        <v>2728</v>
      </c>
      <c r="P971">
        <v>13.98</v>
      </c>
      <c r="Q971">
        <v>2</v>
      </c>
      <c r="R971">
        <v>6.0114000000000001</v>
      </c>
      <c r="S971" s="3" t="s">
        <v>35</v>
      </c>
      <c r="T971">
        <v>2015</v>
      </c>
      <c r="U971" t="s">
        <v>118</v>
      </c>
      <c r="V971" s="2">
        <v>0.43</v>
      </c>
    </row>
    <row r="972" spans="1:22" x14ac:dyDescent="0.25">
      <c r="A972" t="s">
        <v>2918</v>
      </c>
      <c r="B972" s="1">
        <v>42317</v>
      </c>
      <c r="C972" s="1">
        <v>42322</v>
      </c>
      <c r="D972" t="s">
        <v>40</v>
      </c>
      <c r="E972" t="s">
        <v>586</v>
      </c>
      <c r="F972" t="s">
        <v>587</v>
      </c>
      <c r="G972" t="s">
        <v>26</v>
      </c>
      <c r="H972" t="s">
        <v>27</v>
      </c>
      <c r="I972" t="s">
        <v>2861</v>
      </c>
      <c r="J972" t="s">
        <v>104</v>
      </c>
      <c r="K972" t="s">
        <v>95</v>
      </c>
      <c r="L972" t="s">
        <v>1733</v>
      </c>
      <c r="M972" t="s">
        <v>32</v>
      </c>
      <c r="N972" t="s">
        <v>51</v>
      </c>
      <c r="O972" t="s">
        <v>1734</v>
      </c>
      <c r="P972">
        <v>899.95</v>
      </c>
      <c r="Q972">
        <v>5</v>
      </c>
      <c r="R972">
        <v>53.997</v>
      </c>
      <c r="S972" s="3" t="s">
        <v>35</v>
      </c>
      <c r="T972">
        <v>2015</v>
      </c>
      <c r="U972" t="s">
        <v>118</v>
      </c>
      <c r="V972" s="2">
        <v>0.06</v>
      </c>
    </row>
    <row r="973" spans="1:22" x14ac:dyDescent="0.25">
      <c r="A973" t="s">
        <v>2919</v>
      </c>
      <c r="B973" s="1">
        <v>41964</v>
      </c>
      <c r="C973" s="1">
        <v>41970</v>
      </c>
      <c r="D973" t="s">
        <v>23</v>
      </c>
      <c r="E973" t="s">
        <v>2920</v>
      </c>
      <c r="F973" t="s">
        <v>2921</v>
      </c>
      <c r="G973" t="s">
        <v>59</v>
      </c>
      <c r="H973" t="s">
        <v>27</v>
      </c>
      <c r="I973" t="s">
        <v>262</v>
      </c>
      <c r="J973" t="s">
        <v>61</v>
      </c>
      <c r="K973" t="s">
        <v>62</v>
      </c>
      <c r="L973" t="s">
        <v>1336</v>
      </c>
      <c r="M973" t="s">
        <v>32</v>
      </c>
      <c r="N973" t="s">
        <v>33</v>
      </c>
      <c r="O973" t="s">
        <v>1337</v>
      </c>
      <c r="P973">
        <v>267.95999999999998</v>
      </c>
      <c r="Q973">
        <v>5</v>
      </c>
      <c r="R973">
        <v>16.747499999999999</v>
      </c>
      <c r="S973" s="3" t="s">
        <v>107</v>
      </c>
      <c r="T973">
        <v>2014</v>
      </c>
      <c r="U973" t="s">
        <v>118</v>
      </c>
      <c r="V973" s="2">
        <v>6.25E-2</v>
      </c>
    </row>
    <row r="974" spans="1:22" x14ac:dyDescent="0.25">
      <c r="A974" t="s">
        <v>2922</v>
      </c>
      <c r="B974" s="1">
        <v>42288</v>
      </c>
      <c r="C974" s="1">
        <v>42290</v>
      </c>
      <c r="D974" t="s">
        <v>40</v>
      </c>
      <c r="E974" t="s">
        <v>2447</v>
      </c>
      <c r="F974" t="s">
        <v>2448</v>
      </c>
      <c r="G974" t="s">
        <v>26</v>
      </c>
      <c r="H974" t="s">
        <v>27</v>
      </c>
      <c r="I974" t="s">
        <v>129</v>
      </c>
      <c r="J974" t="s">
        <v>104</v>
      </c>
      <c r="K974" t="s">
        <v>95</v>
      </c>
      <c r="L974" t="s">
        <v>1807</v>
      </c>
      <c r="M974" t="s">
        <v>32</v>
      </c>
      <c r="N974" t="s">
        <v>51</v>
      </c>
      <c r="O974" t="s">
        <v>2326</v>
      </c>
      <c r="P974">
        <v>31.95</v>
      </c>
      <c r="Q974">
        <v>1</v>
      </c>
      <c r="R974">
        <v>2.2364999999999999</v>
      </c>
      <c r="S974" s="3" t="s">
        <v>65</v>
      </c>
      <c r="T974">
        <v>2015</v>
      </c>
      <c r="U974" t="s">
        <v>133</v>
      </c>
      <c r="V974" s="2">
        <v>7.0000000000000007E-2</v>
      </c>
    </row>
    <row r="975" spans="1:22" x14ac:dyDescent="0.25">
      <c r="A975" t="s">
        <v>2923</v>
      </c>
      <c r="B975" s="1">
        <v>42619</v>
      </c>
      <c r="C975" s="1">
        <v>42625</v>
      </c>
      <c r="D975" t="s">
        <v>23</v>
      </c>
      <c r="E975" t="s">
        <v>735</v>
      </c>
      <c r="F975" t="s">
        <v>736</v>
      </c>
      <c r="G975" t="s">
        <v>59</v>
      </c>
      <c r="H975" t="s">
        <v>27</v>
      </c>
      <c r="I975" t="s">
        <v>262</v>
      </c>
      <c r="J975" t="s">
        <v>61</v>
      </c>
      <c r="K975" t="s">
        <v>62</v>
      </c>
      <c r="L975" t="s">
        <v>105</v>
      </c>
      <c r="M975" t="s">
        <v>32</v>
      </c>
      <c r="N975" t="s">
        <v>33</v>
      </c>
      <c r="O975" t="s">
        <v>106</v>
      </c>
      <c r="P975">
        <v>329.584</v>
      </c>
      <c r="Q975">
        <v>2</v>
      </c>
      <c r="R975">
        <v>37.078200000000002</v>
      </c>
      <c r="S975" s="3" t="s">
        <v>107</v>
      </c>
      <c r="T975">
        <v>2016</v>
      </c>
      <c r="U975" t="s">
        <v>81</v>
      </c>
      <c r="V975" s="2">
        <v>0.1125</v>
      </c>
    </row>
    <row r="976" spans="1:22" x14ac:dyDescent="0.25">
      <c r="A976" t="s">
        <v>2924</v>
      </c>
      <c r="B976" s="1">
        <v>41856</v>
      </c>
      <c r="C976" s="1">
        <v>41862</v>
      </c>
      <c r="D976" t="s">
        <v>23</v>
      </c>
      <c r="E976" t="s">
        <v>523</v>
      </c>
      <c r="F976" t="s">
        <v>524</v>
      </c>
      <c r="G976" t="s">
        <v>26</v>
      </c>
      <c r="H976" t="s">
        <v>27</v>
      </c>
      <c r="I976" t="s">
        <v>43</v>
      </c>
      <c r="J976" t="s">
        <v>29</v>
      </c>
      <c r="K976" t="s">
        <v>30</v>
      </c>
      <c r="L976" t="s">
        <v>1161</v>
      </c>
      <c r="M976" t="s">
        <v>32</v>
      </c>
      <c r="N976" t="s">
        <v>51</v>
      </c>
      <c r="O976" t="s">
        <v>1162</v>
      </c>
      <c r="P976">
        <v>16.36</v>
      </c>
      <c r="Q976">
        <v>1</v>
      </c>
      <c r="R976">
        <v>1.6359999999999999</v>
      </c>
      <c r="S976" s="3" t="s">
        <v>107</v>
      </c>
      <c r="T976">
        <v>2014</v>
      </c>
      <c r="U976" t="s">
        <v>46</v>
      </c>
      <c r="V976" s="2">
        <v>0.1</v>
      </c>
    </row>
    <row r="977" spans="1:22" x14ac:dyDescent="0.25">
      <c r="A977" t="s">
        <v>2925</v>
      </c>
      <c r="B977" s="1">
        <v>42694</v>
      </c>
      <c r="C977" s="1">
        <v>42698</v>
      </c>
      <c r="D977" t="s">
        <v>23</v>
      </c>
      <c r="E977" t="s">
        <v>1482</v>
      </c>
      <c r="F977" t="s">
        <v>1483</v>
      </c>
      <c r="G977" t="s">
        <v>26</v>
      </c>
      <c r="H977" t="s">
        <v>27</v>
      </c>
      <c r="I977" t="s">
        <v>71</v>
      </c>
      <c r="J977" t="s">
        <v>61</v>
      </c>
      <c r="K977" t="s">
        <v>62</v>
      </c>
      <c r="L977" t="s">
        <v>1041</v>
      </c>
      <c r="M977" t="s">
        <v>32</v>
      </c>
      <c r="N977" t="s">
        <v>33</v>
      </c>
      <c r="O977" t="s">
        <v>1042</v>
      </c>
      <c r="P977">
        <v>151.19200000000001</v>
      </c>
      <c r="Q977">
        <v>1</v>
      </c>
      <c r="R977">
        <v>13.2293</v>
      </c>
      <c r="S977" s="3" t="s">
        <v>53</v>
      </c>
      <c r="T977">
        <v>2016</v>
      </c>
      <c r="U977" t="s">
        <v>118</v>
      </c>
      <c r="V977" s="2">
        <v>8.7499999999999994E-2</v>
      </c>
    </row>
    <row r="978" spans="1:22" x14ac:dyDescent="0.25">
      <c r="A978" t="s">
        <v>2926</v>
      </c>
      <c r="B978" s="1">
        <v>42896</v>
      </c>
      <c r="C978" s="1">
        <v>42901</v>
      </c>
      <c r="D978" t="s">
        <v>23</v>
      </c>
      <c r="E978" t="s">
        <v>1523</v>
      </c>
      <c r="F978" t="s">
        <v>1524</v>
      </c>
      <c r="G978" t="s">
        <v>26</v>
      </c>
      <c r="H978" t="s">
        <v>27</v>
      </c>
      <c r="I978" t="s">
        <v>481</v>
      </c>
      <c r="J978" t="s">
        <v>426</v>
      </c>
      <c r="K978" t="s">
        <v>30</v>
      </c>
      <c r="L978" t="s">
        <v>831</v>
      </c>
      <c r="M978" t="s">
        <v>32</v>
      </c>
      <c r="N978" t="s">
        <v>33</v>
      </c>
      <c r="O978" t="s">
        <v>832</v>
      </c>
      <c r="P978">
        <v>88.775999999999996</v>
      </c>
      <c r="Q978">
        <v>3</v>
      </c>
      <c r="R978">
        <v>7.7679</v>
      </c>
      <c r="S978" s="3" t="s">
        <v>35</v>
      </c>
      <c r="T978">
        <v>2017</v>
      </c>
      <c r="U978" t="s">
        <v>36</v>
      </c>
      <c r="V978" s="2">
        <v>8.7499999999999994E-2</v>
      </c>
    </row>
    <row r="979" spans="1:22" x14ac:dyDescent="0.25">
      <c r="A979" t="s">
        <v>2927</v>
      </c>
      <c r="B979" s="1">
        <v>42882</v>
      </c>
      <c r="C979" s="1">
        <v>42886</v>
      </c>
      <c r="D979" t="s">
        <v>23</v>
      </c>
      <c r="E979" t="s">
        <v>1402</v>
      </c>
      <c r="F979" t="s">
        <v>1403</v>
      </c>
      <c r="G979" t="s">
        <v>59</v>
      </c>
      <c r="H979" t="s">
        <v>27</v>
      </c>
      <c r="I979" t="s">
        <v>481</v>
      </c>
      <c r="J979" t="s">
        <v>426</v>
      </c>
      <c r="K979" t="s">
        <v>30</v>
      </c>
      <c r="L979" t="s">
        <v>1161</v>
      </c>
      <c r="M979" t="s">
        <v>32</v>
      </c>
      <c r="N979" t="s">
        <v>51</v>
      </c>
      <c r="O979" t="s">
        <v>1162</v>
      </c>
      <c r="P979">
        <v>98.16</v>
      </c>
      <c r="Q979">
        <v>6</v>
      </c>
      <c r="R979">
        <v>9.8160000000000007</v>
      </c>
      <c r="S979" s="3" t="s">
        <v>53</v>
      </c>
      <c r="T979">
        <v>2017</v>
      </c>
      <c r="U979" t="s">
        <v>527</v>
      </c>
      <c r="V979" s="2">
        <v>0.1</v>
      </c>
    </row>
    <row r="980" spans="1:22" x14ac:dyDescent="0.25">
      <c r="A980" t="s">
        <v>2928</v>
      </c>
      <c r="B980" s="1">
        <v>42596</v>
      </c>
      <c r="C980" s="1">
        <v>42600</v>
      </c>
      <c r="D980" t="s">
        <v>23</v>
      </c>
      <c r="E980" t="s">
        <v>2848</v>
      </c>
      <c r="F980" t="s">
        <v>2849</v>
      </c>
      <c r="G980" t="s">
        <v>26</v>
      </c>
      <c r="H980" t="s">
        <v>27</v>
      </c>
      <c r="I980" t="s">
        <v>28</v>
      </c>
      <c r="J980" t="s">
        <v>29</v>
      </c>
      <c r="K980" t="s">
        <v>30</v>
      </c>
      <c r="L980" t="s">
        <v>2929</v>
      </c>
      <c r="M980" t="s">
        <v>32</v>
      </c>
      <c r="N980" t="s">
        <v>215</v>
      </c>
      <c r="O980" t="s">
        <v>2930</v>
      </c>
      <c r="P980">
        <v>105.55200000000001</v>
      </c>
      <c r="Q980">
        <v>6</v>
      </c>
      <c r="R980">
        <v>35.623800000000003</v>
      </c>
      <c r="S980" s="3" t="s">
        <v>53</v>
      </c>
      <c r="T980">
        <v>2016</v>
      </c>
      <c r="U980" t="s">
        <v>46</v>
      </c>
      <c r="V980" s="2">
        <v>0.33750000000000002</v>
      </c>
    </row>
    <row r="981" spans="1:22" x14ac:dyDescent="0.25">
      <c r="A981" t="s">
        <v>2931</v>
      </c>
      <c r="B981" s="1">
        <v>42912</v>
      </c>
      <c r="C981" s="1">
        <v>42919</v>
      </c>
      <c r="D981" t="s">
        <v>23</v>
      </c>
      <c r="E981" t="s">
        <v>1095</v>
      </c>
      <c r="F981" t="s">
        <v>1096</v>
      </c>
      <c r="G981" t="s">
        <v>26</v>
      </c>
      <c r="H981" t="s">
        <v>27</v>
      </c>
      <c r="I981" t="s">
        <v>206</v>
      </c>
      <c r="J981" t="s">
        <v>207</v>
      </c>
      <c r="K981" t="s">
        <v>95</v>
      </c>
      <c r="L981" t="s">
        <v>334</v>
      </c>
      <c r="M981" t="s">
        <v>32</v>
      </c>
      <c r="N981" t="s">
        <v>33</v>
      </c>
      <c r="O981" t="s">
        <v>335</v>
      </c>
      <c r="P981">
        <v>358.2</v>
      </c>
      <c r="Q981">
        <v>3</v>
      </c>
      <c r="R981">
        <v>41.79</v>
      </c>
      <c r="S981" s="3" t="s">
        <v>132</v>
      </c>
      <c r="T981">
        <v>2017</v>
      </c>
      <c r="U981" t="s">
        <v>36</v>
      </c>
      <c r="V981" s="2">
        <v>0.116666666666667</v>
      </c>
    </row>
    <row r="982" spans="1:22" x14ac:dyDescent="0.25">
      <c r="A982" t="s">
        <v>2931</v>
      </c>
      <c r="B982" s="1">
        <v>42912</v>
      </c>
      <c r="C982" s="1">
        <v>42919</v>
      </c>
      <c r="D982" t="s">
        <v>23</v>
      </c>
      <c r="E982" t="s">
        <v>1095</v>
      </c>
      <c r="F982" t="s">
        <v>1096</v>
      </c>
      <c r="G982" t="s">
        <v>26</v>
      </c>
      <c r="H982" t="s">
        <v>27</v>
      </c>
      <c r="I982" t="s">
        <v>206</v>
      </c>
      <c r="J982" t="s">
        <v>207</v>
      </c>
      <c r="K982" t="s">
        <v>95</v>
      </c>
      <c r="L982" t="s">
        <v>1915</v>
      </c>
      <c r="M982" t="s">
        <v>32</v>
      </c>
      <c r="N982" t="s">
        <v>33</v>
      </c>
      <c r="O982" t="s">
        <v>1916</v>
      </c>
      <c r="P982">
        <v>545.91600000000005</v>
      </c>
      <c r="Q982">
        <v>14</v>
      </c>
      <c r="R982">
        <v>72.788799999999995</v>
      </c>
      <c r="S982" s="3" t="s">
        <v>132</v>
      </c>
      <c r="T982">
        <v>2017</v>
      </c>
      <c r="U982" t="s">
        <v>36</v>
      </c>
      <c r="V982" s="2">
        <v>0.133333333333333</v>
      </c>
    </row>
    <row r="983" spans="1:22" x14ac:dyDescent="0.25">
      <c r="A983" t="s">
        <v>2932</v>
      </c>
      <c r="B983" s="1">
        <v>42784</v>
      </c>
      <c r="C983" s="1">
        <v>42787</v>
      </c>
      <c r="D983" t="s">
        <v>40</v>
      </c>
      <c r="E983" t="s">
        <v>2933</v>
      </c>
      <c r="F983" t="s">
        <v>2934</v>
      </c>
      <c r="G983" t="s">
        <v>59</v>
      </c>
      <c r="H983" t="s">
        <v>27</v>
      </c>
      <c r="I983" t="s">
        <v>28</v>
      </c>
      <c r="J983" t="s">
        <v>29</v>
      </c>
      <c r="K983" t="s">
        <v>30</v>
      </c>
      <c r="L983" t="s">
        <v>507</v>
      </c>
      <c r="M983" t="s">
        <v>32</v>
      </c>
      <c r="N983" t="s">
        <v>33</v>
      </c>
      <c r="O983" t="s">
        <v>508</v>
      </c>
      <c r="P983">
        <v>167.976</v>
      </c>
      <c r="Q983">
        <v>3</v>
      </c>
      <c r="R983">
        <v>10.4985</v>
      </c>
      <c r="S983" s="3" t="s">
        <v>172</v>
      </c>
      <c r="T983">
        <v>2017</v>
      </c>
      <c r="U983" t="s">
        <v>180</v>
      </c>
      <c r="V983" s="2">
        <v>6.25E-2</v>
      </c>
    </row>
    <row r="984" spans="1:22" x14ac:dyDescent="0.25">
      <c r="A984" t="s">
        <v>2932</v>
      </c>
      <c r="B984" s="1">
        <v>42784</v>
      </c>
      <c r="C984" s="1">
        <v>42787</v>
      </c>
      <c r="D984" t="s">
        <v>40</v>
      </c>
      <c r="E984" t="s">
        <v>2933</v>
      </c>
      <c r="F984" t="s">
        <v>2934</v>
      </c>
      <c r="G984" t="s">
        <v>59</v>
      </c>
      <c r="H984" t="s">
        <v>27</v>
      </c>
      <c r="I984" t="s">
        <v>28</v>
      </c>
      <c r="J984" t="s">
        <v>29</v>
      </c>
      <c r="K984" t="s">
        <v>30</v>
      </c>
      <c r="L984" t="s">
        <v>1713</v>
      </c>
      <c r="M984" t="s">
        <v>32</v>
      </c>
      <c r="N984" t="s">
        <v>51</v>
      </c>
      <c r="O984" t="s">
        <v>1714</v>
      </c>
      <c r="P984">
        <v>109.53</v>
      </c>
      <c r="Q984">
        <v>3</v>
      </c>
      <c r="R984">
        <v>47.097900000000003</v>
      </c>
      <c r="S984" s="3" t="s">
        <v>172</v>
      </c>
      <c r="T984">
        <v>2017</v>
      </c>
      <c r="U984" t="s">
        <v>180</v>
      </c>
      <c r="V984" s="2">
        <v>0.43</v>
      </c>
    </row>
    <row r="985" spans="1:22" x14ac:dyDescent="0.25">
      <c r="A985" t="s">
        <v>2935</v>
      </c>
      <c r="B985" s="1">
        <v>42999</v>
      </c>
      <c r="C985" s="1">
        <v>43001</v>
      </c>
      <c r="D985" t="s">
        <v>56</v>
      </c>
      <c r="E985" t="s">
        <v>2936</v>
      </c>
      <c r="F985" t="s">
        <v>2937</v>
      </c>
      <c r="G985" t="s">
        <v>26</v>
      </c>
      <c r="H985" t="s">
        <v>27</v>
      </c>
      <c r="I985" t="s">
        <v>481</v>
      </c>
      <c r="J985" t="s">
        <v>426</v>
      </c>
      <c r="K985" t="s">
        <v>30</v>
      </c>
      <c r="L985" t="s">
        <v>434</v>
      </c>
      <c r="M985" t="s">
        <v>32</v>
      </c>
      <c r="N985" t="s">
        <v>51</v>
      </c>
      <c r="O985" t="s">
        <v>435</v>
      </c>
      <c r="P985">
        <v>71.98</v>
      </c>
      <c r="Q985">
        <v>2</v>
      </c>
      <c r="R985">
        <v>15.1158</v>
      </c>
      <c r="S985" s="3" t="s">
        <v>65</v>
      </c>
      <c r="T985">
        <v>2017</v>
      </c>
      <c r="U985" t="s">
        <v>81</v>
      </c>
      <c r="V985" s="2">
        <v>0.21</v>
      </c>
    </row>
    <row r="986" spans="1:22" x14ac:dyDescent="0.25">
      <c r="A986" t="s">
        <v>2935</v>
      </c>
      <c r="B986" s="1">
        <v>42999</v>
      </c>
      <c r="C986" s="1">
        <v>43001</v>
      </c>
      <c r="D986" t="s">
        <v>56</v>
      </c>
      <c r="E986" t="s">
        <v>2936</v>
      </c>
      <c r="F986" t="s">
        <v>2937</v>
      </c>
      <c r="G986" t="s">
        <v>26</v>
      </c>
      <c r="H986" t="s">
        <v>27</v>
      </c>
      <c r="I986" t="s">
        <v>481</v>
      </c>
      <c r="J986" t="s">
        <v>426</v>
      </c>
      <c r="K986" t="s">
        <v>30</v>
      </c>
      <c r="L986" t="s">
        <v>520</v>
      </c>
      <c r="M986" t="s">
        <v>32</v>
      </c>
      <c r="N986" t="s">
        <v>51</v>
      </c>
      <c r="O986" t="s">
        <v>521</v>
      </c>
      <c r="P986">
        <v>79.98</v>
      </c>
      <c r="Q986">
        <v>2</v>
      </c>
      <c r="R986">
        <v>26.3934</v>
      </c>
      <c r="S986" s="3" t="s">
        <v>65</v>
      </c>
      <c r="T986">
        <v>2017</v>
      </c>
      <c r="U986" t="s">
        <v>81</v>
      </c>
      <c r="V986" s="2">
        <v>0.33</v>
      </c>
    </row>
    <row r="987" spans="1:22" x14ac:dyDescent="0.25">
      <c r="A987" t="s">
        <v>2938</v>
      </c>
      <c r="B987" s="1">
        <v>42422</v>
      </c>
      <c r="C987" s="1">
        <v>42426</v>
      </c>
      <c r="D987" t="s">
        <v>23</v>
      </c>
      <c r="E987" t="s">
        <v>904</v>
      </c>
      <c r="F987" t="s">
        <v>905</v>
      </c>
      <c r="G987" t="s">
        <v>26</v>
      </c>
      <c r="H987" t="s">
        <v>27</v>
      </c>
      <c r="I987" t="s">
        <v>28</v>
      </c>
      <c r="J987" t="s">
        <v>29</v>
      </c>
      <c r="K987" t="s">
        <v>30</v>
      </c>
      <c r="L987" t="s">
        <v>352</v>
      </c>
      <c r="M987" t="s">
        <v>32</v>
      </c>
      <c r="N987" t="s">
        <v>33</v>
      </c>
      <c r="O987" t="s">
        <v>353</v>
      </c>
      <c r="P987">
        <v>445.96</v>
      </c>
      <c r="Q987">
        <v>5</v>
      </c>
      <c r="R987">
        <v>55.744999999999997</v>
      </c>
      <c r="S987" s="3" t="s">
        <v>53</v>
      </c>
      <c r="T987">
        <v>2016</v>
      </c>
      <c r="U987" t="s">
        <v>180</v>
      </c>
      <c r="V987" s="2">
        <v>0.125</v>
      </c>
    </row>
    <row r="988" spans="1:22" x14ac:dyDescent="0.25">
      <c r="A988" t="s">
        <v>2938</v>
      </c>
      <c r="B988" s="1">
        <v>42422</v>
      </c>
      <c r="C988" s="1">
        <v>42426</v>
      </c>
      <c r="D988" t="s">
        <v>23</v>
      </c>
      <c r="E988" t="s">
        <v>904</v>
      </c>
      <c r="F988" t="s">
        <v>905</v>
      </c>
      <c r="G988" t="s">
        <v>26</v>
      </c>
      <c r="H988" t="s">
        <v>27</v>
      </c>
      <c r="I988" t="s">
        <v>28</v>
      </c>
      <c r="J988" t="s">
        <v>29</v>
      </c>
      <c r="K988" t="s">
        <v>30</v>
      </c>
      <c r="L988" t="s">
        <v>2185</v>
      </c>
      <c r="M988" t="s">
        <v>32</v>
      </c>
      <c r="N988" t="s">
        <v>51</v>
      </c>
      <c r="O988" t="s">
        <v>2186</v>
      </c>
      <c r="P988">
        <v>36.24</v>
      </c>
      <c r="Q988">
        <v>1</v>
      </c>
      <c r="R988">
        <v>15.220800000000001</v>
      </c>
      <c r="S988" s="3" t="s">
        <v>53</v>
      </c>
      <c r="T988">
        <v>2016</v>
      </c>
      <c r="U988" t="s">
        <v>180</v>
      </c>
      <c r="V988" s="2">
        <v>0.42</v>
      </c>
    </row>
    <row r="989" spans="1:22" x14ac:dyDescent="0.25">
      <c r="A989" t="s">
        <v>2939</v>
      </c>
      <c r="B989" s="1">
        <v>42996</v>
      </c>
      <c r="C989" s="1">
        <v>43000</v>
      </c>
      <c r="D989" t="s">
        <v>23</v>
      </c>
      <c r="E989" t="s">
        <v>2293</v>
      </c>
      <c r="F989" t="s">
        <v>2294</v>
      </c>
      <c r="G989" t="s">
        <v>26</v>
      </c>
      <c r="H989" t="s">
        <v>27</v>
      </c>
      <c r="I989" t="s">
        <v>2940</v>
      </c>
      <c r="J989" t="s">
        <v>889</v>
      </c>
      <c r="K989" t="s">
        <v>30</v>
      </c>
      <c r="L989" t="s">
        <v>2941</v>
      </c>
      <c r="M989" t="s">
        <v>32</v>
      </c>
      <c r="N989" t="s">
        <v>51</v>
      </c>
      <c r="O989" t="s">
        <v>2942</v>
      </c>
      <c r="P989">
        <v>101.34</v>
      </c>
      <c r="Q989">
        <v>3</v>
      </c>
      <c r="R989">
        <v>8.1072000000000006</v>
      </c>
      <c r="S989" s="3" t="s">
        <v>53</v>
      </c>
      <c r="T989">
        <v>2017</v>
      </c>
      <c r="U989" t="s">
        <v>81</v>
      </c>
      <c r="V989" s="2">
        <v>0.08</v>
      </c>
    </row>
    <row r="990" spans="1:22" x14ac:dyDescent="0.25">
      <c r="A990" t="s">
        <v>2943</v>
      </c>
      <c r="B990" s="1">
        <v>42624</v>
      </c>
      <c r="C990" s="1">
        <v>42627</v>
      </c>
      <c r="D990" t="s">
        <v>56</v>
      </c>
      <c r="E990" t="s">
        <v>2944</v>
      </c>
      <c r="F990" t="s">
        <v>2945</v>
      </c>
      <c r="G990" t="s">
        <v>26</v>
      </c>
      <c r="H990" t="s">
        <v>27</v>
      </c>
      <c r="I990" t="s">
        <v>2946</v>
      </c>
      <c r="J990" t="s">
        <v>2242</v>
      </c>
      <c r="K990" t="s">
        <v>62</v>
      </c>
      <c r="L990" t="s">
        <v>2169</v>
      </c>
      <c r="M990" t="s">
        <v>32</v>
      </c>
      <c r="N990" t="s">
        <v>33</v>
      </c>
      <c r="O990" t="s">
        <v>2170</v>
      </c>
      <c r="P990">
        <v>224.75</v>
      </c>
      <c r="Q990">
        <v>5</v>
      </c>
      <c r="R990">
        <v>62.93</v>
      </c>
      <c r="S990" s="3" t="s">
        <v>172</v>
      </c>
      <c r="T990">
        <v>2016</v>
      </c>
      <c r="U990" t="s">
        <v>81</v>
      </c>
      <c r="V990" s="2">
        <v>0.28000000000000003</v>
      </c>
    </row>
    <row r="991" spans="1:22" x14ac:dyDescent="0.25">
      <c r="A991" t="s">
        <v>2947</v>
      </c>
      <c r="B991" s="1">
        <v>43001</v>
      </c>
      <c r="C991" s="1">
        <v>43006</v>
      </c>
      <c r="D991" t="s">
        <v>23</v>
      </c>
      <c r="E991" t="s">
        <v>144</v>
      </c>
      <c r="F991" t="s">
        <v>145</v>
      </c>
      <c r="G991" t="s">
        <v>26</v>
      </c>
      <c r="H991" t="s">
        <v>27</v>
      </c>
      <c r="I991" t="s">
        <v>140</v>
      </c>
      <c r="J991" t="s">
        <v>78</v>
      </c>
      <c r="K991" t="s">
        <v>62</v>
      </c>
      <c r="L991" t="s">
        <v>935</v>
      </c>
      <c r="M991" t="s">
        <v>32</v>
      </c>
      <c r="N991" t="s">
        <v>33</v>
      </c>
      <c r="O991" t="s">
        <v>936</v>
      </c>
      <c r="P991">
        <v>39.984000000000002</v>
      </c>
      <c r="Q991">
        <v>2</v>
      </c>
      <c r="R991">
        <v>-8.9963999999999995</v>
      </c>
      <c r="S991" s="3" t="s">
        <v>35</v>
      </c>
      <c r="T991">
        <v>2017</v>
      </c>
      <c r="U991" t="s">
        <v>81</v>
      </c>
      <c r="V991" s="2">
        <v>-0.22500000000000001</v>
      </c>
    </row>
    <row r="992" spans="1:22" x14ac:dyDescent="0.25">
      <c r="A992" t="s">
        <v>2948</v>
      </c>
      <c r="B992" s="1">
        <v>42300</v>
      </c>
      <c r="C992" s="1">
        <v>42303</v>
      </c>
      <c r="D992" t="s">
        <v>56</v>
      </c>
      <c r="E992" t="s">
        <v>2949</v>
      </c>
      <c r="F992" t="s">
        <v>2950</v>
      </c>
      <c r="G992" t="s">
        <v>26</v>
      </c>
      <c r="H992" t="s">
        <v>27</v>
      </c>
      <c r="I992" t="s">
        <v>71</v>
      </c>
      <c r="J992" t="s">
        <v>61</v>
      </c>
      <c r="K992" t="s">
        <v>62</v>
      </c>
      <c r="L992" t="s">
        <v>638</v>
      </c>
      <c r="M992" t="s">
        <v>32</v>
      </c>
      <c r="N992" t="s">
        <v>33</v>
      </c>
      <c r="O992" t="s">
        <v>639</v>
      </c>
      <c r="P992">
        <v>150.38399999999999</v>
      </c>
      <c r="Q992">
        <v>2</v>
      </c>
      <c r="R992">
        <v>15.038399999999999</v>
      </c>
      <c r="S992" s="3" t="s">
        <v>172</v>
      </c>
      <c r="T992">
        <v>2015</v>
      </c>
      <c r="U992" t="s">
        <v>133</v>
      </c>
      <c r="V992" s="2">
        <v>0.1</v>
      </c>
    </row>
    <row r="993" spans="1:22" x14ac:dyDescent="0.25">
      <c r="A993" t="s">
        <v>2951</v>
      </c>
      <c r="B993" s="1">
        <v>42460</v>
      </c>
      <c r="C993" s="1">
        <v>42462</v>
      </c>
      <c r="D993" t="s">
        <v>40</v>
      </c>
      <c r="E993" t="s">
        <v>2192</v>
      </c>
      <c r="F993" t="s">
        <v>2193</v>
      </c>
      <c r="G993" t="s">
        <v>26</v>
      </c>
      <c r="H993" t="s">
        <v>27</v>
      </c>
      <c r="I993" t="s">
        <v>206</v>
      </c>
      <c r="J993" t="s">
        <v>207</v>
      </c>
      <c r="K993" t="s">
        <v>95</v>
      </c>
      <c r="L993" t="s">
        <v>2425</v>
      </c>
      <c r="M993" t="s">
        <v>32</v>
      </c>
      <c r="N993" t="s">
        <v>33</v>
      </c>
      <c r="O993" t="s">
        <v>2426</v>
      </c>
      <c r="P993">
        <v>280.78199999999998</v>
      </c>
      <c r="Q993">
        <v>3</v>
      </c>
      <c r="R993">
        <v>-60.836100000000002</v>
      </c>
      <c r="S993" s="3" t="s">
        <v>65</v>
      </c>
      <c r="T993">
        <v>2016</v>
      </c>
      <c r="U993" t="s">
        <v>89</v>
      </c>
      <c r="V993" s="2">
        <v>-0.21666666666666701</v>
      </c>
    </row>
    <row r="994" spans="1:22" x14ac:dyDescent="0.25">
      <c r="A994" t="s">
        <v>2951</v>
      </c>
      <c r="B994" s="1">
        <v>42460</v>
      </c>
      <c r="C994" s="1">
        <v>42462</v>
      </c>
      <c r="D994" t="s">
        <v>40</v>
      </c>
      <c r="E994" t="s">
        <v>2192</v>
      </c>
      <c r="F994" t="s">
        <v>2193</v>
      </c>
      <c r="G994" t="s">
        <v>26</v>
      </c>
      <c r="H994" t="s">
        <v>27</v>
      </c>
      <c r="I994" t="s">
        <v>206</v>
      </c>
      <c r="J994" t="s">
        <v>207</v>
      </c>
      <c r="K994" t="s">
        <v>95</v>
      </c>
      <c r="L994" t="s">
        <v>1578</v>
      </c>
      <c r="M994" t="s">
        <v>32</v>
      </c>
      <c r="N994" t="s">
        <v>51</v>
      </c>
      <c r="O994" t="s">
        <v>1579</v>
      </c>
      <c r="P994">
        <v>31.984000000000002</v>
      </c>
      <c r="Q994">
        <v>2</v>
      </c>
      <c r="R994">
        <v>1.1994</v>
      </c>
      <c r="S994" s="3" t="s">
        <v>65</v>
      </c>
      <c r="T994">
        <v>2016</v>
      </c>
      <c r="U994" t="s">
        <v>89</v>
      </c>
      <c r="V994" s="2">
        <v>3.7499999999999999E-2</v>
      </c>
    </row>
    <row r="995" spans="1:22" x14ac:dyDescent="0.25">
      <c r="A995" t="s">
        <v>2952</v>
      </c>
      <c r="B995" s="1">
        <v>42707</v>
      </c>
      <c r="C995" s="1">
        <v>42710</v>
      </c>
      <c r="D995" t="s">
        <v>56</v>
      </c>
      <c r="E995" t="s">
        <v>2953</v>
      </c>
      <c r="F995" t="s">
        <v>2954</v>
      </c>
      <c r="G995" t="s">
        <v>26</v>
      </c>
      <c r="H995" t="s">
        <v>27</v>
      </c>
      <c r="I995" t="s">
        <v>28</v>
      </c>
      <c r="J995" t="s">
        <v>29</v>
      </c>
      <c r="K995" t="s">
        <v>30</v>
      </c>
      <c r="L995" t="s">
        <v>2955</v>
      </c>
      <c r="M995" t="s">
        <v>32</v>
      </c>
      <c r="N995" t="s">
        <v>51</v>
      </c>
      <c r="O995" t="s">
        <v>2956</v>
      </c>
      <c r="P995">
        <v>1649.95</v>
      </c>
      <c r="Q995">
        <v>5</v>
      </c>
      <c r="R995">
        <v>659.98</v>
      </c>
      <c r="S995" s="3" t="s">
        <v>172</v>
      </c>
      <c r="T995">
        <v>2016</v>
      </c>
      <c r="U995" t="s">
        <v>66</v>
      </c>
      <c r="V995" s="2">
        <v>0.4</v>
      </c>
    </row>
    <row r="996" spans="1:22" x14ac:dyDescent="0.25">
      <c r="A996" t="s">
        <v>2957</v>
      </c>
      <c r="B996" s="1">
        <v>42296</v>
      </c>
      <c r="C996" s="1">
        <v>42301</v>
      </c>
      <c r="D996" t="s">
        <v>23</v>
      </c>
      <c r="E996" t="s">
        <v>226</v>
      </c>
      <c r="F996" t="s">
        <v>227</v>
      </c>
      <c r="G996" t="s">
        <v>70</v>
      </c>
      <c r="H996" t="s">
        <v>27</v>
      </c>
      <c r="I996" t="s">
        <v>28</v>
      </c>
      <c r="J996" t="s">
        <v>29</v>
      </c>
      <c r="K996" t="s">
        <v>30</v>
      </c>
      <c r="L996" t="s">
        <v>359</v>
      </c>
      <c r="M996" t="s">
        <v>32</v>
      </c>
      <c r="N996" t="s">
        <v>51</v>
      </c>
      <c r="O996" t="s">
        <v>360</v>
      </c>
      <c r="P996">
        <v>270</v>
      </c>
      <c r="Q996">
        <v>3</v>
      </c>
      <c r="R996">
        <v>97.2</v>
      </c>
      <c r="S996" s="3" t="s">
        <v>35</v>
      </c>
      <c r="T996">
        <v>2015</v>
      </c>
      <c r="U996" t="s">
        <v>133</v>
      </c>
      <c r="V996" s="2">
        <v>0.36</v>
      </c>
    </row>
    <row r="997" spans="1:22" x14ac:dyDescent="0.25">
      <c r="A997" t="s">
        <v>2958</v>
      </c>
      <c r="B997" s="1">
        <v>42111</v>
      </c>
      <c r="C997" s="1">
        <v>42117</v>
      </c>
      <c r="D997" t="s">
        <v>23</v>
      </c>
      <c r="E997" t="s">
        <v>881</v>
      </c>
      <c r="F997" t="s">
        <v>882</v>
      </c>
      <c r="G997" t="s">
        <v>26</v>
      </c>
      <c r="H997" t="s">
        <v>27</v>
      </c>
      <c r="I997" t="s">
        <v>103</v>
      </c>
      <c r="J997" t="s">
        <v>104</v>
      </c>
      <c r="K997" t="s">
        <v>95</v>
      </c>
      <c r="L997" t="s">
        <v>930</v>
      </c>
      <c r="M997" t="s">
        <v>32</v>
      </c>
      <c r="N997" t="s">
        <v>51</v>
      </c>
      <c r="O997" t="s">
        <v>931</v>
      </c>
      <c r="P997">
        <v>99.6</v>
      </c>
      <c r="Q997">
        <v>1</v>
      </c>
      <c r="R997">
        <v>36.851999999999997</v>
      </c>
      <c r="S997" s="3" t="s">
        <v>107</v>
      </c>
      <c r="T997">
        <v>2015</v>
      </c>
      <c r="U997" t="s">
        <v>291</v>
      </c>
      <c r="V997" s="2">
        <v>0.37</v>
      </c>
    </row>
    <row r="998" spans="1:22" x14ac:dyDescent="0.25">
      <c r="A998" t="s">
        <v>2959</v>
      </c>
      <c r="B998" s="1">
        <v>42608</v>
      </c>
      <c r="C998" s="1">
        <v>42613</v>
      </c>
      <c r="D998" t="s">
        <v>23</v>
      </c>
      <c r="E998" t="s">
        <v>302</v>
      </c>
      <c r="F998" t="s">
        <v>303</v>
      </c>
      <c r="G998" t="s">
        <v>59</v>
      </c>
      <c r="H998" t="s">
        <v>27</v>
      </c>
      <c r="I998" t="s">
        <v>103</v>
      </c>
      <c r="J998" t="s">
        <v>104</v>
      </c>
      <c r="K998" t="s">
        <v>95</v>
      </c>
      <c r="L998" t="s">
        <v>1077</v>
      </c>
      <c r="M998" t="s">
        <v>32</v>
      </c>
      <c r="N998" t="s">
        <v>33</v>
      </c>
      <c r="O998" t="s">
        <v>1078</v>
      </c>
      <c r="P998">
        <v>33</v>
      </c>
      <c r="Q998">
        <v>6</v>
      </c>
      <c r="R998">
        <v>8.25</v>
      </c>
      <c r="S998" s="3" t="s">
        <v>35</v>
      </c>
      <c r="T998">
        <v>2016</v>
      </c>
      <c r="U998" t="s">
        <v>46</v>
      </c>
      <c r="V998" s="2">
        <v>0.25</v>
      </c>
    </row>
    <row r="999" spans="1:22" x14ac:dyDescent="0.25">
      <c r="A999" t="s">
        <v>2959</v>
      </c>
      <c r="B999" s="1">
        <v>42608</v>
      </c>
      <c r="C999" s="1">
        <v>42613</v>
      </c>
      <c r="D999" t="s">
        <v>23</v>
      </c>
      <c r="E999" t="s">
        <v>302</v>
      </c>
      <c r="F999" t="s">
        <v>303</v>
      </c>
      <c r="G999" t="s">
        <v>59</v>
      </c>
      <c r="H999" t="s">
        <v>27</v>
      </c>
      <c r="I999" t="s">
        <v>103</v>
      </c>
      <c r="J999" t="s">
        <v>104</v>
      </c>
      <c r="K999" t="s">
        <v>95</v>
      </c>
      <c r="L999" t="s">
        <v>1573</v>
      </c>
      <c r="M999" t="s">
        <v>32</v>
      </c>
      <c r="N999" t="s">
        <v>51</v>
      </c>
      <c r="O999" t="s">
        <v>1574</v>
      </c>
      <c r="P999">
        <v>249.95</v>
      </c>
      <c r="Q999">
        <v>5</v>
      </c>
      <c r="R999">
        <v>87.482500000000002</v>
      </c>
      <c r="S999" s="3" t="s">
        <v>35</v>
      </c>
      <c r="T999">
        <v>2016</v>
      </c>
      <c r="U999" t="s">
        <v>46</v>
      </c>
      <c r="V999" s="2">
        <v>0.35</v>
      </c>
    </row>
    <row r="1000" spans="1:22" x14ac:dyDescent="0.25">
      <c r="A1000" t="s">
        <v>2960</v>
      </c>
      <c r="B1000" s="1">
        <v>41894</v>
      </c>
      <c r="C1000" s="1">
        <v>41901</v>
      </c>
      <c r="D1000" t="s">
        <v>23</v>
      </c>
      <c r="E1000" t="s">
        <v>1867</v>
      </c>
      <c r="F1000" t="s">
        <v>1868</v>
      </c>
      <c r="G1000" t="s">
        <v>70</v>
      </c>
      <c r="H1000" t="s">
        <v>27</v>
      </c>
      <c r="I1000" t="s">
        <v>2961</v>
      </c>
      <c r="J1000" t="s">
        <v>2242</v>
      </c>
      <c r="K1000" t="s">
        <v>62</v>
      </c>
      <c r="L1000" t="s">
        <v>2697</v>
      </c>
      <c r="M1000" t="s">
        <v>32</v>
      </c>
      <c r="N1000" t="s">
        <v>51</v>
      </c>
      <c r="O1000" t="s">
        <v>2698</v>
      </c>
      <c r="P1000">
        <v>57.4</v>
      </c>
      <c r="Q1000">
        <v>5</v>
      </c>
      <c r="R1000">
        <v>10.906000000000001</v>
      </c>
      <c r="S1000" s="3" t="s">
        <v>132</v>
      </c>
      <c r="T1000">
        <v>2014</v>
      </c>
      <c r="U1000" t="s">
        <v>81</v>
      </c>
      <c r="V1000" s="2">
        <v>0.19</v>
      </c>
    </row>
    <row r="1001" spans="1:22" x14ac:dyDescent="0.25">
      <c r="A1001" t="s">
        <v>2962</v>
      </c>
      <c r="B1001" s="1">
        <v>43016</v>
      </c>
      <c r="C1001" s="1">
        <v>43022</v>
      </c>
      <c r="D1001" t="s">
        <v>23</v>
      </c>
      <c r="E1001" t="s">
        <v>747</v>
      </c>
      <c r="F1001" t="s">
        <v>748</v>
      </c>
      <c r="G1001" t="s">
        <v>59</v>
      </c>
      <c r="H1001" t="s">
        <v>27</v>
      </c>
      <c r="I1001" t="s">
        <v>300</v>
      </c>
      <c r="J1001" t="s">
        <v>29</v>
      </c>
      <c r="K1001" t="s">
        <v>30</v>
      </c>
      <c r="L1001" t="s">
        <v>1148</v>
      </c>
      <c r="M1001" t="s">
        <v>32</v>
      </c>
      <c r="N1001" t="s">
        <v>33</v>
      </c>
      <c r="O1001" t="s">
        <v>1149</v>
      </c>
      <c r="P1001">
        <v>103.19199999999999</v>
      </c>
      <c r="Q1001">
        <v>1</v>
      </c>
      <c r="R1001">
        <v>11.6091</v>
      </c>
      <c r="S1001" s="3" t="s">
        <v>107</v>
      </c>
      <c r="T1001">
        <v>2017</v>
      </c>
      <c r="U1001" t="s">
        <v>133</v>
      </c>
      <c r="V1001" s="2">
        <v>0.1125</v>
      </c>
    </row>
    <row r="1002" spans="1:22" x14ac:dyDescent="0.25">
      <c r="A1002" t="s">
        <v>2962</v>
      </c>
      <c r="B1002" s="1">
        <v>43016</v>
      </c>
      <c r="C1002" s="1">
        <v>43022</v>
      </c>
      <c r="D1002" t="s">
        <v>23</v>
      </c>
      <c r="E1002" t="s">
        <v>747</v>
      </c>
      <c r="F1002" t="s">
        <v>748</v>
      </c>
      <c r="G1002" t="s">
        <v>59</v>
      </c>
      <c r="H1002" t="s">
        <v>27</v>
      </c>
      <c r="I1002" t="s">
        <v>300</v>
      </c>
      <c r="J1002" t="s">
        <v>29</v>
      </c>
      <c r="K1002" t="s">
        <v>30</v>
      </c>
      <c r="L1002" t="s">
        <v>2256</v>
      </c>
      <c r="M1002" t="s">
        <v>32</v>
      </c>
      <c r="N1002" t="s">
        <v>51</v>
      </c>
      <c r="O1002" t="s">
        <v>2257</v>
      </c>
      <c r="P1002">
        <v>36</v>
      </c>
      <c r="Q1002">
        <v>2</v>
      </c>
      <c r="R1002">
        <v>6.48</v>
      </c>
      <c r="S1002" s="3" t="s">
        <v>107</v>
      </c>
      <c r="T1002">
        <v>2017</v>
      </c>
      <c r="U1002" t="s">
        <v>133</v>
      </c>
      <c r="V1002" s="2">
        <v>0.18</v>
      </c>
    </row>
    <row r="1003" spans="1:22" x14ac:dyDescent="0.25">
      <c r="A1003" t="s">
        <v>2962</v>
      </c>
      <c r="B1003" s="1">
        <v>43016</v>
      </c>
      <c r="C1003" s="1">
        <v>43022</v>
      </c>
      <c r="D1003" t="s">
        <v>23</v>
      </c>
      <c r="E1003" t="s">
        <v>747</v>
      </c>
      <c r="F1003" t="s">
        <v>748</v>
      </c>
      <c r="G1003" t="s">
        <v>59</v>
      </c>
      <c r="H1003" t="s">
        <v>27</v>
      </c>
      <c r="I1003" t="s">
        <v>300</v>
      </c>
      <c r="J1003" t="s">
        <v>29</v>
      </c>
      <c r="K1003" t="s">
        <v>30</v>
      </c>
      <c r="L1003" t="s">
        <v>721</v>
      </c>
      <c r="M1003" t="s">
        <v>32</v>
      </c>
      <c r="N1003" t="s">
        <v>51</v>
      </c>
      <c r="O1003" t="s">
        <v>722</v>
      </c>
      <c r="P1003">
        <v>239.96</v>
      </c>
      <c r="Q1003">
        <v>4</v>
      </c>
      <c r="R1003">
        <v>115.1808</v>
      </c>
      <c r="S1003" s="3" t="s">
        <v>107</v>
      </c>
      <c r="T1003">
        <v>2017</v>
      </c>
      <c r="U1003" t="s">
        <v>133</v>
      </c>
      <c r="V1003" s="2">
        <v>0.48</v>
      </c>
    </row>
    <row r="1004" spans="1:22" x14ac:dyDescent="0.25">
      <c r="A1004" t="s">
        <v>2963</v>
      </c>
      <c r="B1004" s="1">
        <v>42826</v>
      </c>
      <c r="C1004" s="1">
        <v>42829</v>
      </c>
      <c r="D1004" t="s">
        <v>40</v>
      </c>
      <c r="E1004" t="s">
        <v>2894</v>
      </c>
      <c r="F1004" t="s">
        <v>2895</v>
      </c>
      <c r="G1004" t="s">
        <v>59</v>
      </c>
      <c r="H1004" t="s">
        <v>27</v>
      </c>
      <c r="I1004" t="s">
        <v>460</v>
      </c>
      <c r="J1004" t="s">
        <v>288</v>
      </c>
      <c r="K1004" t="s">
        <v>155</v>
      </c>
      <c r="L1004" t="s">
        <v>1420</v>
      </c>
      <c r="M1004" t="s">
        <v>32</v>
      </c>
      <c r="N1004" t="s">
        <v>33</v>
      </c>
      <c r="O1004" t="s">
        <v>1421</v>
      </c>
      <c r="P1004">
        <v>23.975999999999999</v>
      </c>
      <c r="Q1004">
        <v>3</v>
      </c>
      <c r="R1004">
        <v>-5.6943000000000001</v>
      </c>
      <c r="S1004" s="3" t="s">
        <v>172</v>
      </c>
      <c r="T1004">
        <v>2017</v>
      </c>
      <c r="U1004" t="s">
        <v>291</v>
      </c>
      <c r="V1004" s="2">
        <v>-0.23749999999999999</v>
      </c>
    </row>
    <row r="1005" spans="1:22" x14ac:dyDescent="0.25">
      <c r="A1005" t="s">
        <v>2964</v>
      </c>
      <c r="B1005" s="1">
        <v>42898</v>
      </c>
      <c r="C1005" s="1">
        <v>42902</v>
      </c>
      <c r="D1005" t="s">
        <v>23</v>
      </c>
      <c r="E1005" t="s">
        <v>1886</v>
      </c>
      <c r="F1005" t="s">
        <v>1887</v>
      </c>
      <c r="G1005" t="s">
        <v>26</v>
      </c>
      <c r="H1005" t="s">
        <v>27</v>
      </c>
      <c r="I1005" t="s">
        <v>1647</v>
      </c>
      <c r="J1005" t="s">
        <v>177</v>
      </c>
      <c r="K1005" t="s">
        <v>95</v>
      </c>
      <c r="L1005" t="s">
        <v>325</v>
      </c>
      <c r="M1005" t="s">
        <v>32</v>
      </c>
      <c r="N1005" t="s">
        <v>51</v>
      </c>
      <c r="O1005" t="s">
        <v>326</v>
      </c>
      <c r="P1005">
        <v>63.92</v>
      </c>
      <c r="Q1005">
        <v>2</v>
      </c>
      <c r="R1005">
        <v>19.175999999999998</v>
      </c>
      <c r="S1005" s="3" t="s">
        <v>53</v>
      </c>
      <c r="T1005">
        <v>2017</v>
      </c>
      <c r="U1005" t="s">
        <v>36</v>
      </c>
      <c r="V1005" s="2">
        <v>0.3</v>
      </c>
    </row>
    <row r="1006" spans="1:22" x14ac:dyDescent="0.25">
      <c r="A1006" t="s">
        <v>2965</v>
      </c>
      <c r="B1006" s="1">
        <v>42931</v>
      </c>
      <c r="C1006" s="1">
        <v>42934</v>
      </c>
      <c r="D1006" t="s">
        <v>40</v>
      </c>
      <c r="E1006" t="s">
        <v>2966</v>
      </c>
      <c r="F1006" t="s">
        <v>2967</v>
      </c>
      <c r="G1006" t="s">
        <v>26</v>
      </c>
      <c r="H1006" t="s">
        <v>27</v>
      </c>
      <c r="I1006" t="s">
        <v>103</v>
      </c>
      <c r="J1006" t="s">
        <v>104</v>
      </c>
      <c r="K1006" t="s">
        <v>95</v>
      </c>
      <c r="L1006" t="s">
        <v>406</v>
      </c>
      <c r="M1006" t="s">
        <v>32</v>
      </c>
      <c r="N1006" t="s">
        <v>51</v>
      </c>
      <c r="O1006" t="s">
        <v>407</v>
      </c>
      <c r="P1006">
        <v>41.9</v>
      </c>
      <c r="Q1006">
        <v>2</v>
      </c>
      <c r="R1006">
        <v>8.7989999999999995</v>
      </c>
      <c r="S1006" s="3" t="s">
        <v>172</v>
      </c>
      <c r="T1006">
        <v>2017</v>
      </c>
      <c r="U1006" t="s">
        <v>332</v>
      </c>
      <c r="V1006" s="2">
        <v>0.21</v>
      </c>
    </row>
    <row r="1007" spans="1:22" x14ac:dyDescent="0.25">
      <c r="A1007" t="s">
        <v>2968</v>
      </c>
      <c r="B1007" s="1">
        <v>43041</v>
      </c>
      <c r="C1007" s="1">
        <v>43045</v>
      </c>
      <c r="D1007" t="s">
        <v>23</v>
      </c>
      <c r="E1007" t="s">
        <v>2969</v>
      </c>
      <c r="F1007" t="s">
        <v>2970</v>
      </c>
      <c r="G1007" t="s">
        <v>59</v>
      </c>
      <c r="H1007" t="s">
        <v>27</v>
      </c>
      <c r="I1007" t="s">
        <v>206</v>
      </c>
      <c r="J1007" t="s">
        <v>207</v>
      </c>
      <c r="K1007" t="s">
        <v>95</v>
      </c>
      <c r="L1007" t="s">
        <v>1385</v>
      </c>
      <c r="M1007" t="s">
        <v>32</v>
      </c>
      <c r="N1007" t="s">
        <v>33</v>
      </c>
      <c r="O1007" t="s">
        <v>1386</v>
      </c>
      <c r="P1007">
        <v>859.2</v>
      </c>
      <c r="Q1007">
        <v>4</v>
      </c>
      <c r="R1007">
        <v>-186.16</v>
      </c>
      <c r="S1007" s="3" t="s">
        <v>53</v>
      </c>
      <c r="T1007">
        <v>2017</v>
      </c>
      <c r="U1007" t="s">
        <v>118</v>
      </c>
      <c r="V1007" s="2">
        <v>-0.21666666666666701</v>
      </c>
    </row>
    <row r="1008" spans="1:22" x14ac:dyDescent="0.25">
      <c r="A1008" t="s">
        <v>2971</v>
      </c>
      <c r="B1008" s="1">
        <v>42870</v>
      </c>
      <c r="C1008" s="1">
        <v>42875</v>
      </c>
      <c r="D1008" t="s">
        <v>23</v>
      </c>
      <c r="E1008" t="s">
        <v>1529</v>
      </c>
      <c r="F1008" t="s">
        <v>1530</v>
      </c>
      <c r="G1008" t="s">
        <v>26</v>
      </c>
      <c r="H1008" t="s">
        <v>27</v>
      </c>
      <c r="I1008" t="s">
        <v>140</v>
      </c>
      <c r="J1008" t="s">
        <v>78</v>
      </c>
      <c r="K1008" t="s">
        <v>62</v>
      </c>
      <c r="L1008" t="s">
        <v>1345</v>
      </c>
      <c r="M1008" t="s">
        <v>32</v>
      </c>
      <c r="N1008" t="s">
        <v>33</v>
      </c>
      <c r="O1008" t="s">
        <v>1346</v>
      </c>
      <c r="P1008">
        <v>11.12</v>
      </c>
      <c r="Q1008">
        <v>2</v>
      </c>
      <c r="R1008">
        <v>3.4750000000000001</v>
      </c>
      <c r="S1008" s="3" t="s">
        <v>35</v>
      </c>
      <c r="T1008">
        <v>2017</v>
      </c>
      <c r="U1008" t="s">
        <v>527</v>
      </c>
      <c r="V1008" s="2">
        <v>0.3125</v>
      </c>
    </row>
    <row r="1009" spans="1:22" x14ac:dyDescent="0.25">
      <c r="A1009" t="s">
        <v>2972</v>
      </c>
      <c r="B1009" s="1">
        <v>42154</v>
      </c>
      <c r="C1009" s="1">
        <v>42156</v>
      </c>
      <c r="D1009" t="s">
        <v>56</v>
      </c>
      <c r="E1009" t="s">
        <v>1855</v>
      </c>
      <c r="F1009" t="s">
        <v>1856</v>
      </c>
      <c r="G1009" t="s">
        <v>26</v>
      </c>
      <c r="H1009" t="s">
        <v>27</v>
      </c>
      <c r="I1009" t="s">
        <v>103</v>
      </c>
      <c r="J1009" t="s">
        <v>104</v>
      </c>
      <c r="K1009" t="s">
        <v>95</v>
      </c>
      <c r="L1009" t="s">
        <v>773</v>
      </c>
      <c r="M1009" t="s">
        <v>32</v>
      </c>
      <c r="N1009" t="s">
        <v>33</v>
      </c>
      <c r="O1009" t="s">
        <v>2973</v>
      </c>
      <c r="P1009">
        <v>239.97</v>
      </c>
      <c r="Q1009">
        <v>3</v>
      </c>
      <c r="R1009">
        <v>2.3997000000000002</v>
      </c>
      <c r="S1009" s="3" t="s">
        <v>65</v>
      </c>
      <c r="T1009">
        <v>2015</v>
      </c>
      <c r="U1009" t="s">
        <v>527</v>
      </c>
      <c r="V1009" s="2">
        <v>0.01</v>
      </c>
    </row>
    <row r="1010" spans="1:22" x14ac:dyDescent="0.25">
      <c r="A1010" t="s">
        <v>2972</v>
      </c>
      <c r="B1010" s="1">
        <v>42154</v>
      </c>
      <c r="C1010" s="1">
        <v>42156</v>
      </c>
      <c r="D1010" t="s">
        <v>56</v>
      </c>
      <c r="E1010" t="s">
        <v>1855</v>
      </c>
      <c r="F1010" t="s">
        <v>1856</v>
      </c>
      <c r="G1010" t="s">
        <v>26</v>
      </c>
      <c r="H1010" t="s">
        <v>27</v>
      </c>
      <c r="I1010" t="s">
        <v>103</v>
      </c>
      <c r="J1010" t="s">
        <v>104</v>
      </c>
      <c r="K1010" t="s">
        <v>95</v>
      </c>
      <c r="L1010" t="s">
        <v>1689</v>
      </c>
      <c r="M1010" t="s">
        <v>32</v>
      </c>
      <c r="N1010" t="s">
        <v>33</v>
      </c>
      <c r="O1010" t="s">
        <v>1690</v>
      </c>
      <c r="P1010">
        <v>128.85</v>
      </c>
      <c r="Q1010">
        <v>3</v>
      </c>
      <c r="R1010">
        <v>3.8654999999999999</v>
      </c>
      <c r="S1010" s="3" t="s">
        <v>65</v>
      </c>
      <c r="T1010">
        <v>2015</v>
      </c>
      <c r="U1010" t="s">
        <v>527</v>
      </c>
      <c r="V1010" s="2">
        <v>0.03</v>
      </c>
    </row>
    <row r="1011" spans="1:22" x14ac:dyDescent="0.25">
      <c r="A1011" t="s">
        <v>2974</v>
      </c>
      <c r="B1011" s="1">
        <v>42692</v>
      </c>
      <c r="C1011" s="1">
        <v>42695</v>
      </c>
      <c r="D1011" t="s">
        <v>40</v>
      </c>
      <c r="E1011" t="s">
        <v>1102</v>
      </c>
      <c r="F1011" t="s">
        <v>1103</v>
      </c>
      <c r="G1011" t="s">
        <v>59</v>
      </c>
      <c r="H1011" t="s">
        <v>27</v>
      </c>
      <c r="I1011" t="s">
        <v>517</v>
      </c>
      <c r="J1011" t="s">
        <v>555</v>
      </c>
      <c r="K1011" t="s">
        <v>155</v>
      </c>
      <c r="L1011" t="s">
        <v>2955</v>
      </c>
      <c r="M1011" t="s">
        <v>32</v>
      </c>
      <c r="N1011" t="s">
        <v>51</v>
      </c>
      <c r="O1011" t="s">
        <v>2956</v>
      </c>
      <c r="P1011">
        <v>1319.96</v>
      </c>
      <c r="Q1011">
        <v>4</v>
      </c>
      <c r="R1011">
        <v>527.98400000000004</v>
      </c>
      <c r="S1011" s="3" t="s">
        <v>172</v>
      </c>
      <c r="T1011">
        <v>2016</v>
      </c>
      <c r="U1011" t="s">
        <v>118</v>
      </c>
      <c r="V1011" s="2">
        <v>0.4</v>
      </c>
    </row>
    <row r="1012" spans="1:22" x14ac:dyDescent="0.25">
      <c r="A1012" t="s">
        <v>2975</v>
      </c>
      <c r="B1012" s="1">
        <v>43073</v>
      </c>
      <c r="C1012" s="1">
        <v>43078</v>
      </c>
      <c r="D1012" t="s">
        <v>23</v>
      </c>
      <c r="E1012" t="s">
        <v>260</v>
      </c>
      <c r="F1012" t="s">
        <v>261</v>
      </c>
      <c r="G1012" t="s">
        <v>59</v>
      </c>
      <c r="H1012" t="s">
        <v>27</v>
      </c>
      <c r="I1012" t="s">
        <v>206</v>
      </c>
      <c r="J1012" t="s">
        <v>207</v>
      </c>
      <c r="K1012" t="s">
        <v>95</v>
      </c>
      <c r="L1012" t="s">
        <v>1099</v>
      </c>
      <c r="M1012" t="s">
        <v>32</v>
      </c>
      <c r="N1012" t="s">
        <v>51</v>
      </c>
      <c r="O1012" t="s">
        <v>1100</v>
      </c>
      <c r="P1012">
        <v>255.96799999999999</v>
      </c>
      <c r="Q1012">
        <v>4</v>
      </c>
      <c r="R1012">
        <v>-28.796399999999998</v>
      </c>
      <c r="S1012" s="3" t="s">
        <v>35</v>
      </c>
      <c r="T1012">
        <v>2017</v>
      </c>
      <c r="U1012" t="s">
        <v>66</v>
      </c>
      <c r="V1012" s="2">
        <v>-0.1125</v>
      </c>
    </row>
    <row r="1013" spans="1:22" x14ac:dyDescent="0.25">
      <c r="A1013" t="s">
        <v>2976</v>
      </c>
      <c r="B1013" s="1">
        <v>42094</v>
      </c>
      <c r="C1013" s="1">
        <v>42098</v>
      </c>
      <c r="D1013" t="s">
        <v>23</v>
      </c>
      <c r="E1013" t="s">
        <v>1711</v>
      </c>
      <c r="F1013" t="s">
        <v>1712</v>
      </c>
      <c r="G1013" t="s">
        <v>59</v>
      </c>
      <c r="H1013" t="s">
        <v>27</v>
      </c>
      <c r="I1013" t="s">
        <v>460</v>
      </c>
      <c r="J1013" t="s">
        <v>288</v>
      </c>
      <c r="K1013" t="s">
        <v>155</v>
      </c>
      <c r="L1013" t="s">
        <v>295</v>
      </c>
      <c r="M1013" t="s">
        <v>32</v>
      </c>
      <c r="N1013" t="s">
        <v>33</v>
      </c>
      <c r="O1013" t="s">
        <v>296</v>
      </c>
      <c r="P1013">
        <v>79.959999999999994</v>
      </c>
      <c r="Q1013">
        <v>5</v>
      </c>
      <c r="R1013">
        <v>27.986000000000001</v>
      </c>
      <c r="S1013" s="3" t="s">
        <v>53</v>
      </c>
      <c r="T1013">
        <v>2015</v>
      </c>
      <c r="U1013" t="s">
        <v>89</v>
      </c>
      <c r="V1013" s="2">
        <v>0.35</v>
      </c>
    </row>
    <row r="1014" spans="1:22" x14ac:dyDescent="0.25">
      <c r="A1014" t="s">
        <v>2977</v>
      </c>
      <c r="B1014" s="1">
        <v>43071</v>
      </c>
      <c r="C1014" s="1">
        <v>43075</v>
      </c>
      <c r="D1014" t="s">
        <v>23</v>
      </c>
      <c r="E1014" t="s">
        <v>2978</v>
      </c>
      <c r="F1014" t="s">
        <v>2979</v>
      </c>
      <c r="G1014" t="s">
        <v>26</v>
      </c>
      <c r="H1014" t="s">
        <v>27</v>
      </c>
      <c r="I1014" t="s">
        <v>778</v>
      </c>
      <c r="J1014" t="s">
        <v>779</v>
      </c>
      <c r="K1014" t="s">
        <v>62</v>
      </c>
      <c r="L1014" t="s">
        <v>773</v>
      </c>
      <c r="M1014" t="s">
        <v>32</v>
      </c>
      <c r="N1014" t="s">
        <v>33</v>
      </c>
      <c r="O1014" t="s">
        <v>774</v>
      </c>
      <c r="P1014">
        <v>2479.96</v>
      </c>
      <c r="Q1014">
        <v>4</v>
      </c>
      <c r="R1014">
        <v>743.98800000000006</v>
      </c>
      <c r="S1014" s="3" t="s">
        <v>53</v>
      </c>
      <c r="T1014">
        <v>2017</v>
      </c>
      <c r="U1014" t="s">
        <v>66</v>
      </c>
      <c r="V1014" s="2">
        <v>0.3</v>
      </c>
    </row>
    <row r="1015" spans="1:22" x14ac:dyDescent="0.25">
      <c r="A1015" t="s">
        <v>2980</v>
      </c>
      <c r="B1015" s="1">
        <v>42527</v>
      </c>
      <c r="C1015" s="1">
        <v>42528</v>
      </c>
      <c r="D1015" t="s">
        <v>56</v>
      </c>
      <c r="E1015" t="s">
        <v>625</v>
      </c>
      <c r="F1015" t="s">
        <v>626</v>
      </c>
      <c r="G1015" t="s">
        <v>26</v>
      </c>
      <c r="H1015" t="s">
        <v>27</v>
      </c>
      <c r="I1015" t="s">
        <v>1631</v>
      </c>
      <c r="J1015" t="s">
        <v>1011</v>
      </c>
      <c r="K1015" t="s">
        <v>155</v>
      </c>
      <c r="L1015" t="s">
        <v>1233</v>
      </c>
      <c r="M1015" t="s">
        <v>32</v>
      </c>
      <c r="N1015" t="s">
        <v>51</v>
      </c>
      <c r="O1015" t="s">
        <v>1234</v>
      </c>
      <c r="P1015">
        <v>179.94</v>
      </c>
      <c r="Q1015">
        <v>6</v>
      </c>
      <c r="R1015">
        <v>75.574799999999996</v>
      </c>
      <c r="S1015" s="3" t="s">
        <v>112</v>
      </c>
      <c r="T1015">
        <v>2016</v>
      </c>
      <c r="U1015" t="s">
        <v>36</v>
      </c>
      <c r="V1015" s="2">
        <v>0.42</v>
      </c>
    </row>
    <row r="1016" spans="1:22" x14ac:dyDescent="0.25">
      <c r="A1016" t="s">
        <v>2980</v>
      </c>
      <c r="B1016" s="1">
        <v>42527</v>
      </c>
      <c r="C1016" s="1">
        <v>42528</v>
      </c>
      <c r="D1016" t="s">
        <v>56</v>
      </c>
      <c r="E1016" t="s">
        <v>625</v>
      </c>
      <c r="F1016" t="s">
        <v>626</v>
      </c>
      <c r="G1016" t="s">
        <v>26</v>
      </c>
      <c r="H1016" t="s">
        <v>27</v>
      </c>
      <c r="I1016" t="s">
        <v>1631</v>
      </c>
      <c r="J1016" t="s">
        <v>1011</v>
      </c>
      <c r="K1016" t="s">
        <v>155</v>
      </c>
      <c r="L1016" t="s">
        <v>1264</v>
      </c>
      <c r="M1016" t="s">
        <v>32</v>
      </c>
      <c r="N1016" t="s">
        <v>51</v>
      </c>
      <c r="O1016" t="s">
        <v>1265</v>
      </c>
      <c r="P1016">
        <v>26.85</v>
      </c>
      <c r="Q1016">
        <v>3</v>
      </c>
      <c r="R1016">
        <v>5.1014999999999997</v>
      </c>
      <c r="S1016" s="3" t="s">
        <v>112</v>
      </c>
      <c r="T1016">
        <v>2016</v>
      </c>
      <c r="U1016" t="s">
        <v>36</v>
      </c>
      <c r="V1016" s="2">
        <v>0.19</v>
      </c>
    </row>
    <row r="1017" spans="1:22" x14ac:dyDescent="0.25">
      <c r="A1017" t="s">
        <v>2980</v>
      </c>
      <c r="B1017" s="1">
        <v>42527</v>
      </c>
      <c r="C1017" s="1">
        <v>42528</v>
      </c>
      <c r="D1017" t="s">
        <v>56</v>
      </c>
      <c r="E1017" t="s">
        <v>625</v>
      </c>
      <c r="F1017" t="s">
        <v>626</v>
      </c>
      <c r="G1017" t="s">
        <v>26</v>
      </c>
      <c r="H1017" t="s">
        <v>27</v>
      </c>
      <c r="I1017" t="s">
        <v>1631</v>
      </c>
      <c r="J1017" t="s">
        <v>1011</v>
      </c>
      <c r="K1017" t="s">
        <v>155</v>
      </c>
      <c r="L1017" t="s">
        <v>750</v>
      </c>
      <c r="M1017" t="s">
        <v>32</v>
      </c>
      <c r="N1017" t="s">
        <v>51</v>
      </c>
      <c r="O1017" t="s">
        <v>751</v>
      </c>
      <c r="P1017">
        <v>323.37</v>
      </c>
      <c r="Q1017">
        <v>3</v>
      </c>
      <c r="R1017">
        <v>129.34800000000001</v>
      </c>
      <c r="S1017" s="3" t="s">
        <v>112</v>
      </c>
      <c r="T1017">
        <v>2016</v>
      </c>
      <c r="U1017" t="s">
        <v>36</v>
      </c>
      <c r="V1017" s="2">
        <v>0.4</v>
      </c>
    </row>
    <row r="1018" spans="1:22" x14ac:dyDescent="0.25">
      <c r="A1018" t="s">
        <v>2981</v>
      </c>
      <c r="B1018" s="1">
        <v>42985</v>
      </c>
      <c r="C1018" s="1">
        <v>42986</v>
      </c>
      <c r="D1018" t="s">
        <v>56</v>
      </c>
      <c r="E1018" t="s">
        <v>2982</v>
      </c>
      <c r="F1018" t="s">
        <v>2983</v>
      </c>
      <c r="G1018" t="s">
        <v>26</v>
      </c>
      <c r="H1018" t="s">
        <v>27</v>
      </c>
      <c r="I1018" t="s">
        <v>2984</v>
      </c>
      <c r="J1018" t="s">
        <v>1167</v>
      </c>
      <c r="K1018" t="s">
        <v>30</v>
      </c>
      <c r="L1018" t="s">
        <v>1606</v>
      </c>
      <c r="M1018" t="s">
        <v>32</v>
      </c>
      <c r="N1018" t="s">
        <v>33</v>
      </c>
      <c r="O1018" t="s">
        <v>1607</v>
      </c>
      <c r="P1018">
        <v>126.56</v>
      </c>
      <c r="Q1018">
        <v>4</v>
      </c>
      <c r="R1018">
        <v>47.46</v>
      </c>
      <c r="S1018" s="3" t="s">
        <v>112</v>
      </c>
      <c r="T1018">
        <v>2017</v>
      </c>
      <c r="U1018" t="s">
        <v>81</v>
      </c>
      <c r="V1018" s="2">
        <v>0.375</v>
      </c>
    </row>
    <row r="1019" spans="1:22" x14ac:dyDescent="0.25">
      <c r="A1019" t="s">
        <v>2985</v>
      </c>
      <c r="B1019" s="1">
        <v>41971</v>
      </c>
      <c r="C1019" s="1">
        <v>41974</v>
      </c>
      <c r="D1019" t="s">
        <v>56</v>
      </c>
      <c r="E1019" t="s">
        <v>2986</v>
      </c>
      <c r="F1019" t="s">
        <v>2987</v>
      </c>
      <c r="G1019" t="s">
        <v>26</v>
      </c>
      <c r="H1019" t="s">
        <v>27</v>
      </c>
      <c r="I1019" t="s">
        <v>43</v>
      </c>
      <c r="J1019" t="s">
        <v>29</v>
      </c>
      <c r="K1019" t="s">
        <v>30</v>
      </c>
      <c r="L1019" t="s">
        <v>972</v>
      </c>
      <c r="M1019" t="s">
        <v>32</v>
      </c>
      <c r="N1019" t="s">
        <v>51</v>
      </c>
      <c r="O1019" t="s">
        <v>973</v>
      </c>
      <c r="P1019">
        <v>139.93</v>
      </c>
      <c r="Q1019">
        <v>7</v>
      </c>
      <c r="R1019">
        <v>34.982500000000002</v>
      </c>
      <c r="S1019" s="3" t="s">
        <v>172</v>
      </c>
      <c r="T1019">
        <v>2014</v>
      </c>
      <c r="U1019" t="s">
        <v>118</v>
      </c>
      <c r="V1019" s="2">
        <v>0.25</v>
      </c>
    </row>
    <row r="1020" spans="1:22" x14ac:dyDescent="0.25">
      <c r="A1020" t="s">
        <v>2988</v>
      </c>
      <c r="B1020" s="1">
        <v>41955</v>
      </c>
      <c r="C1020" s="1">
        <v>41959</v>
      </c>
      <c r="D1020" t="s">
        <v>23</v>
      </c>
      <c r="E1020" t="s">
        <v>2989</v>
      </c>
      <c r="F1020" t="s">
        <v>2990</v>
      </c>
      <c r="G1020" t="s">
        <v>59</v>
      </c>
      <c r="H1020" t="s">
        <v>27</v>
      </c>
      <c r="I1020" t="s">
        <v>71</v>
      </c>
      <c r="J1020" t="s">
        <v>61</v>
      </c>
      <c r="K1020" t="s">
        <v>62</v>
      </c>
      <c r="L1020" t="s">
        <v>289</v>
      </c>
      <c r="M1020" t="s">
        <v>32</v>
      </c>
      <c r="N1020" t="s">
        <v>51</v>
      </c>
      <c r="O1020" t="s">
        <v>550</v>
      </c>
      <c r="P1020">
        <v>79.512</v>
      </c>
      <c r="Q1020">
        <v>3</v>
      </c>
      <c r="R1020">
        <v>20.8719</v>
      </c>
      <c r="S1020" s="3" t="s">
        <v>53</v>
      </c>
      <c r="T1020">
        <v>2014</v>
      </c>
      <c r="U1020" t="s">
        <v>118</v>
      </c>
      <c r="V1020" s="2">
        <v>0.26250000000000001</v>
      </c>
    </row>
    <row r="1021" spans="1:22" x14ac:dyDescent="0.25">
      <c r="A1021" t="s">
        <v>2991</v>
      </c>
      <c r="B1021" s="1">
        <v>42825</v>
      </c>
      <c r="C1021" s="1">
        <v>42827</v>
      </c>
      <c r="D1021" t="s">
        <v>40</v>
      </c>
      <c r="E1021" t="s">
        <v>1397</v>
      </c>
      <c r="F1021" t="s">
        <v>1398</v>
      </c>
      <c r="G1021" t="s">
        <v>59</v>
      </c>
      <c r="H1021" t="s">
        <v>27</v>
      </c>
      <c r="I1021" t="s">
        <v>1674</v>
      </c>
      <c r="J1021" t="s">
        <v>1006</v>
      </c>
      <c r="K1021" t="s">
        <v>155</v>
      </c>
      <c r="L1021" t="s">
        <v>380</v>
      </c>
      <c r="M1021" t="s">
        <v>32</v>
      </c>
      <c r="N1021" t="s">
        <v>381</v>
      </c>
      <c r="O1021" t="s">
        <v>382</v>
      </c>
      <c r="P1021">
        <v>2999.95</v>
      </c>
      <c r="Q1021">
        <v>5</v>
      </c>
      <c r="R1021">
        <v>1439.9760000000001</v>
      </c>
      <c r="S1021" s="3" t="s">
        <v>65</v>
      </c>
      <c r="T1021">
        <v>2017</v>
      </c>
      <c r="U1021" t="s">
        <v>89</v>
      </c>
      <c r="V1021" s="2">
        <v>0.48</v>
      </c>
    </row>
    <row r="1022" spans="1:22" x14ac:dyDescent="0.25">
      <c r="A1022" t="s">
        <v>2992</v>
      </c>
      <c r="B1022" s="1">
        <v>42807</v>
      </c>
      <c r="C1022" s="1">
        <v>42807</v>
      </c>
      <c r="D1022" t="s">
        <v>677</v>
      </c>
      <c r="E1022" t="s">
        <v>2276</v>
      </c>
      <c r="F1022" t="s">
        <v>2277</v>
      </c>
      <c r="G1022" t="s">
        <v>70</v>
      </c>
      <c r="H1022" t="s">
        <v>27</v>
      </c>
      <c r="I1022" t="s">
        <v>140</v>
      </c>
      <c r="J1022" t="s">
        <v>78</v>
      </c>
      <c r="K1022" t="s">
        <v>62</v>
      </c>
      <c r="L1022" t="s">
        <v>2993</v>
      </c>
      <c r="M1022" t="s">
        <v>32</v>
      </c>
      <c r="N1022" t="s">
        <v>215</v>
      </c>
      <c r="O1022" t="s">
        <v>2994</v>
      </c>
      <c r="P1022">
        <v>209.98599999999999</v>
      </c>
      <c r="Q1022">
        <v>2</v>
      </c>
      <c r="R1022">
        <v>8.9993999999999996</v>
      </c>
      <c r="S1022" s="3" t="s">
        <v>683</v>
      </c>
      <c r="T1022">
        <v>2017</v>
      </c>
      <c r="U1022" t="s">
        <v>89</v>
      </c>
      <c r="V1022" s="2">
        <v>4.2857142857142899E-2</v>
      </c>
    </row>
    <row r="1023" spans="1:22" x14ac:dyDescent="0.25">
      <c r="A1023" t="s">
        <v>2992</v>
      </c>
      <c r="B1023" s="1">
        <v>42807</v>
      </c>
      <c r="C1023" s="1">
        <v>42807</v>
      </c>
      <c r="D1023" t="s">
        <v>677</v>
      </c>
      <c r="E1023" t="s">
        <v>2276</v>
      </c>
      <c r="F1023" t="s">
        <v>2277</v>
      </c>
      <c r="G1023" t="s">
        <v>70</v>
      </c>
      <c r="H1023" t="s">
        <v>27</v>
      </c>
      <c r="I1023" t="s">
        <v>140</v>
      </c>
      <c r="J1023" t="s">
        <v>78</v>
      </c>
      <c r="K1023" t="s">
        <v>62</v>
      </c>
      <c r="L1023" t="s">
        <v>380</v>
      </c>
      <c r="M1023" t="s">
        <v>32</v>
      </c>
      <c r="N1023" t="s">
        <v>381</v>
      </c>
      <c r="O1023" t="s">
        <v>382</v>
      </c>
      <c r="P1023">
        <v>959.98400000000004</v>
      </c>
      <c r="Q1023">
        <v>2</v>
      </c>
      <c r="R1023">
        <v>335.99439999999998</v>
      </c>
      <c r="S1023" s="3" t="s">
        <v>683</v>
      </c>
      <c r="T1023">
        <v>2017</v>
      </c>
      <c r="U1023" t="s">
        <v>89</v>
      </c>
      <c r="V1023" s="2">
        <v>0.35</v>
      </c>
    </row>
    <row r="1024" spans="1:22" x14ac:dyDescent="0.25">
      <c r="A1024" t="s">
        <v>2992</v>
      </c>
      <c r="B1024" s="1">
        <v>42807</v>
      </c>
      <c r="C1024" s="1">
        <v>42807</v>
      </c>
      <c r="D1024" t="s">
        <v>677</v>
      </c>
      <c r="E1024" t="s">
        <v>2276</v>
      </c>
      <c r="F1024" t="s">
        <v>2277</v>
      </c>
      <c r="G1024" t="s">
        <v>70</v>
      </c>
      <c r="H1024" t="s">
        <v>27</v>
      </c>
      <c r="I1024" t="s">
        <v>140</v>
      </c>
      <c r="J1024" t="s">
        <v>78</v>
      </c>
      <c r="K1024" t="s">
        <v>62</v>
      </c>
      <c r="L1024" t="s">
        <v>1689</v>
      </c>
      <c r="M1024" t="s">
        <v>32</v>
      </c>
      <c r="N1024" t="s">
        <v>33</v>
      </c>
      <c r="O1024" t="s">
        <v>1690</v>
      </c>
      <c r="P1024">
        <v>34.36</v>
      </c>
      <c r="Q1024">
        <v>1</v>
      </c>
      <c r="R1024">
        <v>-7.3014999999999999</v>
      </c>
      <c r="S1024" s="3" t="s">
        <v>683</v>
      </c>
      <c r="T1024">
        <v>2017</v>
      </c>
      <c r="U1024" t="s">
        <v>89</v>
      </c>
      <c r="V1024" s="2">
        <v>-0.21249999999999999</v>
      </c>
    </row>
    <row r="1025" spans="1:22" x14ac:dyDescent="0.25">
      <c r="A1025" t="s">
        <v>2995</v>
      </c>
      <c r="B1025" s="1">
        <v>41978</v>
      </c>
      <c r="C1025" s="1">
        <v>41982</v>
      </c>
      <c r="D1025" t="s">
        <v>23</v>
      </c>
      <c r="E1025" t="s">
        <v>1507</v>
      </c>
      <c r="F1025" t="s">
        <v>1508</v>
      </c>
      <c r="G1025" t="s">
        <v>59</v>
      </c>
      <c r="H1025" t="s">
        <v>27</v>
      </c>
      <c r="I1025" t="s">
        <v>176</v>
      </c>
      <c r="J1025" t="s">
        <v>177</v>
      </c>
      <c r="K1025" t="s">
        <v>95</v>
      </c>
      <c r="L1025" t="s">
        <v>2996</v>
      </c>
      <c r="M1025" t="s">
        <v>32</v>
      </c>
      <c r="N1025" t="s">
        <v>33</v>
      </c>
      <c r="O1025" t="s">
        <v>2997</v>
      </c>
      <c r="P1025">
        <v>36.738</v>
      </c>
      <c r="Q1025">
        <v>1</v>
      </c>
      <c r="R1025">
        <v>-9.1844999999999999</v>
      </c>
      <c r="S1025" s="3" t="s">
        <v>53</v>
      </c>
      <c r="T1025">
        <v>2014</v>
      </c>
      <c r="U1025" t="s">
        <v>66</v>
      </c>
      <c r="V1025" s="2">
        <v>-0.25</v>
      </c>
    </row>
    <row r="1026" spans="1:22" x14ac:dyDescent="0.25">
      <c r="A1026" t="s">
        <v>2995</v>
      </c>
      <c r="B1026" s="1">
        <v>41978</v>
      </c>
      <c r="C1026" s="1">
        <v>41982</v>
      </c>
      <c r="D1026" t="s">
        <v>23</v>
      </c>
      <c r="E1026" t="s">
        <v>1507</v>
      </c>
      <c r="F1026" t="s">
        <v>1508</v>
      </c>
      <c r="G1026" t="s">
        <v>59</v>
      </c>
      <c r="H1026" t="s">
        <v>27</v>
      </c>
      <c r="I1026" t="s">
        <v>176</v>
      </c>
      <c r="J1026" t="s">
        <v>177</v>
      </c>
      <c r="K1026" t="s">
        <v>95</v>
      </c>
      <c r="L1026" t="s">
        <v>1485</v>
      </c>
      <c r="M1026" t="s">
        <v>32</v>
      </c>
      <c r="N1026" t="s">
        <v>33</v>
      </c>
      <c r="O1026" t="s">
        <v>1486</v>
      </c>
      <c r="P1026">
        <v>179.94</v>
      </c>
      <c r="Q1026">
        <v>2</v>
      </c>
      <c r="R1026">
        <v>-44.984999999999999</v>
      </c>
      <c r="S1026" s="3" t="s">
        <v>53</v>
      </c>
      <c r="T1026">
        <v>2014</v>
      </c>
      <c r="U1026" t="s">
        <v>66</v>
      </c>
      <c r="V1026" s="2">
        <v>-0.25</v>
      </c>
    </row>
    <row r="1027" spans="1:22" x14ac:dyDescent="0.25">
      <c r="A1027" t="s">
        <v>2998</v>
      </c>
      <c r="B1027" s="1">
        <v>43069</v>
      </c>
      <c r="C1027" s="1">
        <v>43073</v>
      </c>
      <c r="D1027" t="s">
        <v>23</v>
      </c>
      <c r="E1027" t="s">
        <v>2999</v>
      </c>
      <c r="F1027" t="s">
        <v>3000</v>
      </c>
      <c r="G1027" t="s">
        <v>70</v>
      </c>
      <c r="H1027" t="s">
        <v>27</v>
      </c>
      <c r="I1027" t="s">
        <v>103</v>
      </c>
      <c r="J1027" t="s">
        <v>104</v>
      </c>
      <c r="K1027" t="s">
        <v>95</v>
      </c>
      <c r="L1027" t="s">
        <v>3001</v>
      </c>
      <c r="M1027" t="s">
        <v>32</v>
      </c>
      <c r="N1027" t="s">
        <v>33</v>
      </c>
      <c r="O1027" t="s">
        <v>3002</v>
      </c>
      <c r="P1027">
        <v>546.05999999999995</v>
      </c>
      <c r="Q1027">
        <v>3</v>
      </c>
      <c r="R1027">
        <v>163.81800000000001</v>
      </c>
      <c r="S1027" s="3" t="s">
        <v>53</v>
      </c>
      <c r="T1027">
        <v>2017</v>
      </c>
      <c r="U1027" t="s">
        <v>118</v>
      </c>
      <c r="V1027" s="2">
        <v>0.3</v>
      </c>
    </row>
    <row r="1028" spans="1:22" x14ac:dyDescent="0.25">
      <c r="A1028" t="s">
        <v>3003</v>
      </c>
      <c r="B1028" s="1">
        <v>43002</v>
      </c>
      <c r="C1028" s="1">
        <v>43002</v>
      </c>
      <c r="D1028" t="s">
        <v>677</v>
      </c>
      <c r="E1028" t="s">
        <v>3004</v>
      </c>
      <c r="F1028" t="s">
        <v>3005</v>
      </c>
      <c r="G1028" t="s">
        <v>59</v>
      </c>
      <c r="H1028" t="s">
        <v>27</v>
      </c>
      <c r="I1028" t="s">
        <v>2429</v>
      </c>
      <c r="J1028" t="s">
        <v>1249</v>
      </c>
      <c r="K1028" t="s">
        <v>95</v>
      </c>
      <c r="L1028" t="s">
        <v>556</v>
      </c>
      <c r="M1028" t="s">
        <v>32</v>
      </c>
      <c r="N1028" t="s">
        <v>33</v>
      </c>
      <c r="O1028" t="s">
        <v>557</v>
      </c>
      <c r="P1028">
        <v>391.98</v>
      </c>
      <c r="Q1028">
        <v>2</v>
      </c>
      <c r="R1028">
        <v>109.7544</v>
      </c>
      <c r="S1028" s="3" t="s">
        <v>683</v>
      </c>
      <c r="T1028">
        <v>2017</v>
      </c>
      <c r="U1028" t="s">
        <v>81</v>
      </c>
      <c r="V1028" s="2">
        <v>0.28000000000000003</v>
      </c>
    </row>
    <row r="1029" spans="1:22" x14ac:dyDescent="0.25">
      <c r="A1029" t="s">
        <v>3003</v>
      </c>
      <c r="B1029" s="1">
        <v>43002</v>
      </c>
      <c r="C1029" s="1">
        <v>43002</v>
      </c>
      <c r="D1029" t="s">
        <v>677</v>
      </c>
      <c r="E1029" t="s">
        <v>3004</v>
      </c>
      <c r="F1029" t="s">
        <v>3005</v>
      </c>
      <c r="G1029" t="s">
        <v>59</v>
      </c>
      <c r="H1029" t="s">
        <v>27</v>
      </c>
      <c r="I1029" t="s">
        <v>2429</v>
      </c>
      <c r="J1029" t="s">
        <v>1249</v>
      </c>
      <c r="K1029" t="s">
        <v>95</v>
      </c>
      <c r="L1029" t="s">
        <v>1665</v>
      </c>
      <c r="M1029" t="s">
        <v>32</v>
      </c>
      <c r="N1029" t="s">
        <v>33</v>
      </c>
      <c r="O1029" t="s">
        <v>1666</v>
      </c>
      <c r="P1029">
        <v>437.85</v>
      </c>
      <c r="Q1029">
        <v>3</v>
      </c>
      <c r="R1029">
        <v>131.35499999999999</v>
      </c>
      <c r="S1029" s="3" t="s">
        <v>683</v>
      </c>
      <c r="T1029">
        <v>2017</v>
      </c>
      <c r="U1029" t="s">
        <v>81</v>
      </c>
      <c r="V1029" s="2">
        <v>0.3</v>
      </c>
    </row>
    <row r="1030" spans="1:22" x14ac:dyDescent="0.25">
      <c r="A1030" t="s">
        <v>3006</v>
      </c>
      <c r="B1030" s="1">
        <v>41915</v>
      </c>
      <c r="C1030" s="1">
        <v>41915</v>
      </c>
      <c r="D1030" t="s">
        <v>677</v>
      </c>
      <c r="E1030" t="s">
        <v>409</v>
      </c>
      <c r="F1030" t="s">
        <v>410</v>
      </c>
      <c r="G1030" t="s">
        <v>26</v>
      </c>
      <c r="H1030" t="s">
        <v>27</v>
      </c>
      <c r="I1030" t="s">
        <v>176</v>
      </c>
      <c r="J1030" t="s">
        <v>177</v>
      </c>
      <c r="K1030" t="s">
        <v>95</v>
      </c>
      <c r="L1030" t="s">
        <v>1342</v>
      </c>
      <c r="M1030" t="s">
        <v>32</v>
      </c>
      <c r="N1030" t="s">
        <v>51</v>
      </c>
      <c r="O1030" t="s">
        <v>1343</v>
      </c>
      <c r="P1030">
        <v>142.488</v>
      </c>
      <c r="Q1030">
        <v>3</v>
      </c>
      <c r="R1030">
        <v>-3.5621999999999998</v>
      </c>
      <c r="S1030" s="3" t="s">
        <v>683</v>
      </c>
      <c r="T1030">
        <v>2014</v>
      </c>
      <c r="U1030" t="s">
        <v>133</v>
      </c>
      <c r="V1030" s="2">
        <v>-2.5000000000000001E-2</v>
      </c>
    </row>
    <row r="1031" spans="1:22" x14ac:dyDescent="0.25">
      <c r="A1031" t="s">
        <v>3007</v>
      </c>
      <c r="B1031" s="1">
        <v>42978</v>
      </c>
      <c r="C1031" s="1">
        <v>42983</v>
      </c>
      <c r="D1031" t="s">
        <v>23</v>
      </c>
      <c r="E1031" t="s">
        <v>3008</v>
      </c>
      <c r="F1031" t="s">
        <v>3009</v>
      </c>
      <c r="G1031" t="s">
        <v>26</v>
      </c>
      <c r="H1031" t="s">
        <v>27</v>
      </c>
      <c r="I1031" t="s">
        <v>228</v>
      </c>
      <c r="J1031" t="s">
        <v>229</v>
      </c>
      <c r="K1031" t="s">
        <v>155</v>
      </c>
      <c r="L1031" t="s">
        <v>922</v>
      </c>
      <c r="M1031" t="s">
        <v>32</v>
      </c>
      <c r="N1031" t="s">
        <v>51</v>
      </c>
      <c r="O1031" t="s">
        <v>923</v>
      </c>
      <c r="P1031">
        <v>659.9</v>
      </c>
      <c r="Q1031">
        <v>2</v>
      </c>
      <c r="R1031">
        <v>217.767</v>
      </c>
      <c r="S1031" s="3" t="s">
        <v>35</v>
      </c>
      <c r="T1031">
        <v>2017</v>
      </c>
      <c r="U1031" t="s">
        <v>46</v>
      </c>
      <c r="V1031" s="2">
        <v>0.33</v>
      </c>
    </row>
    <row r="1032" spans="1:22" x14ac:dyDescent="0.25">
      <c r="A1032" t="s">
        <v>3010</v>
      </c>
      <c r="B1032" s="1">
        <v>42282</v>
      </c>
      <c r="C1032" s="1">
        <v>42284</v>
      </c>
      <c r="D1032" t="s">
        <v>56</v>
      </c>
      <c r="E1032" t="s">
        <v>1215</v>
      </c>
      <c r="F1032" t="s">
        <v>1216</v>
      </c>
      <c r="G1032" t="s">
        <v>26</v>
      </c>
      <c r="H1032" t="s">
        <v>27</v>
      </c>
      <c r="I1032" t="s">
        <v>1071</v>
      </c>
      <c r="J1032" t="s">
        <v>177</v>
      </c>
      <c r="K1032" t="s">
        <v>95</v>
      </c>
      <c r="L1032" t="s">
        <v>239</v>
      </c>
      <c r="M1032" t="s">
        <v>32</v>
      </c>
      <c r="N1032" t="s">
        <v>51</v>
      </c>
      <c r="O1032" t="s">
        <v>240</v>
      </c>
      <c r="P1032">
        <v>53.04</v>
      </c>
      <c r="Q1032">
        <v>3</v>
      </c>
      <c r="R1032">
        <v>-4.641</v>
      </c>
      <c r="S1032" s="3" t="s">
        <v>65</v>
      </c>
      <c r="T1032">
        <v>2015</v>
      </c>
      <c r="U1032" t="s">
        <v>133</v>
      </c>
      <c r="V1032" s="2">
        <v>-8.7499999999999994E-2</v>
      </c>
    </row>
    <row r="1033" spans="1:22" x14ac:dyDescent="0.25">
      <c r="A1033" t="s">
        <v>3011</v>
      </c>
      <c r="B1033" s="1">
        <v>42965</v>
      </c>
      <c r="C1033" s="1">
        <v>42969</v>
      </c>
      <c r="D1033" t="s">
        <v>23</v>
      </c>
      <c r="E1033" t="s">
        <v>768</v>
      </c>
      <c r="F1033" t="s">
        <v>769</v>
      </c>
      <c r="G1033" t="s">
        <v>59</v>
      </c>
      <c r="H1033" t="s">
        <v>27</v>
      </c>
      <c r="I1033" t="s">
        <v>481</v>
      </c>
      <c r="J1033" t="s">
        <v>426</v>
      </c>
      <c r="K1033" t="s">
        <v>30</v>
      </c>
      <c r="L1033" t="s">
        <v>841</v>
      </c>
      <c r="M1033" t="s">
        <v>32</v>
      </c>
      <c r="N1033" t="s">
        <v>51</v>
      </c>
      <c r="O1033" t="s">
        <v>1306</v>
      </c>
      <c r="P1033">
        <v>843.9</v>
      </c>
      <c r="Q1033">
        <v>2</v>
      </c>
      <c r="R1033">
        <v>371.31599999999997</v>
      </c>
      <c r="S1033" s="3" t="s">
        <v>53</v>
      </c>
      <c r="T1033">
        <v>2017</v>
      </c>
      <c r="U1033" t="s">
        <v>46</v>
      </c>
      <c r="V1033" s="2">
        <v>0.44</v>
      </c>
    </row>
    <row r="1034" spans="1:22" x14ac:dyDescent="0.25">
      <c r="A1034" t="s">
        <v>3011</v>
      </c>
      <c r="B1034" s="1">
        <v>42965</v>
      </c>
      <c r="C1034" s="1">
        <v>42969</v>
      </c>
      <c r="D1034" t="s">
        <v>23</v>
      </c>
      <c r="E1034" t="s">
        <v>768</v>
      </c>
      <c r="F1034" t="s">
        <v>769</v>
      </c>
      <c r="G1034" t="s">
        <v>59</v>
      </c>
      <c r="H1034" t="s">
        <v>27</v>
      </c>
      <c r="I1034" t="s">
        <v>481</v>
      </c>
      <c r="J1034" t="s">
        <v>426</v>
      </c>
      <c r="K1034" t="s">
        <v>30</v>
      </c>
      <c r="L1034" t="s">
        <v>697</v>
      </c>
      <c r="M1034" t="s">
        <v>32</v>
      </c>
      <c r="N1034" t="s">
        <v>51</v>
      </c>
      <c r="O1034" t="s">
        <v>698</v>
      </c>
      <c r="P1034">
        <v>1496.16</v>
      </c>
      <c r="Q1034">
        <v>9</v>
      </c>
      <c r="R1034">
        <v>224.42400000000001</v>
      </c>
      <c r="S1034" s="3" t="s">
        <v>53</v>
      </c>
      <c r="T1034">
        <v>2017</v>
      </c>
      <c r="U1034" t="s">
        <v>46</v>
      </c>
      <c r="V1034" s="2">
        <v>0.15</v>
      </c>
    </row>
    <row r="1035" spans="1:22" x14ac:dyDescent="0.25">
      <c r="A1035" t="s">
        <v>3012</v>
      </c>
      <c r="B1035" s="1">
        <v>42638</v>
      </c>
      <c r="C1035" s="1">
        <v>42643</v>
      </c>
      <c r="D1035" t="s">
        <v>23</v>
      </c>
      <c r="E1035" t="s">
        <v>3013</v>
      </c>
      <c r="F1035" t="s">
        <v>3014</v>
      </c>
      <c r="G1035" t="s">
        <v>59</v>
      </c>
      <c r="H1035" t="s">
        <v>27</v>
      </c>
      <c r="I1035" t="s">
        <v>3015</v>
      </c>
      <c r="J1035" t="s">
        <v>185</v>
      </c>
      <c r="K1035" t="s">
        <v>62</v>
      </c>
      <c r="L1035" t="s">
        <v>365</v>
      </c>
      <c r="M1035" t="s">
        <v>32</v>
      </c>
      <c r="N1035" t="s">
        <v>51</v>
      </c>
      <c r="O1035" t="s">
        <v>366</v>
      </c>
      <c r="P1035">
        <v>499.95</v>
      </c>
      <c r="Q1035">
        <v>5</v>
      </c>
      <c r="R1035">
        <v>174.98249999999999</v>
      </c>
      <c r="S1035" s="3" t="s">
        <v>35</v>
      </c>
      <c r="T1035">
        <v>2016</v>
      </c>
      <c r="U1035" t="s">
        <v>81</v>
      </c>
      <c r="V1035" s="2">
        <v>0.35</v>
      </c>
    </row>
    <row r="1036" spans="1:22" x14ac:dyDescent="0.25">
      <c r="A1036" t="s">
        <v>3016</v>
      </c>
      <c r="B1036" s="1">
        <v>42667</v>
      </c>
      <c r="C1036" s="1">
        <v>42671</v>
      </c>
      <c r="D1036" t="s">
        <v>40</v>
      </c>
      <c r="E1036" t="s">
        <v>266</v>
      </c>
      <c r="F1036" t="s">
        <v>267</v>
      </c>
      <c r="G1036" t="s">
        <v>59</v>
      </c>
      <c r="H1036" t="s">
        <v>27</v>
      </c>
      <c r="I1036" t="s">
        <v>28</v>
      </c>
      <c r="J1036" t="s">
        <v>29</v>
      </c>
      <c r="K1036" t="s">
        <v>30</v>
      </c>
      <c r="L1036" t="s">
        <v>1301</v>
      </c>
      <c r="M1036" t="s">
        <v>32</v>
      </c>
      <c r="N1036" t="s">
        <v>51</v>
      </c>
      <c r="O1036" t="s">
        <v>1302</v>
      </c>
      <c r="P1036">
        <v>100</v>
      </c>
      <c r="Q1036">
        <v>4</v>
      </c>
      <c r="R1036">
        <v>21</v>
      </c>
      <c r="S1036" s="3" t="s">
        <v>53</v>
      </c>
      <c r="T1036">
        <v>2016</v>
      </c>
      <c r="U1036" t="s">
        <v>133</v>
      </c>
      <c r="V1036" s="2">
        <v>0.21</v>
      </c>
    </row>
    <row r="1037" spans="1:22" x14ac:dyDescent="0.25">
      <c r="A1037" t="s">
        <v>3016</v>
      </c>
      <c r="B1037" s="1">
        <v>42667</v>
      </c>
      <c r="C1037" s="1">
        <v>42671</v>
      </c>
      <c r="D1037" t="s">
        <v>40</v>
      </c>
      <c r="E1037" t="s">
        <v>266</v>
      </c>
      <c r="F1037" t="s">
        <v>267</v>
      </c>
      <c r="G1037" t="s">
        <v>59</v>
      </c>
      <c r="H1037" t="s">
        <v>27</v>
      </c>
      <c r="I1037" t="s">
        <v>28</v>
      </c>
      <c r="J1037" t="s">
        <v>29</v>
      </c>
      <c r="K1037" t="s">
        <v>30</v>
      </c>
      <c r="L1037" t="s">
        <v>1733</v>
      </c>
      <c r="M1037" t="s">
        <v>32</v>
      </c>
      <c r="N1037" t="s">
        <v>51</v>
      </c>
      <c r="O1037" t="s">
        <v>1734</v>
      </c>
      <c r="P1037">
        <v>359.98</v>
      </c>
      <c r="Q1037">
        <v>2</v>
      </c>
      <c r="R1037">
        <v>21.598800000000001</v>
      </c>
      <c r="S1037" s="3" t="s">
        <v>53</v>
      </c>
      <c r="T1037">
        <v>2016</v>
      </c>
      <c r="U1037" t="s">
        <v>133</v>
      </c>
      <c r="V1037" s="2">
        <v>0.06</v>
      </c>
    </row>
    <row r="1038" spans="1:22" x14ac:dyDescent="0.25">
      <c r="A1038" t="s">
        <v>3017</v>
      </c>
      <c r="B1038" s="1">
        <v>41681</v>
      </c>
      <c r="C1038" s="1">
        <v>41685</v>
      </c>
      <c r="D1038" t="s">
        <v>23</v>
      </c>
      <c r="E1038" t="s">
        <v>2104</v>
      </c>
      <c r="F1038" t="s">
        <v>2105</v>
      </c>
      <c r="G1038" t="s">
        <v>26</v>
      </c>
      <c r="H1038" t="s">
        <v>27</v>
      </c>
      <c r="I1038" t="s">
        <v>1550</v>
      </c>
      <c r="J1038" t="s">
        <v>693</v>
      </c>
      <c r="K1038" t="s">
        <v>155</v>
      </c>
      <c r="L1038" t="s">
        <v>562</v>
      </c>
      <c r="M1038" t="s">
        <v>32</v>
      </c>
      <c r="N1038" t="s">
        <v>51</v>
      </c>
      <c r="O1038" t="s">
        <v>563</v>
      </c>
      <c r="P1038">
        <v>234.45</v>
      </c>
      <c r="Q1038">
        <v>3</v>
      </c>
      <c r="R1038">
        <v>103.158</v>
      </c>
      <c r="S1038" s="3" t="s">
        <v>53</v>
      </c>
      <c r="T1038">
        <v>2014</v>
      </c>
      <c r="U1038" t="s">
        <v>180</v>
      </c>
      <c r="V1038" s="2">
        <v>0.44</v>
      </c>
    </row>
    <row r="1039" spans="1:22" x14ac:dyDescent="0.25">
      <c r="A1039" t="s">
        <v>3018</v>
      </c>
      <c r="B1039" s="1">
        <v>42981</v>
      </c>
      <c r="C1039" s="1">
        <v>42986</v>
      </c>
      <c r="D1039" t="s">
        <v>23</v>
      </c>
      <c r="E1039" t="s">
        <v>2336</v>
      </c>
      <c r="F1039" t="s">
        <v>2337</v>
      </c>
      <c r="G1039" t="s">
        <v>70</v>
      </c>
      <c r="H1039" t="s">
        <v>27</v>
      </c>
      <c r="I1039" t="s">
        <v>3019</v>
      </c>
      <c r="J1039" t="s">
        <v>29</v>
      </c>
      <c r="K1039" t="s">
        <v>30</v>
      </c>
      <c r="L1039" t="s">
        <v>2199</v>
      </c>
      <c r="M1039" t="s">
        <v>32</v>
      </c>
      <c r="N1039" t="s">
        <v>51</v>
      </c>
      <c r="O1039" t="s">
        <v>2200</v>
      </c>
      <c r="P1039">
        <v>284.97000000000003</v>
      </c>
      <c r="Q1039">
        <v>3</v>
      </c>
      <c r="R1039">
        <v>85.491</v>
      </c>
      <c r="S1039" s="3" t="s">
        <v>35</v>
      </c>
      <c r="T1039">
        <v>2017</v>
      </c>
      <c r="U1039" t="s">
        <v>81</v>
      </c>
      <c r="V1039" s="2">
        <v>0.3</v>
      </c>
    </row>
    <row r="1040" spans="1:22" x14ac:dyDescent="0.25">
      <c r="A1040" t="s">
        <v>3020</v>
      </c>
      <c r="B1040" s="1">
        <v>42722</v>
      </c>
      <c r="C1040" s="1">
        <v>42725</v>
      </c>
      <c r="D1040" t="s">
        <v>56</v>
      </c>
      <c r="E1040" t="s">
        <v>3021</v>
      </c>
      <c r="F1040" t="s">
        <v>3022</v>
      </c>
      <c r="G1040" t="s">
        <v>70</v>
      </c>
      <c r="H1040" t="s">
        <v>27</v>
      </c>
      <c r="I1040" t="s">
        <v>594</v>
      </c>
      <c r="J1040" t="s">
        <v>340</v>
      </c>
      <c r="K1040" t="s">
        <v>30</v>
      </c>
      <c r="L1040" t="s">
        <v>525</v>
      </c>
      <c r="M1040" t="s">
        <v>32</v>
      </c>
      <c r="N1040" t="s">
        <v>51</v>
      </c>
      <c r="O1040" t="s">
        <v>526</v>
      </c>
      <c r="P1040">
        <v>112.776</v>
      </c>
      <c r="Q1040">
        <v>3</v>
      </c>
      <c r="R1040">
        <v>-8.4581999999999997</v>
      </c>
      <c r="S1040" s="3" t="s">
        <v>172</v>
      </c>
      <c r="T1040">
        <v>2016</v>
      </c>
      <c r="U1040" t="s">
        <v>66</v>
      </c>
      <c r="V1040" s="2">
        <v>-7.4999999999999997E-2</v>
      </c>
    </row>
    <row r="1041" spans="1:22" x14ac:dyDescent="0.25">
      <c r="A1041" t="s">
        <v>3020</v>
      </c>
      <c r="B1041" s="1">
        <v>42722</v>
      </c>
      <c r="C1041" s="1">
        <v>42725</v>
      </c>
      <c r="D1041" t="s">
        <v>56</v>
      </c>
      <c r="E1041" t="s">
        <v>3021</v>
      </c>
      <c r="F1041" t="s">
        <v>3022</v>
      </c>
      <c r="G1041" t="s">
        <v>70</v>
      </c>
      <c r="H1041" t="s">
        <v>27</v>
      </c>
      <c r="I1041" t="s">
        <v>594</v>
      </c>
      <c r="J1041" t="s">
        <v>340</v>
      </c>
      <c r="K1041" t="s">
        <v>30</v>
      </c>
      <c r="L1041" t="s">
        <v>1846</v>
      </c>
      <c r="M1041" t="s">
        <v>32</v>
      </c>
      <c r="N1041" t="s">
        <v>33</v>
      </c>
      <c r="O1041" t="s">
        <v>1847</v>
      </c>
      <c r="P1041">
        <v>28.68</v>
      </c>
      <c r="Q1041">
        <v>3</v>
      </c>
      <c r="R1041">
        <v>-7.17</v>
      </c>
      <c r="S1041" s="3" t="s">
        <v>172</v>
      </c>
      <c r="T1041">
        <v>2016</v>
      </c>
      <c r="U1041" t="s">
        <v>66</v>
      </c>
      <c r="V1041" s="2">
        <v>-0.25</v>
      </c>
    </row>
    <row r="1042" spans="1:22" x14ac:dyDescent="0.25">
      <c r="A1042" t="s">
        <v>3023</v>
      </c>
      <c r="B1042" s="1">
        <v>42532</v>
      </c>
      <c r="C1042" s="1">
        <v>42536</v>
      </c>
      <c r="D1042" t="s">
        <v>23</v>
      </c>
      <c r="E1042" t="s">
        <v>874</v>
      </c>
      <c r="F1042" t="s">
        <v>875</v>
      </c>
      <c r="G1042" t="s">
        <v>26</v>
      </c>
      <c r="H1042" t="s">
        <v>27</v>
      </c>
      <c r="I1042" t="s">
        <v>481</v>
      </c>
      <c r="J1042" t="s">
        <v>426</v>
      </c>
      <c r="K1042" t="s">
        <v>30</v>
      </c>
      <c r="L1042" t="s">
        <v>1702</v>
      </c>
      <c r="M1042" t="s">
        <v>32</v>
      </c>
      <c r="N1042" t="s">
        <v>51</v>
      </c>
      <c r="O1042" t="s">
        <v>1703</v>
      </c>
      <c r="P1042">
        <v>389.97</v>
      </c>
      <c r="Q1042">
        <v>3</v>
      </c>
      <c r="R1042">
        <v>132.5898</v>
      </c>
      <c r="S1042" s="3" t="s">
        <v>53</v>
      </c>
      <c r="T1042">
        <v>2016</v>
      </c>
      <c r="U1042" t="s">
        <v>36</v>
      </c>
      <c r="V1042" s="2">
        <v>0.34</v>
      </c>
    </row>
    <row r="1043" spans="1:22" x14ac:dyDescent="0.25">
      <c r="A1043" t="s">
        <v>3024</v>
      </c>
      <c r="B1043" s="1">
        <v>42164</v>
      </c>
      <c r="C1043" s="1">
        <v>42166</v>
      </c>
      <c r="D1043" t="s">
        <v>40</v>
      </c>
      <c r="E1043" t="s">
        <v>3025</v>
      </c>
      <c r="F1043" t="s">
        <v>3026</v>
      </c>
      <c r="G1043" t="s">
        <v>26</v>
      </c>
      <c r="H1043" t="s">
        <v>27</v>
      </c>
      <c r="I1043" t="s">
        <v>3027</v>
      </c>
      <c r="J1043" t="s">
        <v>2574</v>
      </c>
      <c r="K1043" t="s">
        <v>30</v>
      </c>
      <c r="L1043" t="s">
        <v>2819</v>
      </c>
      <c r="M1043" t="s">
        <v>32</v>
      </c>
      <c r="N1043" t="s">
        <v>33</v>
      </c>
      <c r="O1043" t="s">
        <v>2820</v>
      </c>
      <c r="P1043">
        <v>140.376</v>
      </c>
      <c r="Q1043">
        <v>3</v>
      </c>
      <c r="R1043">
        <v>8.7735000000000003</v>
      </c>
      <c r="S1043" s="3" t="s">
        <v>65</v>
      </c>
      <c r="T1043">
        <v>2015</v>
      </c>
      <c r="U1043" t="s">
        <v>36</v>
      </c>
      <c r="V1043" s="2">
        <v>6.25E-2</v>
      </c>
    </row>
    <row r="1044" spans="1:22" x14ac:dyDescent="0.25">
      <c r="A1044" t="s">
        <v>3028</v>
      </c>
      <c r="B1044" s="1">
        <v>41787</v>
      </c>
      <c r="C1044" s="1">
        <v>41792</v>
      </c>
      <c r="D1044" t="s">
        <v>23</v>
      </c>
      <c r="E1044" t="s">
        <v>1736</v>
      </c>
      <c r="F1044" t="s">
        <v>1737</v>
      </c>
      <c r="G1044" t="s">
        <v>59</v>
      </c>
      <c r="H1044" t="s">
        <v>27</v>
      </c>
      <c r="I1044" t="s">
        <v>481</v>
      </c>
      <c r="J1044" t="s">
        <v>426</v>
      </c>
      <c r="K1044" t="s">
        <v>30</v>
      </c>
      <c r="L1044" t="s">
        <v>244</v>
      </c>
      <c r="M1044" t="s">
        <v>32</v>
      </c>
      <c r="N1044" t="s">
        <v>33</v>
      </c>
      <c r="O1044" t="s">
        <v>245</v>
      </c>
      <c r="P1044">
        <v>57.408000000000001</v>
      </c>
      <c r="Q1044">
        <v>6</v>
      </c>
      <c r="R1044">
        <v>5.7408000000000001</v>
      </c>
      <c r="S1044" s="3" t="s">
        <v>35</v>
      </c>
      <c r="T1044">
        <v>2014</v>
      </c>
      <c r="U1044" t="s">
        <v>527</v>
      </c>
      <c r="V1044" s="2">
        <v>0.1</v>
      </c>
    </row>
    <row r="1045" spans="1:22" x14ac:dyDescent="0.25">
      <c r="A1045" t="s">
        <v>3028</v>
      </c>
      <c r="B1045" s="1">
        <v>41787</v>
      </c>
      <c r="C1045" s="1">
        <v>41792</v>
      </c>
      <c r="D1045" t="s">
        <v>23</v>
      </c>
      <c r="E1045" t="s">
        <v>1736</v>
      </c>
      <c r="F1045" t="s">
        <v>1737</v>
      </c>
      <c r="G1045" t="s">
        <v>59</v>
      </c>
      <c r="H1045" t="s">
        <v>27</v>
      </c>
      <c r="I1045" t="s">
        <v>481</v>
      </c>
      <c r="J1045" t="s">
        <v>426</v>
      </c>
      <c r="K1045" t="s">
        <v>30</v>
      </c>
      <c r="L1045" t="s">
        <v>2705</v>
      </c>
      <c r="M1045" t="s">
        <v>32</v>
      </c>
      <c r="N1045" t="s">
        <v>51</v>
      </c>
      <c r="O1045" t="s">
        <v>2706</v>
      </c>
      <c r="P1045">
        <v>27.6</v>
      </c>
      <c r="Q1045">
        <v>4</v>
      </c>
      <c r="R1045">
        <v>2.2080000000000002</v>
      </c>
      <c r="S1045" s="3" t="s">
        <v>35</v>
      </c>
      <c r="T1045">
        <v>2014</v>
      </c>
      <c r="U1045" t="s">
        <v>527</v>
      </c>
      <c r="V1045" s="2">
        <v>0.08</v>
      </c>
    </row>
    <row r="1046" spans="1:22" x14ac:dyDescent="0.25">
      <c r="A1046" t="s">
        <v>3029</v>
      </c>
      <c r="B1046" s="1">
        <v>41731</v>
      </c>
      <c r="C1046" s="1">
        <v>41737</v>
      </c>
      <c r="D1046" t="s">
        <v>23</v>
      </c>
      <c r="E1046" t="s">
        <v>1353</v>
      </c>
      <c r="F1046" t="s">
        <v>1354</v>
      </c>
      <c r="G1046" t="s">
        <v>26</v>
      </c>
      <c r="H1046" t="s">
        <v>27</v>
      </c>
      <c r="I1046" t="s">
        <v>3030</v>
      </c>
      <c r="J1046" t="s">
        <v>1006</v>
      </c>
      <c r="K1046" t="s">
        <v>155</v>
      </c>
      <c r="L1046" t="s">
        <v>2194</v>
      </c>
      <c r="M1046" t="s">
        <v>32</v>
      </c>
      <c r="N1046" t="s">
        <v>33</v>
      </c>
      <c r="O1046" t="s">
        <v>2195</v>
      </c>
      <c r="P1046">
        <v>1049.93</v>
      </c>
      <c r="Q1046">
        <v>7</v>
      </c>
      <c r="R1046">
        <v>293.98039999999997</v>
      </c>
      <c r="S1046" s="3" t="s">
        <v>107</v>
      </c>
      <c r="T1046">
        <v>2014</v>
      </c>
      <c r="U1046" t="s">
        <v>291</v>
      </c>
      <c r="V1046" s="2">
        <v>0.28000000000000003</v>
      </c>
    </row>
    <row r="1047" spans="1:22" x14ac:dyDescent="0.25">
      <c r="A1047" t="s">
        <v>3031</v>
      </c>
      <c r="B1047" s="1">
        <v>42348</v>
      </c>
      <c r="C1047" s="1">
        <v>42354</v>
      </c>
      <c r="D1047" t="s">
        <v>23</v>
      </c>
      <c r="E1047" t="s">
        <v>933</v>
      </c>
      <c r="F1047" t="s">
        <v>934</v>
      </c>
      <c r="G1047" t="s">
        <v>59</v>
      </c>
      <c r="H1047" t="s">
        <v>27</v>
      </c>
      <c r="I1047" t="s">
        <v>2568</v>
      </c>
      <c r="J1047" t="s">
        <v>1035</v>
      </c>
      <c r="K1047" t="s">
        <v>95</v>
      </c>
      <c r="L1047" t="s">
        <v>622</v>
      </c>
      <c r="M1047" t="s">
        <v>32</v>
      </c>
      <c r="N1047" t="s">
        <v>33</v>
      </c>
      <c r="O1047" t="s">
        <v>623</v>
      </c>
      <c r="P1047">
        <v>134.99</v>
      </c>
      <c r="Q1047">
        <v>1</v>
      </c>
      <c r="R1047">
        <v>36.447299999999998</v>
      </c>
      <c r="S1047" s="3" t="s">
        <v>107</v>
      </c>
      <c r="T1047">
        <v>2015</v>
      </c>
      <c r="U1047" t="s">
        <v>66</v>
      </c>
      <c r="V1047" s="2">
        <v>0.27</v>
      </c>
    </row>
    <row r="1048" spans="1:22" x14ac:dyDescent="0.25">
      <c r="A1048" t="s">
        <v>3032</v>
      </c>
      <c r="B1048" s="1">
        <v>42698</v>
      </c>
      <c r="C1048" s="1">
        <v>42700</v>
      </c>
      <c r="D1048" t="s">
        <v>56</v>
      </c>
      <c r="E1048" t="s">
        <v>1037</v>
      </c>
      <c r="F1048" t="s">
        <v>1038</v>
      </c>
      <c r="G1048" t="s">
        <v>70</v>
      </c>
      <c r="H1048" t="s">
        <v>27</v>
      </c>
      <c r="I1048" t="s">
        <v>1310</v>
      </c>
      <c r="J1048" t="s">
        <v>177</v>
      </c>
      <c r="K1048" t="s">
        <v>95</v>
      </c>
      <c r="L1048" t="s">
        <v>1295</v>
      </c>
      <c r="M1048" t="s">
        <v>32</v>
      </c>
      <c r="N1048" t="s">
        <v>51</v>
      </c>
      <c r="O1048" t="s">
        <v>1296</v>
      </c>
      <c r="P1048">
        <v>139.96</v>
      </c>
      <c r="Q1048">
        <v>5</v>
      </c>
      <c r="R1048">
        <v>-22.743500000000001</v>
      </c>
      <c r="S1048" s="3" t="s">
        <v>65</v>
      </c>
      <c r="T1048">
        <v>2016</v>
      </c>
      <c r="U1048" t="s">
        <v>118</v>
      </c>
      <c r="V1048" s="2">
        <v>-0.16250000000000001</v>
      </c>
    </row>
    <row r="1049" spans="1:22" x14ac:dyDescent="0.25">
      <c r="A1049" t="s">
        <v>3033</v>
      </c>
      <c r="B1049" s="1">
        <v>41987</v>
      </c>
      <c r="C1049" s="1">
        <v>41994</v>
      </c>
      <c r="D1049" t="s">
        <v>23</v>
      </c>
      <c r="E1049" t="s">
        <v>2617</v>
      </c>
      <c r="F1049" t="s">
        <v>2618</v>
      </c>
      <c r="G1049" t="s">
        <v>26</v>
      </c>
      <c r="H1049" t="s">
        <v>27</v>
      </c>
      <c r="I1049" t="s">
        <v>1647</v>
      </c>
      <c r="J1049" t="s">
        <v>177</v>
      </c>
      <c r="K1049" t="s">
        <v>95</v>
      </c>
      <c r="L1049" t="s">
        <v>922</v>
      </c>
      <c r="M1049" t="s">
        <v>32</v>
      </c>
      <c r="N1049" t="s">
        <v>51</v>
      </c>
      <c r="O1049" t="s">
        <v>923</v>
      </c>
      <c r="P1049">
        <v>263.95999999999998</v>
      </c>
      <c r="Q1049">
        <v>1</v>
      </c>
      <c r="R1049">
        <v>42.893500000000003</v>
      </c>
      <c r="S1049" s="3" t="s">
        <v>132</v>
      </c>
      <c r="T1049">
        <v>2014</v>
      </c>
      <c r="U1049" t="s">
        <v>66</v>
      </c>
      <c r="V1049" s="2">
        <v>0.16250000000000001</v>
      </c>
    </row>
    <row r="1050" spans="1:22" x14ac:dyDescent="0.25">
      <c r="A1050" t="s">
        <v>3034</v>
      </c>
      <c r="B1050" s="1">
        <v>42132</v>
      </c>
      <c r="C1050" s="1">
        <v>42139</v>
      </c>
      <c r="D1050" t="s">
        <v>23</v>
      </c>
      <c r="E1050" t="s">
        <v>1312</v>
      </c>
      <c r="F1050" t="s">
        <v>1313</v>
      </c>
      <c r="G1050" t="s">
        <v>26</v>
      </c>
      <c r="H1050" t="s">
        <v>27</v>
      </c>
      <c r="I1050" t="s">
        <v>103</v>
      </c>
      <c r="J1050" t="s">
        <v>104</v>
      </c>
      <c r="K1050" t="s">
        <v>95</v>
      </c>
      <c r="L1050" t="s">
        <v>439</v>
      </c>
      <c r="M1050" t="s">
        <v>32</v>
      </c>
      <c r="N1050" t="s">
        <v>381</v>
      </c>
      <c r="O1050" t="s">
        <v>440</v>
      </c>
      <c r="P1050">
        <v>2799.944</v>
      </c>
      <c r="Q1050">
        <v>7</v>
      </c>
      <c r="R1050">
        <v>1014.9797</v>
      </c>
      <c r="S1050" s="3" t="s">
        <v>132</v>
      </c>
      <c r="T1050">
        <v>2015</v>
      </c>
      <c r="U1050" t="s">
        <v>527</v>
      </c>
      <c r="V1050" s="2">
        <v>0.36249999999999999</v>
      </c>
    </row>
    <row r="1051" spans="1:22" x14ac:dyDescent="0.25">
      <c r="A1051" t="s">
        <v>3035</v>
      </c>
      <c r="B1051" s="1">
        <v>42947</v>
      </c>
      <c r="C1051" s="1">
        <v>42947</v>
      </c>
      <c r="D1051" t="s">
        <v>677</v>
      </c>
      <c r="E1051" t="s">
        <v>2531</v>
      </c>
      <c r="F1051" t="s">
        <v>2532</v>
      </c>
      <c r="G1051" t="s">
        <v>26</v>
      </c>
      <c r="H1051" t="s">
        <v>27</v>
      </c>
      <c r="I1051" t="s">
        <v>140</v>
      </c>
      <c r="J1051" t="s">
        <v>78</v>
      </c>
      <c r="K1051" t="s">
        <v>62</v>
      </c>
      <c r="L1051" t="s">
        <v>614</v>
      </c>
      <c r="M1051" t="s">
        <v>32</v>
      </c>
      <c r="N1051" t="s">
        <v>33</v>
      </c>
      <c r="O1051" t="s">
        <v>615</v>
      </c>
      <c r="P1051">
        <v>36.792000000000002</v>
      </c>
      <c r="Q1051">
        <v>1</v>
      </c>
      <c r="R1051">
        <v>4.1391</v>
      </c>
      <c r="S1051" s="3" t="s">
        <v>683</v>
      </c>
      <c r="T1051">
        <v>2017</v>
      </c>
      <c r="U1051" t="s">
        <v>332</v>
      </c>
      <c r="V1051" s="2">
        <v>0.1125</v>
      </c>
    </row>
    <row r="1052" spans="1:22" x14ac:dyDescent="0.25">
      <c r="A1052" t="s">
        <v>3036</v>
      </c>
      <c r="B1052" s="1">
        <v>41699</v>
      </c>
      <c r="C1052" s="1">
        <v>41703</v>
      </c>
      <c r="D1052" t="s">
        <v>23</v>
      </c>
      <c r="E1052" t="s">
        <v>3037</v>
      </c>
      <c r="F1052" t="s">
        <v>3038</v>
      </c>
      <c r="G1052" t="s">
        <v>70</v>
      </c>
      <c r="H1052" t="s">
        <v>27</v>
      </c>
      <c r="I1052" t="s">
        <v>103</v>
      </c>
      <c r="J1052" t="s">
        <v>104</v>
      </c>
      <c r="K1052" t="s">
        <v>95</v>
      </c>
      <c r="L1052" t="s">
        <v>1044</v>
      </c>
      <c r="M1052" t="s">
        <v>32</v>
      </c>
      <c r="N1052" t="s">
        <v>33</v>
      </c>
      <c r="O1052" t="s">
        <v>1045</v>
      </c>
      <c r="P1052">
        <v>5.94</v>
      </c>
      <c r="Q1052">
        <v>3</v>
      </c>
      <c r="R1052">
        <v>1.6037999999999999</v>
      </c>
      <c r="S1052" s="3" t="s">
        <v>53</v>
      </c>
      <c r="T1052">
        <v>2014</v>
      </c>
      <c r="U1052" t="s">
        <v>89</v>
      </c>
      <c r="V1052" s="2">
        <v>0.27</v>
      </c>
    </row>
    <row r="1053" spans="1:22" x14ac:dyDescent="0.25">
      <c r="A1053" t="s">
        <v>3039</v>
      </c>
      <c r="B1053" s="1">
        <v>42286</v>
      </c>
      <c r="C1053" s="1">
        <v>42289</v>
      </c>
      <c r="D1053" t="s">
        <v>40</v>
      </c>
      <c r="E1053" t="s">
        <v>870</v>
      </c>
      <c r="F1053" t="s">
        <v>871</v>
      </c>
      <c r="G1053" t="s">
        <v>59</v>
      </c>
      <c r="H1053" t="s">
        <v>27</v>
      </c>
      <c r="I1053" t="s">
        <v>3040</v>
      </c>
      <c r="J1053" t="s">
        <v>256</v>
      </c>
      <c r="K1053" t="s">
        <v>62</v>
      </c>
      <c r="L1053" t="s">
        <v>841</v>
      </c>
      <c r="M1053" t="s">
        <v>32</v>
      </c>
      <c r="N1053" t="s">
        <v>51</v>
      </c>
      <c r="O1053" t="s">
        <v>842</v>
      </c>
      <c r="P1053">
        <v>619.95000000000005</v>
      </c>
      <c r="Q1053">
        <v>5</v>
      </c>
      <c r="R1053">
        <v>111.59099999999999</v>
      </c>
      <c r="S1053" s="3" t="s">
        <v>172</v>
      </c>
      <c r="T1053">
        <v>2015</v>
      </c>
      <c r="U1053" t="s">
        <v>133</v>
      </c>
      <c r="V1053" s="2">
        <v>0.18</v>
      </c>
    </row>
    <row r="1054" spans="1:22" x14ac:dyDescent="0.25">
      <c r="A1054" t="s">
        <v>3039</v>
      </c>
      <c r="B1054" s="1">
        <v>42286</v>
      </c>
      <c r="C1054" s="1">
        <v>42289</v>
      </c>
      <c r="D1054" t="s">
        <v>40</v>
      </c>
      <c r="E1054" t="s">
        <v>870</v>
      </c>
      <c r="F1054" t="s">
        <v>871</v>
      </c>
      <c r="G1054" t="s">
        <v>59</v>
      </c>
      <c r="H1054" t="s">
        <v>27</v>
      </c>
      <c r="I1054" t="s">
        <v>3040</v>
      </c>
      <c r="J1054" t="s">
        <v>256</v>
      </c>
      <c r="K1054" t="s">
        <v>62</v>
      </c>
      <c r="L1054" t="s">
        <v>170</v>
      </c>
      <c r="M1054" t="s">
        <v>32</v>
      </c>
      <c r="N1054" t="s">
        <v>33</v>
      </c>
      <c r="O1054" t="s">
        <v>171</v>
      </c>
      <c r="P1054">
        <v>29.16</v>
      </c>
      <c r="Q1054">
        <v>3</v>
      </c>
      <c r="R1054">
        <v>8.4564000000000004</v>
      </c>
      <c r="S1054" s="3" t="s">
        <v>172</v>
      </c>
      <c r="T1054">
        <v>2015</v>
      </c>
      <c r="U1054" t="s">
        <v>133</v>
      </c>
      <c r="V1054" s="2">
        <v>0.28999999999999998</v>
      </c>
    </row>
    <row r="1055" spans="1:22" x14ac:dyDescent="0.25">
      <c r="A1055" t="s">
        <v>3041</v>
      </c>
      <c r="B1055" s="1">
        <v>42322</v>
      </c>
      <c r="C1055" s="1">
        <v>42325</v>
      </c>
      <c r="D1055" t="s">
        <v>56</v>
      </c>
      <c r="E1055" t="s">
        <v>2121</v>
      </c>
      <c r="F1055" t="s">
        <v>2122</v>
      </c>
      <c r="G1055" t="s">
        <v>59</v>
      </c>
      <c r="H1055" t="s">
        <v>27</v>
      </c>
      <c r="I1055" t="s">
        <v>946</v>
      </c>
      <c r="J1055" t="s">
        <v>340</v>
      </c>
      <c r="K1055" t="s">
        <v>30</v>
      </c>
      <c r="L1055" t="s">
        <v>1705</v>
      </c>
      <c r="M1055" t="s">
        <v>32</v>
      </c>
      <c r="N1055" t="s">
        <v>51</v>
      </c>
      <c r="O1055" t="s">
        <v>1706</v>
      </c>
      <c r="P1055">
        <v>91.176000000000002</v>
      </c>
      <c r="Q1055">
        <v>3</v>
      </c>
      <c r="R1055">
        <v>4.5587999999999997</v>
      </c>
      <c r="S1055" s="3" t="s">
        <v>172</v>
      </c>
      <c r="T1055">
        <v>2015</v>
      </c>
      <c r="U1055" t="s">
        <v>118</v>
      </c>
      <c r="V1055" s="2">
        <v>0.05</v>
      </c>
    </row>
    <row r="1056" spans="1:22" x14ac:dyDescent="0.25">
      <c r="A1056" t="s">
        <v>3041</v>
      </c>
      <c r="B1056" s="1">
        <v>42322</v>
      </c>
      <c r="C1056" s="1">
        <v>42325</v>
      </c>
      <c r="D1056" t="s">
        <v>56</v>
      </c>
      <c r="E1056" t="s">
        <v>2121</v>
      </c>
      <c r="F1056" t="s">
        <v>2122</v>
      </c>
      <c r="G1056" t="s">
        <v>59</v>
      </c>
      <c r="H1056" t="s">
        <v>27</v>
      </c>
      <c r="I1056" t="s">
        <v>946</v>
      </c>
      <c r="J1056" t="s">
        <v>340</v>
      </c>
      <c r="K1056" t="s">
        <v>30</v>
      </c>
      <c r="L1056" t="s">
        <v>1573</v>
      </c>
      <c r="M1056" t="s">
        <v>32</v>
      </c>
      <c r="N1056" t="s">
        <v>51</v>
      </c>
      <c r="O1056" t="s">
        <v>1574</v>
      </c>
      <c r="P1056">
        <v>159.96799999999999</v>
      </c>
      <c r="Q1056">
        <v>4</v>
      </c>
      <c r="R1056">
        <v>29.994</v>
      </c>
      <c r="S1056" s="3" t="s">
        <v>172</v>
      </c>
      <c r="T1056">
        <v>2015</v>
      </c>
      <c r="U1056" t="s">
        <v>118</v>
      </c>
      <c r="V1056" s="2">
        <v>0.1875</v>
      </c>
    </row>
    <row r="1057" spans="1:22" x14ac:dyDescent="0.25">
      <c r="A1057" t="s">
        <v>3042</v>
      </c>
      <c r="B1057" s="1">
        <v>42272</v>
      </c>
      <c r="C1057" s="1">
        <v>42274</v>
      </c>
      <c r="D1057" t="s">
        <v>56</v>
      </c>
      <c r="E1057" t="s">
        <v>302</v>
      </c>
      <c r="F1057" t="s">
        <v>303</v>
      </c>
      <c r="G1057" t="s">
        <v>59</v>
      </c>
      <c r="H1057" t="s">
        <v>27</v>
      </c>
      <c r="I1057" t="s">
        <v>103</v>
      </c>
      <c r="J1057" t="s">
        <v>104</v>
      </c>
      <c r="K1057" t="s">
        <v>95</v>
      </c>
      <c r="L1057" t="s">
        <v>1756</v>
      </c>
      <c r="M1057" t="s">
        <v>32</v>
      </c>
      <c r="N1057" t="s">
        <v>51</v>
      </c>
      <c r="O1057" t="s">
        <v>1757</v>
      </c>
      <c r="P1057">
        <v>899.91</v>
      </c>
      <c r="Q1057">
        <v>9</v>
      </c>
      <c r="R1057">
        <v>395.96039999999999</v>
      </c>
      <c r="S1057" s="3" t="s">
        <v>65</v>
      </c>
      <c r="T1057">
        <v>2015</v>
      </c>
      <c r="U1057" t="s">
        <v>81</v>
      </c>
      <c r="V1057" s="2">
        <v>0.44</v>
      </c>
    </row>
    <row r="1058" spans="1:22" x14ac:dyDescent="0.25">
      <c r="A1058" t="s">
        <v>3043</v>
      </c>
      <c r="B1058" s="1">
        <v>42128</v>
      </c>
      <c r="C1058" s="1">
        <v>42132</v>
      </c>
      <c r="D1058" t="s">
        <v>23</v>
      </c>
      <c r="E1058" t="s">
        <v>2400</v>
      </c>
      <c r="F1058" t="s">
        <v>2401</v>
      </c>
      <c r="G1058" t="s">
        <v>59</v>
      </c>
      <c r="H1058" t="s">
        <v>27</v>
      </c>
      <c r="I1058" t="s">
        <v>71</v>
      </c>
      <c r="J1058" t="s">
        <v>61</v>
      </c>
      <c r="K1058" t="s">
        <v>62</v>
      </c>
      <c r="L1058" t="s">
        <v>1186</v>
      </c>
      <c r="M1058" t="s">
        <v>32</v>
      </c>
      <c r="N1058" t="s">
        <v>33</v>
      </c>
      <c r="O1058" t="s">
        <v>1187</v>
      </c>
      <c r="P1058">
        <v>946.34400000000005</v>
      </c>
      <c r="Q1058">
        <v>7</v>
      </c>
      <c r="R1058">
        <v>118.29300000000001</v>
      </c>
      <c r="S1058" s="3" t="s">
        <v>53</v>
      </c>
      <c r="T1058">
        <v>2015</v>
      </c>
      <c r="U1058" t="s">
        <v>527</v>
      </c>
      <c r="V1058" s="2">
        <v>0.125</v>
      </c>
    </row>
    <row r="1059" spans="1:22" x14ac:dyDescent="0.25">
      <c r="A1059" t="s">
        <v>3044</v>
      </c>
      <c r="B1059" s="1">
        <v>43077</v>
      </c>
      <c r="C1059" s="1">
        <v>43082</v>
      </c>
      <c r="D1059" t="s">
        <v>23</v>
      </c>
      <c r="E1059" t="s">
        <v>485</v>
      </c>
      <c r="F1059" t="s">
        <v>486</v>
      </c>
      <c r="G1059" t="s">
        <v>26</v>
      </c>
      <c r="H1059" t="s">
        <v>27</v>
      </c>
      <c r="I1059" t="s">
        <v>3045</v>
      </c>
      <c r="J1059" t="s">
        <v>185</v>
      </c>
      <c r="K1059" t="s">
        <v>62</v>
      </c>
      <c r="L1059" t="s">
        <v>1342</v>
      </c>
      <c r="M1059" t="s">
        <v>32</v>
      </c>
      <c r="N1059" t="s">
        <v>51</v>
      </c>
      <c r="O1059" t="s">
        <v>1343</v>
      </c>
      <c r="P1059">
        <v>178.11</v>
      </c>
      <c r="Q1059">
        <v>3</v>
      </c>
      <c r="R1059">
        <v>32.059800000000003</v>
      </c>
      <c r="S1059" s="3" t="s">
        <v>35</v>
      </c>
      <c r="T1059">
        <v>2017</v>
      </c>
      <c r="U1059" t="s">
        <v>66</v>
      </c>
      <c r="V1059" s="2">
        <v>0.18</v>
      </c>
    </row>
    <row r="1060" spans="1:22" x14ac:dyDescent="0.25">
      <c r="A1060" t="s">
        <v>3046</v>
      </c>
      <c r="B1060" s="1">
        <v>42822</v>
      </c>
      <c r="C1060" s="1">
        <v>42825</v>
      </c>
      <c r="D1060" t="s">
        <v>56</v>
      </c>
      <c r="E1060" t="s">
        <v>2223</v>
      </c>
      <c r="F1060" t="s">
        <v>2224</v>
      </c>
      <c r="G1060" t="s">
        <v>59</v>
      </c>
      <c r="H1060" t="s">
        <v>27</v>
      </c>
      <c r="I1060" t="s">
        <v>1638</v>
      </c>
      <c r="J1060" t="s">
        <v>29</v>
      </c>
      <c r="K1060" t="s">
        <v>30</v>
      </c>
      <c r="L1060" t="s">
        <v>1357</v>
      </c>
      <c r="M1060" t="s">
        <v>32</v>
      </c>
      <c r="N1060" t="s">
        <v>215</v>
      </c>
      <c r="O1060" t="s">
        <v>1358</v>
      </c>
      <c r="P1060">
        <v>532.72</v>
      </c>
      <c r="Q1060">
        <v>2</v>
      </c>
      <c r="R1060">
        <v>53.271999999999998</v>
      </c>
      <c r="S1060" s="3" t="s">
        <v>172</v>
      </c>
      <c r="T1060">
        <v>2017</v>
      </c>
      <c r="U1060" t="s">
        <v>89</v>
      </c>
      <c r="V1060" s="2">
        <v>0.1</v>
      </c>
    </row>
    <row r="1061" spans="1:22" x14ac:dyDescent="0.25">
      <c r="A1061" t="s">
        <v>3047</v>
      </c>
      <c r="B1061" s="1">
        <v>42712</v>
      </c>
      <c r="C1061" s="1">
        <v>42716</v>
      </c>
      <c r="D1061" t="s">
        <v>23</v>
      </c>
      <c r="E1061" t="s">
        <v>91</v>
      </c>
      <c r="F1061" t="s">
        <v>92</v>
      </c>
      <c r="G1061" t="s">
        <v>26</v>
      </c>
      <c r="H1061" t="s">
        <v>27</v>
      </c>
      <c r="I1061" t="s">
        <v>3048</v>
      </c>
      <c r="J1061" t="s">
        <v>154</v>
      </c>
      <c r="K1061" t="s">
        <v>155</v>
      </c>
      <c r="L1061" t="s">
        <v>578</v>
      </c>
      <c r="M1061" t="s">
        <v>32</v>
      </c>
      <c r="N1061" t="s">
        <v>33</v>
      </c>
      <c r="O1061" t="s">
        <v>579</v>
      </c>
      <c r="P1061">
        <v>249.584</v>
      </c>
      <c r="Q1061">
        <v>2</v>
      </c>
      <c r="R1061">
        <v>31.198</v>
      </c>
      <c r="S1061" s="3" t="s">
        <v>53</v>
      </c>
      <c r="T1061">
        <v>2016</v>
      </c>
      <c r="U1061" t="s">
        <v>66</v>
      </c>
      <c r="V1061" s="2">
        <v>0.125</v>
      </c>
    </row>
    <row r="1062" spans="1:22" x14ac:dyDescent="0.25">
      <c r="A1062" t="s">
        <v>3047</v>
      </c>
      <c r="B1062" s="1">
        <v>42712</v>
      </c>
      <c r="C1062" s="1">
        <v>42716</v>
      </c>
      <c r="D1062" t="s">
        <v>23</v>
      </c>
      <c r="E1062" t="s">
        <v>91</v>
      </c>
      <c r="F1062" t="s">
        <v>92</v>
      </c>
      <c r="G1062" t="s">
        <v>26</v>
      </c>
      <c r="H1062" t="s">
        <v>27</v>
      </c>
      <c r="I1062" t="s">
        <v>3048</v>
      </c>
      <c r="J1062" t="s">
        <v>154</v>
      </c>
      <c r="K1062" t="s">
        <v>155</v>
      </c>
      <c r="L1062" t="s">
        <v>876</v>
      </c>
      <c r="M1062" t="s">
        <v>32</v>
      </c>
      <c r="N1062" t="s">
        <v>51</v>
      </c>
      <c r="O1062" t="s">
        <v>877</v>
      </c>
      <c r="P1062">
        <v>68.111999999999995</v>
      </c>
      <c r="Q1062">
        <v>3</v>
      </c>
      <c r="R1062">
        <v>17.8794</v>
      </c>
      <c r="S1062" s="3" t="s">
        <v>53</v>
      </c>
      <c r="T1062">
        <v>2016</v>
      </c>
      <c r="U1062" t="s">
        <v>66</v>
      </c>
      <c r="V1062" s="2">
        <v>0.26250000000000001</v>
      </c>
    </row>
    <row r="1063" spans="1:22" x14ac:dyDescent="0.25">
      <c r="A1063" t="s">
        <v>3047</v>
      </c>
      <c r="B1063" s="1">
        <v>42712</v>
      </c>
      <c r="C1063" s="1">
        <v>42716</v>
      </c>
      <c r="D1063" t="s">
        <v>23</v>
      </c>
      <c r="E1063" t="s">
        <v>91</v>
      </c>
      <c r="F1063" t="s">
        <v>92</v>
      </c>
      <c r="G1063" t="s">
        <v>26</v>
      </c>
      <c r="H1063" t="s">
        <v>27</v>
      </c>
      <c r="I1063" t="s">
        <v>3048</v>
      </c>
      <c r="J1063" t="s">
        <v>154</v>
      </c>
      <c r="K1063" t="s">
        <v>155</v>
      </c>
      <c r="L1063" t="s">
        <v>2705</v>
      </c>
      <c r="M1063" t="s">
        <v>32</v>
      </c>
      <c r="N1063" t="s">
        <v>51</v>
      </c>
      <c r="O1063" t="s">
        <v>2706</v>
      </c>
      <c r="P1063">
        <v>16.559999999999999</v>
      </c>
      <c r="Q1063">
        <v>3</v>
      </c>
      <c r="R1063">
        <v>-2.484</v>
      </c>
      <c r="S1063" s="3" t="s">
        <v>53</v>
      </c>
      <c r="T1063">
        <v>2016</v>
      </c>
      <c r="U1063" t="s">
        <v>66</v>
      </c>
      <c r="V1063" s="2">
        <v>-0.15</v>
      </c>
    </row>
    <row r="1064" spans="1:22" x14ac:dyDescent="0.25">
      <c r="A1064" t="s">
        <v>3049</v>
      </c>
      <c r="B1064" s="1">
        <v>43057</v>
      </c>
      <c r="C1064" s="1">
        <v>43061</v>
      </c>
      <c r="D1064" t="s">
        <v>23</v>
      </c>
      <c r="E1064" t="s">
        <v>3050</v>
      </c>
      <c r="F1064" t="s">
        <v>3051</v>
      </c>
      <c r="G1064" t="s">
        <v>26</v>
      </c>
      <c r="H1064" t="s">
        <v>27</v>
      </c>
      <c r="I1064" t="s">
        <v>1256</v>
      </c>
      <c r="J1064" t="s">
        <v>104</v>
      </c>
      <c r="K1064" t="s">
        <v>95</v>
      </c>
      <c r="L1064" t="s">
        <v>1598</v>
      </c>
      <c r="M1064" t="s">
        <v>32</v>
      </c>
      <c r="N1064" t="s">
        <v>33</v>
      </c>
      <c r="O1064" t="s">
        <v>1599</v>
      </c>
      <c r="P1064">
        <v>74.95</v>
      </c>
      <c r="Q1064">
        <v>5</v>
      </c>
      <c r="R1064">
        <v>36.725499999999997</v>
      </c>
      <c r="S1064" s="3" t="s">
        <v>53</v>
      </c>
      <c r="T1064">
        <v>2017</v>
      </c>
      <c r="U1064" t="s">
        <v>118</v>
      </c>
      <c r="V1064" s="2">
        <v>0.49</v>
      </c>
    </row>
    <row r="1065" spans="1:22" x14ac:dyDescent="0.25">
      <c r="A1065" t="s">
        <v>3052</v>
      </c>
      <c r="B1065" s="1">
        <v>41926</v>
      </c>
      <c r="C1065" s="1">
        <v>41930</v>
      </c>
      <c r="D1065" t="s">
        <v>23</v>
      </c>
      <c r="E1065" t="s">
        <v>1886</v>
      </c>
      <c r="F1065" t="s">
        <v>1887</v>
      </c>
      <c r="G1065" t="s">
        <v>26</v>
      </c>
      <c r="H1065" t="s">
        <v>27</v>
      </c>
      <c r="I1065" t="s">
        <v>570</v>
      </c>
      <c r="J1065" t="s">
        <v>61</v>
      </c>
      <c r="K1065" t="s">
        <v>62</v>
      </c>
      <c r="L1065" t="s">
        <v>737</v>
      </c>
      <c r="M1065" t="s">
        <v>32</v>
      </c>
      <c r="N1065" t="s">
        <v>381</v>
      </c>
      <c r="O1065" t="s">
        <v>738</v>
      </c>
      <c r="P1065">
        <v>1999.96</v>
      </c>
      <c r="Q1065">
        <v>5</v>
      </c>
      <c r="R1065">
        <v>624.98749999999995</v>
      </c>
      <c r="S1065" s="3" t="s">
        <v>53</v>
      </c>
      <c r="T1065">
        <v>2014</v>
      </c>
      <c r="U1065" t="s">
        <v>133</v>
      </c>
      <c r="V1065" s="2">
        <v>0.3125</v>
      </c>
    </row>
    <row r="1066" spans="1:22" x14ac:dyDescent="0.25">
      <c r="A1066" t="s">
        <v>3053</v>
      </c>
      <c r="B1066" s="1">
        <v>42330</v>
      </c>
      <c r="C1066" s="1">
        <v>42331</v>
      </c>
      <c r="D1066" t="s">
        <v>56</v>
      </c>
      <c r="E1066" t="s">
        <v>24</v>
      </c>
      <c r="F1066" t="s">
        <v>25</v>
      </c>
      <c r="G1066" t="s">
        <v>26</v>
      </c>
      <c r="H1066" t="s">
        <v>27</v>
      </c>
      <c r="I1066" t="s">
        <v>3054</v>
      </c>
      <c r="J1066" t="s">
        <v>288</v>
      </c>
      <c r="K1066" t="s">
        <v>155</v>
      </c>
      <c r="L1066" t="s">
        <v>2929</v>
      </c>
      <c r="M1066" t="s">
        <v>32</v>
      </c>
      <c r="N1066" t="s">
        <v>215</v>
      </c>
      <c r="O1066" t="s">
        <v>2930</v>
      </c>
      <c r="P1066">
        <v>32.984999999999999</v>
      </c>
      <c r="Q1066">
        <v>3</v>
      </c>
      <c r="R1066">
        <v>-1.9791000000000001</v>
      </c>
      <c r="S1066" s="3" t="s">
        <v>112</v>
      </c>
      <c r="T1066">
        <v>2015</v>
      </c>
      <c r="U1066" t="s">
        <v>118</v>
      </c>
      <c r="V1066" s="2">
        <v>-0.06</v>
      </c>
    </row>
    <row r="1067" spans="1:22" x14ac:dyDescent="0.25">
      <c r="A1067" t="s">
        <v>3055</v>
      </c>
      <c r="B1067" s="1">
        <v>41951</v>
      </c>
      <c r="C1067" s="1">
        <v>41957</v>
      </c>
      <c r="D1067" t="s">
        <v>23</v>
      </c>
      <c r="E1067" t="s">
        <v>2600</v>
      </c>
      <c r="F1067" t="s">
        <v>2601</v>
      </c>
      <c r="G1067" t="s">
        <v>26</v>
      </c>
      <c r="H1067" t="s">
        <v>27</v>
      </c>
      <c r="I1067" t="s">
        <v>3056</v>
      </c>
      <c r="J1067" t="s">
        <v>29</v>
      </c>
      <c r="K1067" t="s">
        <v>30</v>
      </c>
      <c r="L1067" t="s">
        <v>1049</v>
      </c>
      <c r="M1067" t="s">
        <v>32</v>
      </c>
      <c r="N1067" t="s">
        <v>33</v>
      </c>
      <c r="O1067" t="s">
        <v>1050</v>
      </c>
      <c r="P1067">
        <v>333.57600000000002</v>
      </c>
      <c r="Q1067">
        <v>3</v>
      </c>
      <c r="R1067">
        <v>25.0182</v>
      </c>
      <c r="S1067" s="3" t="s">
        <v>107</v>
      </c>
      <c r="T1067">
        <v>2014</v>
      </c>
      <c r="U1067" t="s">
        <v>118</v>
      </c>
      <c r="V1067" s="2">
        <v>7.4999999999999997E-2</v>
      </c>
    </row>
    <row r="1068" spans="1:22" x14ac:dyDescent="0.25">
      <c r="A1068" t="s">
        <v>3057</v>
      </c>
      <c r="B1068" s="1">
        <v>42986</v>
      </c>
      <c r="C1068" s="1">
        <v>42990</v>
      </c>
      <c r="D1068" t="s">
        <v>40</v>
      </c>
      <c r="E1068" t="s">
        <v>3058</v>
      </c>
      <c r="F1068" t="s">
        <v>3059</v>
      </c>
      <c r="G1068" t="s">
        <v>59</v>
      </c>
      <c r="H1068" t="s">
        <v>27</v>
      </c>
      <c r="I1068" t="s">
        <v>71</v>
      </c>
      <c r="J1068" t="s">
        <v>61</v>
      </c>
      <c r="K1068" t="s">
        <v>62</v>
      </c>
      <c r="L1068" t="s">
        <v>1124</v>
      </c>
      <c r="M1068" t="s">
        <v>32</v>
      </c>
      <c r="N1068" t="s">
        <v>51</v>
      </c>
      <c r="O1068" t="s">
        <v>1125</v>
      </c>
      <c r="P1068">
        <v>85.2</v>
      </c>
      <c r="Q1068">
        <v>6</v>
      </c>
      <c r="R1068">
        <v>20.234999999999999</v>
      </c>
      <c r="S1068" s="3" t="s">
        <v>53</v>
      </c>
      <c r="T1068">
        <v>2017</v>
      </c>
      <c r="U1068" t="s">
        <v>81</v>
      </c>
      <c r="V1068" s="2">
        <v>0.23749999999999999</v>
      </c>
    </row>
    <row r="1069" spans="1:22" x14ac:dyDescent="0.25">
      <c r="A1069" t="s">
        <v>3060</v>
      </c>
      <c r="B1069" s="1">
        <v>42334</v>
      </c>
      <c r="C1069" s="1">
        <v>42339</v>
      </c>
      <c r="D1069" t="s">
        <v>23</v>
      </c>
      <c r="E1069" t="s">
        <v>1507</v>
      </c>
      <c r="F1069" t="s">
        <v>1508</v>
      </c>
      <c r="G1069" t="s">
        <v>59</v>
      </c>
      <c r="H1069" t="s">
        <v>27</v>
      </c>
      <c r="I1069" t="s">
        <v>946</v>
      </c>
      <c r="J1069" t="s">
        <v>532</v>
      </c>
      <c r="K1069" t="s">
        <v>62</v>
      </c>
      <c r="L1069" t="s">
        <v>429</v>
      </c>
      <c r="M1069" t="s">
        <v>32</v>
      </c>
      <c r="N1069" t="s">
        <v>381</v>
      </c>
      <c r="O1069" t="s">
        <v>430</v>
      </c>
      <c r="P1069">
        <v>599.99</v>
      </c>
      <c r="Q1069">
        <v>1</v>
      </c>
      <c r="R1069">
        <v>233.99610000000001</v>
      </c>
      <c r="S1069" s="3" t="s">
        <v>35</v>
      </c>
      <c r="T1069">
        <v>2015</v>
      </c>
      <c r="U1069" t="s">
        <v>118</v>
      </c>
      <c r="V1069" s="2">
        <v>0.39</v>
      </c>
    </row>
    <row r="1070" spans="1:22" x14ac:dyDescent="0.25">
      <c r="A1070" t="s">
        <v>3061</v>
      </c>
      <c r="B1070" s="1">
        <v>42096</v>
      </c>
      <c r="C1070" s="1">
        <v>42103</v>
      </c>
      <c r="D1070" t="s">
        <v>23</v>
      </c>
      <c r="E1070" t="s">
        <v>3062</v>
      </c>
      <c r="F1070" t="s">
        <v>3063</v>
      </c>
      <c r="G1070" t="s">
        <v>26</v>
      </c>
      <c r="H1070" t="s">
        <v>27</v>
      </c>
      <c r="I1070" t="s">
        <v>28</v>
      </c>
      <c r="J1070" t="s">
        <v>29</v>
      </c>
      <c r="K1070" t="s">
        <v>30</v>
      </c>
      <c r="L1070" t="s">
        <v>3064</v>
      </c>
      <c r="M1070" t="s">
        <v>32</v>
      </c>
      <c r="N1070" t="s">
        <v>215</v>
      </c>
      <c r="O1070" t="s">
        <v>3065</v>
      </c>
      <c r="P1070">
        <v>71.975999999999999</v>
      </c>
      <c r="Q1070">
        <v>3</v>
      </c>
      <c r="R1070">
        <v>24.291899999999998</v>
      </c>
      <c r="S1070" s="3" t="s">
        <v>132</v>
      </c>
      <c r="T1070">
        <v>2015</v>
      </c>
      <c r="U1070" t="s">
        <v>291</v>
      </c>
      <c r="V1070" s="2">
        <v>0.33750000000000002</v>
      </c>
    </row>
    <row r="1071" spans="1:22" x14ac:dyDescent="0.25">
      <c r="A1071" t="s">
        <v>3066</v>
      </c>
      <c r="B1071" s="1">
        <v>41831</v>
      </c>
      <c r="C1071" s="1">
        <v>41834</v>
      </c>
      <c r="D1071" t="s">
        <v>56</v>
      </c>
      <c r="E1071" t="s">
        <v>3067</v>
      </c>
      <c r="F1071" t="s">
        <v>3068</v>
      </c>
      <c r="G1071" t="s">
        <v>26</v>
      </c>
      <c r="H1071" t="s">
        <v>27</v>
      </c>
      <c r="I1071" t="s">
        <v>1274</v>
      </c>
      <c r="J1071" t="s">
        <v>61</v>
      </c>
      <c r="K1071" t="s">
        <v>62</v>
      </c>
      <c r="L1071" t="s">
        <v>1437</v>
      </c>
      <c r="M1071" t="s">
        <v>32</v>
      </c>
      <c r="N1071" t="s">
        <v>33</v>
      </c>
      <c r="O1071" t="s">
        <v>1438</v>
      </c>
      <c r="P1071">
        <v>575.96799999999996</v>
      </c>
      <c r="Q1071">
        <v>4</v>
      </c>
      <c r="R1071">
        <v>43.197600000000001</v>
      </c>
      <c r="S1071" s="3" t="s">
        <v>172</v>
      </c>
      <c r="T1071">
        <v>2014</v>
      </c>
      <c r="U1071" t="s">
        <v>332</v>
      </c>
      <c r="V1071" s="2">
        <v>7.4999999999999997E-2</v>
      </c>
    </row>
    <row r="1072" spans="1:22" x14ac:dyDescent="0.25">
      <c r="A1072" t="s">
        <v>3069</v>
      </c>
      <c r="B1072" s="1">
        <v>42085</v>
      </c>
      <c r="C1072" s="1">
        <v>42087</v>
      </c>
      <c r="D1072" t="s">
        <v>56</v>
      </c>
      <c r="E1072" t="s">
        <v>1586</v>
      </c>
      <c r="F1072" t="s">
        <v>1587</v>
      </c>
      <c r="G1072" t="s">
        <v>26</v>
      </c>
      <c r="H1072" t="s">
        <v>27</v>
      </c>
      <c r="I1072" t="s">
        <v>3070</v>
      </c>
      <c r="J1072" t="s">
        <v>29</v>
      </c>
      <c r="K1072" t="s">
        <v>30</v>
      </c>
      <c r="L1072" t="s">
        <v>518</v>
      </c>
      <c r="M1072" t="s">
        <v>32</v>
      </c>
      <c r="N1072" t="s">
        <v>33</v>
      </c>
      <c r="O1072" t="s">
        <v>519</v>
      </c>
      <c r="P1072">
        <v>15.984</v>
      </c>
      <c r="Q1072">
        <v>2</v>
      </c>
      <c r="R1072">
        <v>1.1988000000000001</v>
      </c>
      <c r="S1072" s="3" t="s">
        <v>65</v>
      </c>
      <c r="T1072">
        <v>2015</v>
      </c>
      <c r="U1072" t="s">
        <v>89</v>
      </c>
      <c r="V1072" s="2">
        <v>7.4999999999999997E-2</v>
      </c>
    </row>
    <row r="1073" spans="1:22" x14ac:dyDescent="0.25">
      <c r="A1073" t="s">
        <v>3071</v>
      </c>
      <c r="B1073" s="1">
        <v>42085</v>
      </c>
      <c r="C1073" s="1">
        <v>42089</v>
      </c>
      <c r="D1073" t="s">
        <v>23</v>
      </c>
      <c r="E1073" t="s">
        <v>2054</v>
      </c>
      <c r="F1073" t="s">
        <v>2055</v>
      </c>
      <c r="G1073" t="s">
        <v>59</v>
      </c>
      <c r="H1073" t="s">
        <v>27</v>
      </c>
      <c r="I1073" t="s">
        <v>300</v>
      </c>
      <c r="J1073" t="s">
        <v>29</v>
      </c>
      <c r="K1073" t="s">
        <v>30</v>
      </c>
      <c r="L1073" t="s">
        <v>773</v>
      </c>
      <c r="M1073" t="s">
        <v>32</v>
      </c>
      <c r="N1073" t="s">
        <v>33</v>
      </c>
      <c r="O1073" t="s">
        <v>774</v>
      </c>
      <c r="P1073">
        <v>1487.9760000000001</v>
      </c>
      <c r="Q1073">
        <v>3</v>
      </c>
      <c r="R1073">
        <v>185.99700000000001</v>
      </c>
      <c r="S1073" s="3" t="s">
        <v>53</v>
      </c>
      <c r="T1073">
        <v>2015</v>
      </c>
      <c r="U1073" t="s">
        <v>89</v>
      </c>
      <c r="V1073" s="2">
        <v>0.125</v>
      </c>
    </row>
    <row r="1074" spans="1:22" x14ac:dyDescent="0.25">
      <c r="A1074" t="s">
        <v>3072</v>
      </c>
      <c r="B1074" s="1">
        <v>42170</v>
      </c>
      <c r="C1074" s="1">
        <v>42172</v>
      </c>
      <c r="D1074" t="s">
        <v>56</v>
      </c>
      <c r="E1074" t="s">
        <v>2734</v>
      </c>
      <c r="F1074" t="s">
        <v>2735</v>
      </c>
      <c r="G1074" t="s">
        <v>26</v>
      </c>
      <c r="H1074" t="s">
        <v>27</v>
      </c>
      <c r="I1074" t="s">
        <v>287</v>
      </c>
      <c r="J1074" t="s">
        <v>288</v>
      </c>
      <c r="K1074" t="s">
        <v>155</v>
      </c>
      <c r="L1074" t="s">
        <v>1531</v>
      </c>
      <c r="M1074" t="s">
        <v>32</v>
      </c>
      <c r="N1074" t="s">
        <v>51</v>
      </c>
      <c r="O1074" t="s">
        <v>1532</v>
      </c>
      <c r="P1074">
        <v>11.672000000000001</v>
      </c>
      <c r="Q1074">
        <v>1</v>
      </c>
      <c r="R1074">
        <v>-0.72950000000000004</v>
      </c>
      <c r="S1074" s="3" t="s">
        <v>65</v>
      </c>
      <c r="T1074">
        <v>2015</v>
      </c>
      <c r="U1074" t="s">
        <v>36</v>
      </c>
      <c r="V1074" s="2">
        <v>-6.25E-2</v>
      </c>
    </row>
    <row r="1075" spans="1:22" x14ac:dyDescent="0.25">
      <c r="A1075" t="s">
        <v>3073</v>
      </c>
      <c r="B1075" s="1">
        <v>41969</v>
      </c>
      <c r="C1075" s="1">
        <v>41969</v>
      </c>
      <c r="D1075" t="s">
        <v>677</v>
      </c>
      <c r="E1075" t="s">
        <v>529</v>
      </c>
      <c r="F1075" t="s">
        <v>530</v>
      </c>
      <c r="G1075" t="s">
        <v>26</v>
      </c>
      <c r="H1075" t="s">
        <v>27</v>
      </c>
      <c r="I1075" t="s">
        <v>3074</v>
      </c>
      <c r="J1075" t="s">
        <v>104</v>
      </c>
      <c r="K1075" t="s">
        <v>95</v>
      </c>
      <c r="L1075" t="s">
        <v>716</v>
      </c>
      <c r="M1075" t="s">
        <v>32</v>
      </c>
      <c r="N1075" t="s">
        <v>33</v>
      </c>
      <c r="O1075" t="s">
        <v>717</v>
      </c>
      <c r="P1075">
        <v>279.95999999999998</v>
      </c>
      <c r="Q1075">
        <v>4</v>
      </c>
      <c r="R1075">
        <v>78.388800000000003</v>
      </c>
      <c r="S1075" s="3" t="s">
        <v>683</v>
      </c>
      <c r="T1075">
        <v>2014</v>
      </c>
      <c r="U1075" t="s">
        <v>118</v>
      </c>
      <c r="V1075" s="2">
        <v>0.28000000000000003</v>
      </c>
    </row>
    <row r="1076" spans="1:22" x14ac:dyDescent="0.25">
      <c r="A1076" t="s">
        <v>3075</v>
      </c>
      <c r="B1076" s="1">
        <v>42203</v>
      </c>
      <c r="C1076" s="1">
        <v>42207</v>
      </c>
      <c r="D1076" t="s">
        <v>23</v>
      </c>
      <c r="E1076" t="s">
        <v>2371</v>
      </c>
      <c r="F1076" t="s">
        <v>2372</v>
      </c>
      <c r="G1076" t="s">
        <v>26</v>
      </c>
      <c r="H1076" t="s">
        <v>27</v>
      </c>
      <c r="I1076" t="s">
        <v>300</v>
      </c>
      <c r="J1076" t="s">
        <v>29</v>
      </c>
      <c r="K1076" t="s">
        <v>30</v>
      </c>
      <c r="L1076" t="s">
        <v>1702</v>
      </c>
      <c r="M1076" t="s">
        <v>32</v>
      </c>
      <c r="N1076" t="s">
        <v>51</v>
      </c>
      <c r="O1076" t="s">
        <v>1703</v>
      </c>
      <c r="P1076">
        <v>519.96</v>
      </c>
      <c r="Q1076">
        <v>4</v>
      </c>
      <c r="R1076">
        <v>176.78639999999999</v>
      </c>
      <c r="S1076" s="3" t="s">
        <v>53</v>
      </c>
      <c r="T1076">
        <v>2015</v>
      </c>
      <c r="U1076" t="s">
        <v>332</v>
      </c>
      <c r="V1076" s="2">
        <v>0.34</v>
      </c>
    </row>
    <row r="1077" spans="1:22" x14ac:dyDescent="0.25">
      <c r="A1077" t="s">
        <v>3076</v>
      </c>
      <c r="B1077" s="1">
        <v>42164</v>
      </c>
      <c r="C1077" s="1">
        <v>42171</v>
      </c>
      <c r="D1077" t="s">
        <v>23</v>
      </c>
      <c r="E1077" t="s">
        <v>3077</v>
      </c>
      <c r="F1077" t="s">
        <v>3078</v>
      </c>
      <c r="G1077" t="s">
        <v>26</v>
      </c>
      <c r="H1077" t="s">
        <v>27</v>
      </c>
      <c r="I1077" t="s">
        <v>643</v>
      </c>
      <c r="J1077" t="s">
        <v>288</v>
      </c>
      <c r="K1077" t="s">
        <v>155</v>
      </c>
      <c r="L1077" t="s">
        <v>2742</v>
      </c>
      <c r="M1077" t="s">
        <v>32</v>
      </c>
      <c r="N1077" t="s">
        <v>51</v>
      </c>
      <c r="O1077" t="s">
        <v>2743</v>
      </c>
      <c r="P1077">
        <v>72.599999999999994</v>
      </c>
      <c r="Q1077">
        <v>5</v>
      </c>
      <c r="R1077">
        <v>-8.1675000000000004</v>
      </c>
      <c r="S1077" s="3" t="s">
        <v>132</v>
      </c>
      <c r="T1077">
        <v>2015</v>
      </c>
      <c r="U1077" t="s">
        <v>36</v>
      </c>
      <c r="V1077" s="2">
        <v>-0.1125</v>
      </c>
    </row>
    <row r="1078" spans="1:22" x14ac:dyDescent="0.25">
      <c r="A1078" t="s">
        <v>3079</v>
      </c>
      <c r="B1078" s="1">
        <v>43066</v>
      </c>
      <c r="C1078" s="1">
        <v>43072</v>
      </c>
      <c r="D1078" t="s">
        <v>23</v>
      </c>
      <c r="E1078" t="s">
        <v>3080</v>
      </c>
      <c r="F1078" t="s">
        <v>3081</v>
      </c>
      <c r="G1078" t="s">
        <v>26</v>
      </c>
      <c r="H1078" t="s">
        <v>27</v>
      </c>
      <c r="I1078" t="s">
        <v>28</v>
      </c>
      <c r="J1078" t="s">
        <v>29</v>
      </c>
      <c r="K1078" t="s">
        <v>30</v>
      </c>
      <c r="L1078" t="s">
        <v>3082</v>
      </c>
      <c r="M1078" t="s">
        <v>32</v>
      </c>
      <c r="N1078" t="s">
        <v>33</v>
      </c>
      <c r="O1078" t="s">
        <v>3083</v>
      </c>
      <c r="P1078">
        <v>57.567999999999998</v>
      </c>
      <c r="Q1078">
        <v>4</v>
      </c>
      <c r="R1078">
        <v>5.7568000000000001</v>
      </c>
      <c r="S1078" s="3" t="s">
        <v>107</v>
      </c>
      <c r="T1078">
        <v>2017</v>
      </c>
      <c r="U1078" t="s">
        <v>118</v>
      </c>
      <c r="V1078" s="2">
        <v>0.1</v>
      </c>
    </row>
    <row r="1079" spans="1:22" x14ac:dyDescent="0.25">
      <c r="A1079" t="s">
        <v>3084</v>
      </c>
      <c r="B1079" s="1">
        <v>42325</v>
      </c>
      <c r="C1079" s="1">
        <v>42329</v>
      </c>
      <c r="D1079" t="s">
        <v>23</v>
      </c>
      <c r="E1079" t="s">
        <v>1601</v>
      </c>
      <c r="F1079" t="s">
        <v>1602</v>
      </c>
      <c r="G1079" t="s">
        <v>26</v>
      </c>
      <c r="H1079" t="s">
        <v>27</v>
      </c>
      <c r="I1079" t="s">
        <v>300</v>
      </c>
      <c r="J1079" t="s">
        <v>29</v>
      </c>
      <c r="K1079" t="s">
        <v>30</v>
      </c>
      <c r="L1079" t="s">
        <v>3085</v>
      </c>
      <c r="M1079" t="s">
        <v>32</v>
      </c>
      <c r="N1079" t="s">
        <v>33</v>
      </c>
      <c r="O1079" t="s">
        <v>3086</v>
      </c>
      <c r="P1079">
        <v>415.96800000000002</v>
      </c>
      <c r="Q1079">
        <v>4</v>
      </c>
      <c r="R1079">
        <v>51.996000000000002</v>
      </c>
      <c r="S1079" s="3" t="s">
        <v>53</v>
      </c>
      <c r="T1079">
        <v>2015</v>
      </c>
      <c r="U1079" t="s">
        <v>118</v>
      </c>
      <c r="V1079" s="2">
        <v>0.125</v>
      </c>
    </row>
    <row r="1080" spans="1:22" x14ac:dyDescent="0.25">
      <c r="A1080" t="s">
        <v>3087</v>
      </c>
      <c r="B1080" s="1">
        <v>42318</v>
      </c>
      <c r="C1080" s="1">
        <v>42322</v>
      </c>
      <c r="D1080" t="s">
        <v>23</v>
      </c>
      <c r="E1080" t="s">
        <v>464</v>
      </c>
      <c r="F1080" t="s">
        <v>465</v>
      </c>
      <c r="G1080" t="s">
        <v>70</v>
      </c>
      <c r="H1080" t="s">
        <v>27</v>
      </c>
      <c r="I1080" t="s">
        <v>3088</v>
      </c>
      <c r="J1080" t="s">
        <v>86</v>
      </c>
      <c r="K1080" t="s">
        <v>62</v>
      </c>
      <c r="L1080" t="s">
        <v>2346</v>
      </c>
      <c r="M1080" t="s">
        <v>32</v>
      </c>
      <c r="N1080" t="s">
        <v>381</v>
      </c>
      <c r="O1080" t="s">
        <v>2347</v>
      </c>
      <c r="P1080">
        <v>549.99</v>
      </c>
      <c r="Q1080">
        <v>1</v>
      </c>
      <c r="R1080">
        <v>274.995</v>
      </c>
      <c r="S1080" s="3" t="s">
        <v>53</v>
      </c>
      <c r="T1080">
        <v>2015</v>
      </c>
      <c r="U1080" t="s">
        <v>118</v>
      </c>
      <c r="V1080" s="2">
        <v>0.5</v>
      </c>
    </row>
    <row r="1081" spans="1:22" x14ac:dyDescent="0.25">
      <c r="A1081" t="s">
        <v>3089</v>
      </c>
      <c r="B1081" s="1">
        <v>41928</v>
      </c>
      <c r="C1081" s="1">
        <v>41929</v>
      </c>
      <c r="D1081" t="s">
        <v>677</v>
      </c>
      <c r="E1081" t="s">
        <v>529</v>
      </c>
      <c r="F1081" t="s">
        <v>530</v>
      </c>
      <c r="G1081" t="s">
        <v>26</v>
      </c>
      <c r="H1081" t="s">
        <v>27</v>
      </c>
      <c r="I1081" t="s">
        <v>43</v>
      </c>
      <c r="J1081" t="s">
        <v>29</v>
      </c>
      <c r="K1081" t="s">
        <v>30</v>
      </c>
      <c r="L1081" t="s">
        <v>721</v>
      </c>
      <c r="M1081" t="s">
        <v>32</v>
      </c>
      <c r="N1081" t="s">
        <v>51</v>
      </c>
      <c r="O1081" t="s">
        <v>722</v>
      </c>
      <c r="P1081">
        <v>179.97</v>
      </c>
      <c r="Q1081">
        <v>3</v>
      </c>
      <c r="R1081">
        <v>86.385599999999997</v>
      </c>
      <c r="S1081" s="3" t="s">
        <v>112</v>
      </c>
      <c r="T1081">
        <v>2014</v>
      </c>
      <c r="U1081" t="s">
        <v>133</v>
      </c>
      <c r="V1081" s="2">
        <v>0.48</v>
      </c>
    </row>
    <row r="1082" spans="1:22" x14ac:dyDescent="0.25">
      <c r="A1082" t="s">
        <v>3090</v>
      </c>
      <c r="B1082" s="1">
        <v>42695</v>
      </c>
      <c r="C1082" s="1">
        <v>42700</v>
      </c>
      <c r="D1082" t="s">
        <v>23</v>
      </c>
      <c r="E1082" t="s">
        <v>2621</v>
      </c>
      <c r="F1082" t="s">
        <v>2622</v>
      </c>
      <c r="G1082" t="s">
        <v>26</v>
      </c>
      <c r="H1082" t="s">
        <v>27</v>
      </c>
      <c r="I1082" t="s">
        <v>140</v>
      </c>
      <c r="J1082" t="s">
        <v>78</v>
      </c>
      <c r="K1082" t="s">
        <v>62</v>
      </c>
      <c r="L1082" t="s">
        <v>208</v>
      </c>
      <c r="M1082" t="s">
        <v>32</v>
      </c>
      <c r="N1082" t="s">
        <v>51</v>
      </c>
      <c r="O1082" t="s">
        <v>209</v>
      </c>
      <c r="P1082">
        <v>81.575999999999993</v>
      </c>
      <c r="Q1082">
        <v>3</v>
      </c>
      <c r="R1082">
        <v>2.0394000000000001</v>
      </c>
      <c r="S1082" s="3" t="s">
        <v>35</v>
      </c>
      <c r="T1082">
        <v>2016</v>
      </c>
      <c r="U1082" t="s">
        <v>118</v>
      </c>
      <c r="V1082" s="2">
        <v>2.5000000000000001E-2</v>
      </c>
    </row>
    <row r="1083" spans="1:22" x14ac:dyDescent="0.25">
      <c r="A1083" t="s">
        <v>3091</v>
      </c>
      <c r="B1083" s="1">
        <v>42463</v>
      </c>
      <c r="C1083" s="1">
        <v>42469</v>
      </c>
      <c r="D1083" t="s">
        <v>23</v>
      </c>
      <c r="E1083" t="s">
        <v>41</v>
      </c>
      <c r="F1083" t="s">
        <v>42</v>
      </c>
      <c r="G1083" t="s">
        <v>26</v>
      </c>
      <c r="H1083" t="s">
        <v>27</v>
      </c>
      <c r="I1083" t="s">
        <v>2225</v>
      </c>
      <c r="J1083" t="s">
        <v>669</v>
      </c>
      <c r="K1083" t="s">
        <v>62</v>
      </c>
      <c r="L1083" t="s">
        <v>1915</v>
      </c>
      <c r="M1083" t="s">
        <v>32</v>
      </c>
      <c r="N1083" t="s">
        <v>33</v>
      </c>
      <c r="O1083" t="s">
        <v>1916</v>
      </c>
      <c r="P1083">
        <v>259.95999999999998</v>
      </c>
      <c r="Q1083">
        <v>4</v>
      </c>
      <c r="R1083">
        <v>124.7808</v>
      </c>
      <c r="S1083" s="3" t="s">
        <v>107</v>
      </c>
      <c r="T1083">
        <v>2016</v>
      </c>
      <c r="U1083" t="s">
        <v>291</v>
      </c>
      <c r="V1083" s="2">
        <v>0.48</v>
      </c>
    </row>
    <row r="1084" spans="1:22" x14ac:dyDescent="0.25">
      <c r="A1084" t="s">
        <v>3092</v>
      </c>
      <c r="B1084" s="1">
        <v>43045</v>
      </c>
      <c r="C1084" s="1">
        <v>43045</v>
      </c>
      <c r="D1084" t="s">
        <v>677</v>
      </c>
      <c r="E1084" t="s">
        <v>237</v>
      </c>
      <c r="F1084" t="s">
        <v>238</v>
      </c>
      <c r="G1084" t="s">
        <v>70</v>
      </c>
      <c r="H1084" t="s">
        <v>27</v>
      </c>
      <c r="I1084" t="s">
        <v>43</v>
      </c>
      <c r="J1084" t="s">
        <v>29</v>
      </c>
      <c r="K1084" t="s">
        <v>30</v>
      </c>
      <c r="L1084" t="s">
        <v>800</v>
      </c>
      <c r="M1084" t="s">
        <v>32</v>
      </c>
      <c r="N1084" t="s">
        <v>51</v>
      </c>
      <c r="O1084" t="s">
        <v>801</v>
      </c>
      <c r="P1084">
        <v>16.95</v>
      </c>
      <c r="Q1084">
        <v>1</v>
      </c>
      <c r="R1084">
        <v>1.0169999999999999</v>
      </c>
      <c r="S1084" s="3" t="s">
        <v>683</v>
      </c>
      <c r="T1084">
        <v>2017</v>
      </c>
      <c r="U1084" t="s">
        <v>118</v>
      </c>
      <c r="V1084" s="2">
        <v>0.06</v>
      </c>
    </row>
    <row r="1085" spans="1:22" x14ac:dyDescent="0.25">
      <c r="A1085" t="s">
        <v>3093</v>
      </c>
      <c r="B1085" s="1">
        <v>42264</v>
      </c>
      <c r="C1085" s="1">
        <v>42270</v>
      </c>
      <c r="D1085" t="s">
        <v>23</v>
      </c>
      <c r="E1085" t="s">
        <v>2756</v>
      </c>
      <c r="F1085" t="s">
        <v>2757</v>
      </c>
      <c r="G1085" t="s">
        <v>26</v>
      </c>
      <c r="H1085" t="s">
        <v>27</v>
      </c>
      <c r="I1085" t="s">
        <v>103</v>
      </c>
      <c r="J1085" t="s">
        <v>104</v>
      </c>
      <c r="K1085" t="s">
        <v>95</v>
      </c>
      <c r="L1085" t="s">
        <v>716</v>
      </c>
      <c r="M1085" t="s">
        <v>32</v>
      </c>
      <c r="N1085" t="s">
        <v>33</v>
      </c>
      <c r="O1085" t="s">
        <v>717</v>
      </c>
      <c r="P1085">
        <v>209.97</v>
      </c>
      <c r="Q1085">
        <v>3</v>
      </c>
      <c r="R1085">
        <v>58.791600000000003</v>
      </c>
      <c r="S1085" s="3" t="s">
        <v>107</v>
      </c>
      <c r="T1085">
        <v>2015</v>
      </c>
      <c r="U1085" t="s">
        <v>81</v>
      </c>
      <c r="V1085" s="2">
        <v>0.28000000000000003</v>
      </c>
    </row>
    <row r="1086" spans="1:22" x14ac:dyDescent="0.25">
      <c r="A1086" t="s">
        <v>3093</v>
      </c>
      <c r="B1086" s="1">
        <v>42264</v>
      </c>
      <c r="C1086" s="1">
        <v>42270</v>
      </c>
      <c r="D1086" t="s">
        <v>23</v>
      </c>
      <c r="E1086" t="s">
        <v>2756</v>
      </c>
      <c r="F1086" t="s">
        <v>2757</v>
      </c>
      <c r="G1086" t="s">
        <v>26</v>
      </c>
      <c r="H1086" t="s">
        <v>27</v>
      </c>
      <c r="I1086" t="s">
        <v>103</v>
      </c>
      <c r="J1086" t="s">
        <v>104</v>
      </c>
      <c r="K1086" t="s">
        <v>95</v>
      </c>
      <c r="L1086" t="s">
        <v>922</v>
      </c>
      <c r="M1086" t="s">
        <v>32</v>
      </c>
      <c r="N1086" t="s">
        <v>51</v>
      </c>
      <c r="O1086" t="s">
        <v>923</v>
      </c>
      <c r="P1086">
        <v>659.9</v>
      </c>
      <c r="Q1086">
        <v>2</v>
      </c>
      <c r="R1086">
        <v>217.767</v>
      </c>
      <c r="S1086" s="3" t="s">
        <v>107</v>
      </c>
      <c r="T1086">
        <v>2015</v>
      </c>
      <c r="U1086" t="s">
        <v>81</v>
      </c>
      <c r="V1086" s="2">
        <v>0.33</v>
      </c>
    </row>
    <row r="1087" spans="1:22" x14ac:dyDescent="0.25">
      <c r="A1087" t="s">
        <v>3093</v>
      </c>
      <c r="B1087" s="1">
        <v>42264</v>
      </c>
      <c r="C1087" s="1">
        <v>42270</v>
      </c>
      <c r="D1087" t="s">
        <v>23</v>
      </c>
      <c r="E1087" t="s">
        <v>2756</v>
      </c>
      <c r="F1087" t="s">
        <v>2757</v>
      </c>
      <c r="G1087" t="s">
        <v>26</v>
      </c>
      <c r="H1087" t="s">
        <v>27</v>
      </c>
      <c r="I1087" t="s">
        <v>103</v>
      </c>
      <c r="J1087" t="s">
        <v>104</v>
      </c>
      <c r="K1087" t="s">
        <v>95</v>
      </c>
      <c r="L1087" t="s">
        <v>1275</v>
      </c>
      <c r="M1087" t="s">
        <v>32</v>
      </c>
      <c r="N1087" t="s">
        <v>33</v>
      </c>
      <c r="O1087" t="s">
        <v>1276</v>
      </c>
      <c r="P1087">
        <v>67.8</v>
      </c>
      <c r="Q1087">
        <v>4</v>
      </c>
      <c r="R1087">
        <v>1.3560000000000001</v>
      </c>
      <c r="S1087" s="3" t="s">
        <v>107</v>
      </c>
      <c r="T1087">
        <v>2015</v>
      </c>
      <c r="U1087" t="s">
        <v>81</v>
      </c>
      <c r="V1087" s="2">
        <v>0.02</v>
      </c>
    </row>
    <row r="1088" spans="1:22" x14ac:dyDescent="0.25">
      <c r="A1088" t="s">
        <v>3094</v>
      </c>
      <c r="B1088" s="1">
        <v>42889</v>
      </c>
      <c r="C1088" s="1">
        <v>42894</v>
      </c>
      <c r="D1088" t="s">
        <v>23</v>
      </c>
      <c r="E1088" t="s">
        <v>620</v>
      </c>
      <c r="F1088" t="s">
        <v>621</v>
      </c>
      <c r="G1088" t="s">
        <v>59</v>
      </c>
      <c r="H1088" t="s">
        <v>27</v>
      </c>
      <c r="I1088" t="s">
        <v>3095</v>
      </c>
      <c r="J1088" t="s">
        <v>426</v>
      </c>
      <c r="K1088" t="s">
        <v>30</v>
      </c>
      <c r="L1088" t="s">
        <v>1198</v>
      </c>
      <c r="M1088" t="s">
        <v>32</v>
      </c>
      <c r="N1088" t="s">
        <v>51</v>
      </c>
      <c r="O1088" t="s">
        <v>1199</v>
      </c>
      <c r="P1088">
        <v>1099.5</v>
      </c>
      <c r="Q1088">
        <v>10</v>
      </c>
      <c r="R1088">
        <v>362.83499999999998</v>
      </c>
      <c r="S1088" s="3" t="s">
        <v>35</v>
      </c>
      <c r="T1088">
        <v>2017</v>
      </c>
      <c r="U1088" t="s">
        <v>36</v>
      </c>
      <c r="V1088" s="2">
        <v>0.33</v>
      </c>
    </row>
    <row r="1089" spans="1:22" x14ac:dyDescent="0.25">
      <c r="A1089" t="s">
        <v>3096</v>
      </c>
      <c r="B1089" s="1">
        <v>42923</v>
      </c>
      <c r="C1089" s="1">
        <v>42925</v>
      </c>
      <c r="D1089" t="s">
        <v>56</v>
      </c>
      <c r="E1089" t="s">
        <v>552</v>
      </c>
      <c r="F1089" t="s">
        <v>553</v>
      </c>
      <c r="G1089" t="s">
        <v>26</v>
      </c>
      <c r="H1089" t="s">
        <v>27</v>
      </c>
      <c r="I1089" t="s">
        <v>206</v>
      </c>
      <c r="J1089" t="s">
        <v>207</v>
      </c>
      <c r="K1089" t="s">
        <v>95</v>
      </c>
      <c r="L1089" t="s">
        <v>512</v>
      </c>
      <c r="M1089" t="s">
        <v>32</v>
      </c>
      <c r="N1089" t="s">
        <v>33</v>
      </c>
      <c r="O1089" t="s">
        <v>513</v>
      </c>
      <c r="P1089">
        <v>683.98800000000006</v>
      </c>
      <c r="Q1089">
        <v>2</v>
      </c>
      <c r="R1089">
        <v>-113.998</v>
      </c>
      <c r="S1089" s="3" t="s">
        <v>65</v>
      </c>
      <c r="T1089">
        <v>2017</v>
      </c>
      <c r="U1089" t="s">
        <v>332</v>
      </c>
      <c r="V1089" s="2">
        <v>-0.16666666666666699</v>
      </c>
    </row>
    <row r="1090" spans="1:22" x14ac:dyDescent="0.25">
      <c r="A1090" t="s">
        <v>3096</v>
      </c>
      <c r="B1090" s="1">
        <v>42923</v>
      </c>
      <c r="C1090" s="1">
        <v>42925</v>
      </c>
      <c r="D1090" t="s">
        <v>56</v>
      </c>
      <c r="E1090" t="s">
        <v>552</v>
      </c>
      <c r="F1090" t="s">
        <v>553</v>
      </c>
      <c r="G1090" t="s">
        <v>26</v>
      </c>
      <c r="H1090" t="s">
        <v>27</v>
      </c>
      <c r="I1090" t="s">
        <v>206</v>
      </c>
      <c r="J1090" t="s">
        <v>207</v>
      </c>
      <c r="K1090" t="s">
        <v>95</v>
      </c>
      <c r="L1090" t="s">
        <v>2727</v>
      </c>
      <c r="M1090" t="s">
        <v>32</v>
      </c>
      <c r="N1090" t="s">
        <v>51</v>
      </c>
      <c r="O1090" t="s">
        <v>2728</v>
      </c>
      <c r="P1090">
        <v>16.776</v>
      </c>
      <c r="Q1090">
        <v>3</v>
      </c>
      <c r="R1090">
        <v>4.8231000000000002</v>
      </c>
      <c r="S1090" s="3" t="s">
        <v>65</v>
      </c>
      <c r="T1090">
        <v>2017</v>
      </c>
      <c r="U1090" t="s">
        <v>332</v>
      </c>
      <c r="V1090" s="2">
        <v>0.28749999999999998</v>
      </c>
    </row>
    <row r="1091" spans="1:22" x14ac:dyDescent="0.25">
      <c r="A1091" t="s">
        <v>3096</v>
      </c>
      <c r="B1091" s="1">
        <v>42923</v>
      </c>
      <c r="C1091" s="1">
        <v>42925</v>
      </c>
      <c r="D1091" t="s">
        <v>56</v>
      </c>
      <c r="E1091" t="s">
        <v>552</v>
      </c>
      <c r="F1091" t="s">
        <v>553</v>
      </c>
      <c r="G1091" t="s">
        <v>26</v>
      </c>
      <c r="H1091" t="s">
        <v>27</v>
      </c>
      <c r="I1091" t="s">
        <v>206</v>
      </c>
      <c r="J1091" t="s">
        <v>207</v>
      </c>
      <c r="K1091" t="s">
        <v>95</v>
      </c>
      <c r="L1091" t="s">
        <v>922</v>
      </c>
      <c r="M1091" t="s">
        <v>32</v>
      </c>
      <c r="N1091" t="s">
        <v>51</v>
      </c>
      <c r="O1091" t="s">
        <v>923</v>
      </c>
      <c r="P1091">
        <v>527.91999999999996</v>
      </c>
      <c r="Q1091">
        <v>2</v>
      </c>
      <c r="R1091">
        <v>85.787000000000006</v>
      </c>
      <c r="S1091" s="3" t="s">
        <v>65</v>
      </c>
      <c r="T1091">
        <v>2017</v>
      </c>
      <c r="U1091" t="s">
        <v>332</v>
      </c>
      <c r="V1091" s="2">
        <v>0.16250000000000001</v>
      </c>
    </row>
    <row r="1092" spans="1:22" x14ac:dyDescent="0.25">
      <c r="A1092" t="s">
        <v>3097</v>
      </c>
      <c r="B1092" s="1">
        <v>42555</v>
      </c>
      <c r="C1092" s="1">
        <v>42555</v>
      </c>
      <c r="D1092" t="s">
        <v>677</v>
      </c>
      <c r="E1092" t="s">
        <v>138</v>
      </c>
      <c r="F1092" t="s">
        <v>139</v>
      </c>
      <c r="G1092" t="s">
        <v>70</v>
      </c>
      <c r="H1092" t="s">
        <v>27</v>
      </c>
      <c r="I1092" t="s">
        <v>481</v>
      </c>
      <c r="J1092" t="s">
        <v>426</v>
      </c>
      <c r="K1092" t="s">
        <v>30</v>
      </c>
      <c r="L1092" t="s">
        <v>1497</v>
      </c>
      <c r="M1092" t="s">
        <v>32</v>
      </c>
      <c r="N1092" t="s">
        <v>33</v>
      </c>
      <c r="O1092" t="s">
        <v>1498</v>
      </c>
      <c r="P1092">
        <v>177.48</v>
      </c>
      <c r="Q1092">
        <v>3</v>
      </c>
      <c r="R1092">
        <v>19.9665</v>
      </c>
      <c r="S1092" s="3" t="s">
        <v>683</v>
      </c>
      <c r="T1092">
        <v>2016</v>
      </c>
      <c r="U1092" t="s">
        <v>332</v>
      </c>
      <c r="V1092" s="2">
        <v>0.1125</v>
      </c>
    </row>
    <row r="1093" spans="1:22" x14ac:dyDescent="0.25">
      <c r="A1093" t="s">
        <v>3097</v>
      </c>
      <c r="B1093" s="1">
        <v>42555</v>
      </c>
      <c r="C1093" s="1">
        <v>42555</v>
      </c>
      <c r="D1093" t="s">
        <v>677</v>
      </c>
      <c r="E1093" t="s">
        <v>138</v>
      </c>
      <c r="F1093" t="s">
        <v>139</v>
      </c>
      <c r="G1093" t="s">
        <v>70</v>
      </c>
      <c r="H1093" t="s">
        <v>27</v>
      </c>
      <c r="I1093" t="s">
        <v>481</v>
      </c>
      <c r="J1093" t="s">
        <v>426</v>
      </c>
      <c r="K1093" t="s">
        <v>30</v>
      </c>
      <c r="L1093" t="s">
        <v>1202</v>
      </c>
      <c r="M1093" t="s">
        <v>32</v>
      </c>
      <c r="N1093" t="s">
        <v>33</v>
      </c>
      <c r="O1093" t="s">
        <v>1203</v>
      </c>
      <c r="P1093">
        <v>71.975999999999999</v>
      </c>
      <c r="Q1093">
        <v>3</v>
      </c>
      <c r="R1093">
        <v>8.9969999999999999</v>
      </c>
      <c r="S1093" s="3" t="s">
        <v>683</v>
      </c>
      <c r="T1093">
        <v>2016</v>
      </c>
      <c r="U1093" t="s">
        <v>332</v>
      </c>
      <c r="V1093" s="2">
        <v>0.125</v>
      </c>
    </row>
    <row r="1094" spans="1:22" x14ac:dyDescent="0.25">
      <c r="A1094" t="s">
        <v>3098</v>
      </c>
      <c r="B1094" s="1">
        <v>42874</v>
      </c>
      <c r="C1094" s="1">
        <v>42880</v>
      </c>
      <c r="D1094" t="s">
        <v>23</v>
      </c>
      <c r="E1094" t="s">
        <v>2702</v>
      </c>
      <c r="F1094" t="s">
        <v>2703</v>
      </c>
      <c r="G1094" t="s">
        <v>26</v>
      </c>
      <c r="H1094" t="s">
        <v>27</v>
      </c>
      <c r="I1094" t="s">
        <v>1355</v>
      </c>
      <c r="J1094" t="s">
        <v>61</v>
      </c>
      <c r="K1094" t="s">
        <v>62</v>
      </c>
      <c r="L1094" t="s">
        <v>1542</v>
      </c>
      <c r="M1094" t="s">
        <v>32</v>
      </c>
      <c r="N1094" t="s">
        <v>33</v>
      </c>
      <c r="O1094" t="s">
        <v>1543</v>
      </c>
      <c r="P1094">
        <v>95.992000000000004</v>
      </c>
      <c r="Q1094">
        <v>1</v>
      </c>
      <c r="R1094">
        <v>9.5991999999999997</v>
      </c>
      <c r="S1094" s="3" t="s">
        <v>107</v>
      </c>
      <c r="T1094">
        <v>2017</v>
      </c>
      <c r="U1094" t="s">
        <v>527</v>
      </c>
      <c r="V1094" s="2">
        <v>0.1</v>
      </c>
    </row>
    <row r="1095" spans="1:22" x14ac:dyDescent="0.25">
      <c r="A1095" t="s">
        <v>3099</v>
      </c>
      <c r="B1095" s="1">
        <v>43020</v>
      </c>
      <c r="C1095" s="1">
        <v>43022</v>
      </c>
      <c r="D1095" t="s">
        <v>40</v>
      </c>
      <c r="E1095" t="s">
        <v>1516</v>
      </c>
      <c r="F1095" t="s">
        <v>1517</v>
      </c>
      <c r="G1095" t="s">
        <v>26</v>
      </c>
      <c r="H1095" t="s">
        <v>27</v>
      </c>
      <c r="I1095" t="s">
        <v>28</v>
      </c>
      <c r="J1095" t="s">
        <v>29</v>
      </c>
      <c r="K1095" t="s">
        <v>30</v>
      </c>
      <c r="L1095" t="s">
        <v>571</v>
      </c>
      <c r="M1095" t="s">
        <v>32</v>
      </c>
      <c r="N1095" t="s">
        <v>51</v>
      </c>
      <c r="O1095" t="s">
        <v>572</v>
      </c>
      <c r="P1095">
        <v>435.84</v>
      </c>
      <c r="Q1095">
        <v>12</v>
      </c>
      <c r="R1095">
        <v>130.75200000000001</v>
      </c>
      <c r="S1095" s="3" t="s">
        <v>65</v>
      </c>
      <c r="T1095">
        <v>2017</v>
      </c>
      <c r="U1095" t="s">
        <v>133</v>
      </c>
      <c r="V1095" s="2">
        <v>0.3</v>
      </c>
    </row>
    <row r="1096" spans="1:22" x14ac:dyDescent="0.25">
      <c r="A1096" t="s">
        <v>3100</v>
      </c>
      <c r="B1096" s="1">
        <v>42588</v>
      </c>
      <c r="C1096" s="1">
        <v>42595</v>
      </c>
      <c r="D1096" t="s">
        <v>23</v>
      </c>
      <c r="E1096" t="s">
        <v>3101</v>
      </c>
      <c r="F1096" t="s">
        <v>3102</v>
      </c>
      <c r="G1096" t="s">
        <v>26</v>
      </c>
      <c r="H1096" t="s">
        <v>27</v>
      </c>
      <c r="I1096" t="s">
        <v>28</v>
      </c>
      <c r="J1096" t="s">
        <v>29</v>
      </c>
      <c r="K1096" t="s">
        <v>30</v>
      </c>
      <c r="L1096" t="s">
        <v>257</v>
      </c>
      <c r="M1096" t="s">
        <v>32</v>
      </c>
      <c r="N1096" t="s">
        <v>33</v>
      </c>
      <c r="O1096" t="s">
        <v>258</v>
      </c>
      <c r="P1096">
        <v>211.16800000000001</v>
      </c>
      <c r="Q1096">
        <v>4</v>
      </c>
      <c r="R1096">
        <v>18.4772</v>
      </c>
      <c r="S1096" s="3" t="s">
        <v>132</v>
      </c>
      <c r="T1096">
        <v>2016</v>
      </c>
      <c r="U1096" t="s">
        <v>46</v>
      </c>
      <c r="V1096" s="2">
        <v>8.7499999999999994E-2</v>
      </c>
    </row>
    <row r="1097" spans="1:22" x14ac:dyDescent="0.25">
      <c r="A1097" t="s">
        <v>3103</v>
      </c>
      <c r="B1097" s="1">
        <v>41876</v>
      </c>
      <c r="C1097" s="1">
        <v>41880</v>
      </c>
      <c r="D1097" t="s">
        <v>23</v>
      </c>
      <c r="E1097" t="s">
        <v>101</v>
      </c>
      <c r="F1097" t="s">
        <v>102</v>
      </c>
      <c r="G1097" t="s">
        <v>59</v>
      </c>
      <c r="H1097" t="s">
        <v>27</v>
      </c>
      <c r="I1097" t="s">
        <v>28</v>
      </c>
      <c r="J1097" t="s">
        <v>29</v>
      </c>
      <c r="K1097" t="s">
        <v>30</v>
      </c>
      <c r="L1097" t="s">
        <v>533</v>
      </c>
      <c r="M1097" t="s">
        <v>32</v>
      </c>
      <c r="N1097" t="s">
        <v>51</v>
      </c>
      <c r="O1097" t="s">
        <v>534</v>
      </c>
      <c r="P1097">
        <v>95.1</v>
      </c>
      <c r="Q1097">
        <v>5</v>
      </c>
      <c r="R1097">
        <v>30.431999999999999</v>
      </c>
      <c r="S1097" s="3" t="s">
        <v>53</v>
      </c>
      <c r="T1097">
        <v>2014</v>
      </c>
      <c r="U1097" t="s">
        <v>46</v>
      </c>
      <c r="V1097" s="2">
        <v>0.32</v>
      </c>
    </row>
    <row r="1098" spans="1:22" x14ac:dyDescent="0.25">
      <c r="A1098" t="s">
        <v>3104</v>
      </c>
      <c r="B1098" s="1">
        <v>42799</v>
      </c>
      <c r="C1098" s="1">
        <v>42799</v>
      </c>
      <c r="D1098" t="s">
        <v>677</v>
      </c>
      <c r="E1098" t="s">
        <v>3105</v>
      </c>
      <c r="F1098" t="s">
        <v>3106</v>
      </c>
      <c r="G1098" t="s">
        <v>59</v>
      </c>
      <c r="H1098" t="s">
        <v>27</v>
      </c>
      <c r="I1098" t="s">
        <v>1683</v>
      </c>
      <c r="J1098" t="s">
        <v>688</v>
      </c>
      <c r="K1098" t="s">
        <v>155</v>
      </c>
      <c r="L1098" t="s">
        <v>482</v>
      </c>
      <c r="M1098" t="s">
        <v>32</v>
      </c>
      <c r="N1098" t="s">
        <v>51</v>
      </c>
      <c r="O1098" t="s">
        <v>483</v>
      </c>
      <c r="P1098">
        <v>299.97000000000003</v>
      </c>
      <c r="Q1098">
        <v>3</v>
      </c>
      <c r="R1098">
        <v>125.98739999999999</v>
      </c>
      <c r="S1098" s="3" t="s">
        <v>683</v>
      </c>
      <c r="T1098">
        <v>2017</v>
      </c>
      <c r="U1098" t="s">
        <v>89</v>
      </c>
      <c r="V1098" s="2">
        <v>0.42</v>
      </c>
    </row>
    <row r="1099" spans="1:22" x14ac:dyDescent="0.25">
      <c r="A1099" t="s">
        <v>3107</v>
      </c>
      <c r="B1099" s="1">
        <v>41954</v>
      </c>
      <c r="C1099" s="1">
        <v>41956</v>
      </c>
      <c r="D1099" t="s">
        <v>40</v>
      </c>
      <c r="E1099" t="s">
        <v>2160</v>
      </c>
      <c r="F1099" t="s">
        <v>2161</v>
      </c>
      <c r="G1099" t="s">
        <v>70</v>
      </c>
      <c r="H1099" t="s">
        <v>27</v>
      </c>
      <c r="I1099" t="s">
        <v>28</v>
      </c>
      <c r="J1099" t="s">
        <v>29</v>
      </c>
      <c r="K1099" t="s">
        <v>30</v>
      </c>
      <c r="L1099" t="s">
        <v>607</v>
      </c>
      <c r="M1099" t="s">
        <v>32</v>
      </c>
      <c r="N1099" t="s">
        <v>33</v>
      </c>
      <c r="O1099" t="s">
        <v>608</v>
      </c>
      <c r="P1099">
        <v>575.928</v>
      </c>
      <c r="Q1099">
        <v>9</v>
      </c>
      <c r="R1099">
        <v>57.592799999999997</v>
      </c>
      <c r="S1099" s="3" t="s">
        <v>65</v>
      </c>
      <c r="T1099">
        <v>2014</v>
      </c>
      <c r="U1099" t="s">
        <v>118</v>
      </c>
      <c r="V1099" s="2">
        <v>0.1</v>
      </c>
    </row>
    <row r="1100" spans="1:22" x14ac:dyDescent="0.25">
      <c r="A1100" t="s">
        <v>3108</v>
      </c>
      <c r="B1100" s="1">
        <v>42967</v>
      </c>
      <c r="C1100" s="1">
        <v>42972</v>
      </c>
      <c r="D1100" t="s">
        <v>23</v>
      </c>
      <c r="E1100" t="s">
        <v>2816</v>
      </c>
      <c r="F1100" t="s">
        <v>2817</v>
      </c>
      <c r="G1100" t="s">
        <v>59</v>
      </c>
      <c r="H1100" t="s">
        <v>27</v>
      </c>
      <c r="I1100" t="s">
        <v>43</v>
      </c>
      <c r="J1100" t="s">
        <v>29</v>
      </c>
      <c r="K1100" t="s">
        <v>30</v>
      </c>
      <c r="L1100" t="s">
        <v>2169</v>
      </c>
      <c r="M1100" t="s">
        <v>32</v>
      </c>
      <c r="N1100" t="s">
        <v>33</v>
      </c>
      <c r="O1100" t="s">
        <v>2170</v>
      </c>
      <c r="P1100">
        <v>107.88</v>
      </c>
      <c r="Q1100">
        <v>3</v>
      </c>
      <c r="R1100">
        <v>10.788</v>
      </c>
      <c r="S1100" s="3" t="s">
        <v>35</v>
      </c>
      <c r="T1100">
        <v>2017</v>
      </c>
      <c r="U1100" t="s">
        <v>46</v>
      </c>
      <c r="V1100" s="2">
        <v>0.1</v>
      </c>
    </row>
    <row r="1101" spans="1:22" x14ac:dyDescent="0.25">
      <c r="A1101" t="s">
        <v>3109</v>
      </c>
      <c r="B1101" s="1">
        <v>42849</v>
      </c>
      <c r="C1101" s="1">
        <v>42850</v>
      </c>
      <c r="D1101" t="s">
        <v>56</v>
      </c>
      <c r="E1101" t="s">
        <v>1695</v>
      </c>
      <c r="F1101" t="s">
        <v>1696</v>
      </c>
      <c r="G1101" t="s">
        <v>26</v>
      </c>
      <c r="H1101" t="s">
        <v>27</v>
      </c>
      <c r="I1101" t="s">
        <v>971</v>
      </c>
      <c r="J1101" t="s">
        <v>123</v>
      </c>
      <c r="K1101" t="s">
        <v>30</v>
      </c>
      <c r="L1101" t="s">
        <v>375</v>
      </c>
      <c r="M1101" t="s">
        <v>32</v>
      </c>
      <c r="N1101" t="s">
        <v>33</v>
      </c>
      <c r="O1101" t="s">
        <v>376</v>
      </c>
      <c r="P1101">
        <v>552</v>
      </c>
      <c r="Q1101">
        <v>10</v>
      </c>
      <c r="R1101">
        <v>34.5</v>
      </c>
      <c r="S1101" s="3" t="s">
        <v>112</v>
      </c>
      <c r="T1101">
        <v>2017</v>
      </c>
      <c r="U1101" t="s">
        <v>291</v>
      </c>
      <c r="V1101" s="2">
        <v>6.25E-2</v>
      </c>
    </row>
    <row r="1102" spans="1:22" x14ac:dyDescent="0.25">
      <c r="A1102" t="s">
        <v>3110</v>
      </c>
      <c r="B1102" s="1">
        <v>42993</v>
      </c>
      <c r="C1102" s="1">
        <v>42999</v>
      </c>
      <c r="D1102" t="s">
        <v>23</v>
      </c>
      <c r="E1102" t="s">
        <v>1951</v>
      </c>
      <c r="F1102" t="s">
        <v>1952</v>
      </c>
      <c r="G1102" t="s">
        <v>26</v>
      </c>
      <c r="H1102" t="s">
        <v>27</v>
      </c>
      <c r="I1102" t="s">
        <v>28</v>
      </c>
      <c r="J1102" t="s">
        <v>29</v>
      </c>
      <c r="K1102" t="s">
        <v>30</v>
      </c>
      <c r="L1102" t="s">
        <v>257</v>
      </c>
      <c r="M1102" t="s">
        <v>32</v>
      </c>
      <c r="N1102" t="s">
        <v>33</v>
      </c>
      <c r="O1102" t="s">
        <v>258</v>
      </c>
      <c r="P1102">
        <v>369.54399999999998</v>
      </c>
      <c r="Q1102">
        <v>7</v>
      </c>
      <c r="R1102">
        <v>32.335099999999997</v>
      </c>
      <c r="S1102" s="3" t="s">
        <v>107</v>
      </c>
      <c r="T1102">
        <v>2017</v>
      </c>
      <c r="U1102" t="s">
        <v>81</v>
      </c>
      <c r="V1102" s="2">
        <v>8.7499999999999994E-2</v>
      </c>
    </row>
    <row r="1103" spans="1:22" x14ac:dyDescent="0.25">
      <c r="A1103" t="s">
        <v>3111</v>
      </c>
      <c r="B1103" s="1">
        <v>43080</v>
      </c>
      <c r="C1103" s="1">
        <v>43087</v>
      </c>
      <c r="D1103" t="s">
        <v>23</v>
      </c>
      <c r="E1103" t="s">
        <v>2769</v>
      </c>
      <c r="F1103" t="s">
        <v>2770</v>
      </c>
      <c r="G1103" t="s">
        <v>59</v>
      </c>
      <c r="H1103" t="s">
        <v>27</v>
      </c>
      <c r="I1103" t="s">
        <v>3112</v>
      </c>
      <c r="J1103" t="s">
        <v>1249</v>
      </c>
      <c r="K1103" t="s">
        <v>95</v>
      </c>
      <c r="L1103" t="s">
        <v>1689</v>
      </c>
      <c r="M1103" t="s">
        <v>32</v>
      </c>
      <c r="N1103" t="s">
        <v>33</v>
      </c>
      <c r="O1103" t="s">
        <v>1690</v>
      </c>
      <c r="P1103">
        <v>128.85</v>
      </c>
      <c r="Q1103">
        <v>3</v>
      </c>
      <c r="R1103">
        <v>3.8654999999999999</v>
      </c>
      <c r="S1103" s="3" t="s">
        <v>132</v>
      </c>
      <c r="T1103">
        <v>2017</v>
      </c>
      <c r="U1103" t="s">
        <v>66</v>
      </c>
      <c r="V1103" s="2">
        <v>0.03</v>
      </c>
    </row>
    <row r="1104" spans="1:22" x14ac:dyDescent="0.25">
      <c r="A1104" t="s">
        <v>3113</v>
      </c>
      <c r="B1104" s="1">
        <v>42368</v>
      </c>
      <c r="C1104" s="1">
        <v>42372</v>
      </c>
      <c r="D1104" t="s">
        <v>23</v>
      </c>
      <c r="E1104" t="s">
        <v>1308</v>
      </c>
      <c r="F1104" t="s">
        <v>1309</v>
      </c>
      <c r="G1104" t="s">
        <v>26</v>
      </c>
      <c r="H1104" t="s">
        <v>27</v>
      </c>
      <c r="I1104" t="s">
        <v>28</v>
      </c>
      <c r="J1104" t="s">
        <v>29</v>
      </c>
      <c r="K1104" t="s">
        <v>30</v>
      </c>
      <c r="L1104" t="s">
        <v>812</v>
      </c>
      <c r="M1104" t="s">
        <v>32</v>
      </c>
      <c r="N1104" t="s">
        <v>215</v>
      </c>
      <c r="O1104" t="s">
        <v>813</v>
      </c>
      <c r="P1104">
        <v>2548.56</v>
      </c>
      <c r="Q1104">
        <v>6</v>
      </c>
      <c r="R1104">
        <v>286.71300000000002</v>
      </c>
      <c r="S1104" s="3" t="s">
        <v>53</v>
      </c>
      <c r="T1104">
        <v>2015</v>
      </c>
      <c r="U1104" t="s">
        <v>66</v>
      </c>
      <c r="V1104" s="2">
        <v>0.1125</v>
      </c>
    </row>
    <row r="1105" spans="1:22" x14ac:dyDescent="0.25">
      <c r="A1105" t="s">
        <v>3113</v>
      </c>
      <c r="B1105" s="1">
        <v>42368</v>
      </c>
      <c r="C1105" s="1">
        <v>42372</v>
      </c>
      <c r="D1105" t="s">
        <v>23</v>
      </c>
      <c r="E1105" t="s">
        <v>1308</v>
      </c>
      <c r="F1105" t="s">
        <v>1309</v>
      </c>
      <c r="G1105" t="s">
        <v>26</v>
      </c>
      <c r="H1105" t="s">
        <v>27</v>
      </c>
      <c r="I1105" t="s">
        <v>28</v>
      </c>
      <c r="J1105" t="s">
        <v>29</v>
      </c>
      <c r="K1105" t="s">
        <v>30</v>
      </c>
      <c r="L1105" t="s">
        <v>1491</v>
      </c>
      <c r="M1105" t="s">
        <v>32</v>
      </c>
      <c r="N1105" t="s">
        <v>33</v>
      </c>
      <c r="O1105" t="s">
        <v>1492</v>
      </c>
      <c r="P1105">
        <v>287.88</v>
      </c>
      <c r="Q1105">
        <v>3</v>
      </c>
      <c r="R1105">
        <v>35.984999999999999</v>
      </c>
      <c r="S1105" s="3" t="s">
        <v>53</v>
      </c>
      <c r="T1105">
        <v>2015</v>
      </c>
      <c r="U1105" t="s">
        <v>66</v>
      </c>
      <c r="V1105" s="2">
        <v>0.125</v>
      </c>
    </row>
    <row r="1106" spans="1:22" x14ac:dyDescent="0.25">
      <c r="A1106" t="s">
        <v>3114</v>
      </c>
      <c r="B1106" s="1">
        <v>42439</v>
      </c>
      <c r="C1106" s="1">
        <v>42440</v>
      </c>
      <c r="D1106" t="s">
        <v>56</v>
      </c>
      <c r="E1106" t="s">
        <v>3115</v>
      </c>
      <c r="F1106" t="s">
        <v>3116</v>
      </c>
      <c r="G1106" t="s">
        <v>70</v>
      </c>
      <c r="H1106" t="s">
        <v>27</v>
      </c>
      <c r="I1106" t="s">
        <v>28</v>
      </c>
      <c r="J1106" t="s">
        <v>29</v>
      </c>
      <c r="K1106" t="s">
        <v>30</v>
      </c>
      <c r="L1106" t="s">
        <v>1431</v>
      </c>
      <c r="M1106" t="s">
        <v>32</v>
      </c>
      <c r="N1106" t="s">
        <v>33</v>
      </c>
      <c r="O1106" t="s">
        <v>1432</v>
      </c>
      <c r="P1106">
        <v>4158.9120000000003</v>
      </c>
      <c r="Q1106">
        <v>8</v>
      </c>
      <c r="R1106">
        <v>363.90480000000002</v>
      </c>
      <c r="S1106" s="3" t="s">
        <v>112</v>
      </c>
      <c r="T1106">
        <v>2016</v>
      </c>
      <c r="U1106" t="s">
        <v>89</v>
      </c>
      <c r="V1106" s="2">
        <v>8.7499999999999994E-2</v>
      </c>
    </row>
    <row r="1107" spans="1:22" x14ac:dyDescent="0.25">
      <c r="A1107" t="s">
        <v>3117</v>
      </c>
      <c r="B1107" s="1">
        <v>42595</v>
      </c>
      <c r="C1107" s="1">
        <v>42595</v>
      </c>
      <c r="D1107" t="s">
        <v>677</v>
      </c>
      <c r="E1107" t="s">
        <v>1886</v>
      </c>
      <c r="F1107" t="s">
        <v>1887</v>
      </c>
      <c r="G1107" t="s">
        <v>26</v>
      </c>
      <c r="H1107" t="s">
        <v>27</v>
      </c>
      <c r="I1107" t="s">
        <v>3118</v>
      </c>
      <c r="J1107" t="s">
        <v>229</v>
      </c>
      <c r="K1107" t="s">
        <v>155</v>
      </c>
      <c r="L1107" t="s">
        <v>434</v>
      </c>
      <c r="M1107" t="s">
        <v>32</v>
      </c>
      <c r="N1107" t="s">
        <v>51</v>
      </c>
      <c r="O1107" t="s">
        <v>435</v>
      </c>
      <c r="P1107">
        <v>71.98</v>
      </c>
      <c r="Q1107">
        <v>2</v>
      </c>
      <c r="R1107">
        <v>15.1158</v>
      </c>
      <c r="S1107" s="3" t="s">
        <v>683</v>
      </c>
      <c r="T1107">
        <v>2016</v>
      </c>
      <c r="U1107" t="s">
        <v>46</v>
      </c>
      <c r="V1107" s="2">
        <v>0.21</v>
      </c>
    </row>
    <row r="1108" spans="1:22" x14ac:dyDescent="0.25">
      <c r="A1108" t="s">
        <v>3119</v>
      </c>
      <c r="B1108" s="1">
        <v>42849</v>
      </c>
      <c r="C1108" s="1">
        <v>42852</v>
      </c>
      <c r="D1108" t="s">
        <v>56</v>
      </c>
      <c r="E1108" t="s">
        <v>3120</v>
      </c>
      <c r="F1108" t="s">
        <v>3121</v>
      </c>
      <c r="G1108" t="s">
        <v>59</v>
      </c>
      <c r="H1108" t="s">
        <v>27</v>
      </c>
      <c r="I1108" t="s">
        <v>2668</v>
      </c>
      <c r="J1108" t="s">
        <v>1721</v>
      </c>
      <c r="K1108" t="s">
        <v>95</v>
      </c>
      <c r="L1108" t="s">
        <v>1295</v>
      </c>
      <c r="M1108" t="s">
        <v>32</v>
      </c>
      <c r="N1108" t="s">
        <v>51</v>
      </c>
      <c r="O1108" t="s">
        <v>1296</v>
      </c>
      <c r="P1108">
        <v>69.98</v>
      </c>
      <c r="Q1108">
        <v>2</v>
      </c>
      <c r="R1108">
        <v>4.8986000000000001</v>
      </c>
      <c r="S1108" s="3" t="s">
        <v>172</v>
      </c>
      <c r="T1108">
        <v>2017</v>
      </c>
      <c r="U1108" t="s">
        <v>291</v>
      </c>
      <c r="V1108" s="2">
        <v>7.0000000000000007E-2</v>
      </c>
    </row>
    <row r="1109" spans="1:22" x14ac:dyDescent="0.25">
      <c r="A1109" t="s">
        <v>3122</v>
      </c>
      <c r="B1109" s="1">
        <v>42789</v>
      </c>
      <c r="C1109" s="1">
        <v>42796</v>
      </c>
      <c r="D1109" t="s">
        <v>23</v>
      </c>
      <c r="E1109" t="s">
        <v>1511</v>
      </c>
      <c r="F1109" t="s">
        <v>1512</v>
      </c>
      <c r="G1109" t="s">
        <v>59</v>
      </c>
      <c r="H1109" t="s">
        <v>27</v>
      </c>
      <c r="I1109" t="s">
        <v>481</v>
      </c>
      <c r="J1109" t="s">
        <v>426</v>
      </c>
      <c r="K1109" t="s">
        <v>30</v>
      </c>
      <c r="L1109" t="s">
        <v>998</v>
      </c>
      <c r="M1109" t="s">
        <v>32</v>
      </c>
      <c r="N1109" t="s">
        <v>33</v>
      </c>
      <c r="O1109" t="s">
        <v>999</v>
      </c>
      <c r="P1109">
        <v>71.959999999999994</v>
      </c>
      <c r="Q1109">
        <v>5</v>
      </c>
      <c r="R1109">
        <v>25.186</v>
      </c>
      <c r="S1109" s="3" t="s">
        <v>132</v>
      </c>
      <c r="T1109">
        <v>2017</v>
      </c>
      <c r="U1109" t="s">
        <v>180</v>
      </c>
      <c r="V1109" s="2">
        <v>0.35</v>
      </c>
    </row>
    <row r="1110" spans="1:22" x14ac:dyDescent="0.25">
      <c r="A1110" t="s">
        <v>3123</v>
      </c>
      <c r="B1110" s="1">
        <v>43002</v>
      </c>
      <c r="C1110" s="1">
        <v>43007</v>
      </c>
      <c r="D1110" t="s">
        <v>23</v>
      </c>
      <c r="E1110" t="s">
        <v>2344</v>
      </c>
      <c r="F1110" t="s">
        <v>2345</v>
      </c>
      <c r="G1110" t="s">
        <v>59</v>
      </c>
      <c r="H1110" t="s">
        <v>27</v>
      </c>
      <c r="I1110" t="s">
        <v>28</v>
      </c>
      <c r="J1110" t="s">
        <v>29</v>
      </c>
      <c r="K1110" t="s">
        <v>30</v>
      </c>
      <c r="L1110" t="s">
        <v>1385</v>
      </c>
      <c r="M1110" t="s">
        <v>32</v>
      </c>
      <c r="N1110" t="s">
        <v>33</v>
      </c>
      <c r="O1110" t="s">
        <v>1386</v>
      </c>
      <c r="P1110">
        <v>859.2</v>
      </c>
      <c r="Q1110">
        <v>3</v>
      </c>
      <c r="R1110">
        <v>75.180000000000007</v>
      </c>
      <c r="S1110" s="3" t="s">
        <v>35</v>
      </c>
      <c r="T1110">
        <v>2017</v>
      </c>
      <c r="U1110" t="s">
        <v>81</v>
      </c>
      <c r="V1110" s="2">
        <v>8.7499999999999994E-2</v>
      </c>
    </row>
    <row r="1111" spans="1:22" x14ac:dyDescent="0.25">
      <c r="A1111" t="s">
        <v>3123</v>
      </c>
      <c r="B1111" s="1">
        <v>43002</v>
      </c>
      <c r="C1111" s="1">
        <v>43007</v>
      </c>
      <c r="D1111" t="s">
        <v>23</v>
      </c>
      <c r="E1111" t="s">
        <v>2344</v>
      </c>
      <c r="F1111" t="s">
        <v>2345</v>
      </c>
      <c r="G1111" t="s">
        <v>59</v>
      </c>
      <c r="H1111" t="s">
        <v>27</v>
      </c>
      <c r="I1111" t="s">
        <v>28</v>
      </c>
      <c r="J1111" t="s">
        <v>29</v>
      </c>
      <c r="K1111" t="s">
        <v>30</v>
      </c>
      <c r="L1111" t="s">
        <v>3124</v>
      </c>
      <c r="M1111" t="s">
        <v>32</v>
      </c>
      <c r="N1111" t="s">
        <v>215</v>
      </c>
      <c r="O1111" t="s">
        <v>3125</v>
      </c>
      <c r="P1111">
        <v>506.28</v>
      </c>
      <c r="Q1111">
        <v>3</v>
      </c>
      <c r="R1111">
        <v>177.19800000000001</v>
      </c>
      <c r="S1111" s="3" t="s">
        <v>35</v>
      </c>
      <c r="T1111">
        <v>2017</v>
      </c>
      <c r="U1111" t="s">
        <v>81</v>
      </c>
      <c r="V1111" s="2">
        <v>0.35</v>
      </c>
    </row>
    <row r="1112" spans="1:22" x14ac:dyDescent="0.25">
      <c r="A1112" t="s">
        <v>3126</v>
      </c>
      <c r="B1112" s="1">
        <v>42003</v>
      </c>
      <c r="C1112" s="1">
        <v>42007</v>
      </c>
      <c r="D1112" t="s">
        <v>23</v>
      </c>
      <c r="E1112" t="s">
        <v>3127</v>
      </c>
      <c r="F1112" t="s">
        <v>3128</v>
      </c>
      <c r="G1112" t="s">
        <v>26</v>
      </c>
      <c r="H1112" t="s">
        <v>27</v>
      </c>
      <c r="I1112" t="s">
        <v>206</v>
      </c>
      <c r="J1112" t="s">
        <v>207</v>
      </c>
      <c r="K1112" t="s">
        <v>95</v>
      </c>
      <c r="L1112" t="s">
        <v>2328</v>
      </c>
      <c r="M1112" t="s">
        <v>32</v>
      </c>
      <c r="N1112" t="s">
        <v>51</v>
      </c>
      <c r="O1112" t="s">
        <v>2329</v>
      </c>
      <c r="P1112">
        <v>27.968</v>
      </c>
      <c r="Q1112">
        <v>2</v>
      </c>
      <c r="R1112">
        <v>6.992</v>
      </c>
      <c r="S1112" s="3" t="s">
        <v>53</v>
      </c>
      <c r="T1112">
        <v>2014</v>
      </c>
      <c r="U1112" t="s">
        <v>66</v>
      </c>
      <c r="V1112" s="2">
        <v>0.25</v>
      </c>
    </row>
    <row r="1113" spans="1:22" x14ac:dyDescent="0.25">
      <c r="A1113" t="s">
        <v>3129</v>
      </c>
      <c r="B1113" s="1">
        <v>42363</v>
      </c>
      <c r="C1113" s="1">
        <v>42368</v>
      </c>
      <c r="D1113" t="s">
        <v>40</v>
      </c>
      <c r="E1113" t="s">
        <v>2314</v>
      </c>
      <c r="F1113" t="s">
        <v>2315</v>
      </c>
      <c r="G1113" t="s">
        <v>26</v>
      </c>
      <c r="H1113" t="s">
        <v>27</v>
      </c>
      <c r="I1113" t="s">
        <v>300</v>
      </c>
      <c r="J1113" t="s">
        <v>29</v>
      </c>
      <c r="K1113" t="s">
        <v>30</v>
      </c>
      <c r="L1113" t="s">
        <v>1025</v>
      </c>
      <c r="M1113" t="s">
        <v>32</v>
      </c>
      <c r="N1113" t="s">
        <v>381</v>
      </c>
      <c r="O1113" t="s">
        <v>1026</v>
      </c>
      <c r="P1113">
        <v>1199.96</v>
      </c>
      <c r="Q1113">
        <v>5</v>
      </c>
      <c r="R1113">
        <v>224.99250000000001</v>
      </c>
      <c r="S1113" s="3" t="s">
        <v>35</v>
      </c>
      <c r="T1113">
        <v>2015</v>
      </c>
      <c r="U1113" t="s">
        <v>66</v>
      </c>
      <c r="V1113" s="2">
        <v>0.1875</v>
      </c>
    </row>
    <row r="1114" spans="1:22" x14ac:dyDescent="0.25">
      <c r="A1114" t="s">
        <v>3130</v>
      </c>
      <c r="B1114" s="1">
        <v>42875</v>
      </c>
      <c r="C1114" s="1">
        <v>42879</v>
      </c>
      <c r="D1114" t="s">
        <v>23</v>
      </c>
      <c r="E1114" t="s">
        <v>837</v>
      </c>
      <c r="F1114" t="s">
        <v>838</v>
      </c>
      <c r="G1114" t="s">
        <v>70</v>
      </c>
      <c r="H1114" t="s">
        <v>27</v>
      </c>
      <c r="I1114" t="s">
        <v>1040</v>
      </c>
      <c r="J1114" t="s">
        <v>29</v>
      </c>
      <c r="K1114" t="s">
        <v>30</v>
      </c>
      <c r="L1114" t="s">
        <v>3131</v>
      </c>
      <c r="M1114" t="s">
        <v>32</v>
      </c>
      <c r="N1114" t="s">
        <v>215</v>
      </c>
      <c r="O1114" t="s">
        <v>3132</v>
      </c>
      <c r="P1114">
        <v>343.2</v>
      </c>
      <c r="Q1114">
        <v>1</v>
      </c>
      <c r="R1114">
        <v>38.61</v>
      </c>
      <c r="S1114" s="3" t="s">
        <v>53</v>
      </c>
      <c r="T1114">
        <v>2017</v>
      </c>
      <c r="U1114" t="s">
        <v>527</v>
      </c>
      <c r="V1114" s="2">
        <v>0.1125</v>
      </c>
    </row>
    <row r="1115" spans="1:22" x14ac:dyDescent="0.25">
      <c r="A1115" t="s">
        <v>3133</v>
      </c>
      <c r="B1115" s="1">
        <v>42614</v>
      </c>
      <c r="C1115" s="1">
        <v>42620</v>
      </c>
      <c r="D1115" t="s">
        <v>23</v>
      </c>
      <c r="E1115" t="s">
        <v>798</v>
      </c>
      <c r="F1115" t="s">
        <v>799</v>
      </c>
      <c r="G1115" t="s">
        <v>26</v>
      </c>
      <c r="H1115" t="s">
        <v>27</v>
      </c>
      <c r="I1115" t="s">
        <v>103</v>
      </c>
      <c r="J1115" t="s">
        <v>104</v>
      </c>
      <c r="K1115" t="s">
        <v>95</v>
      </c>
      <c r="L1115" t="s">
        <v>562</v>
      </c>
      <c r="M1115" t="s">
        <v>32</v>
      </c>
      <c r="N1115" t="s">
        <v>51</v>
      </c>
      <c r="O1115" t="s">
        <v>563</v>
      </c>
      <c r="P1115">
        <v>468.9</v>
      </c>
      <c r="Q1115">
        <v>6</v>
      </c>
      <c r="R1115">
        <v>206.316</v>
      </c>
      <c r="S1115" s="3" t="s">
        <v>107</v>
      </c>
      <c r="T1115">
        <v>2016</v>
      </c>
      <c r="U1115" t="s">
        <v>81</v>
      </c>
      <c r="V1115" s="2">
        <v>0.44</v>
      </c>
    </row>
    <row r="1116" spans="1:22" x14ac:dyDescent="0.25">
      <c r="A1116" t="s">
        <v>3133</v>
      </c>
      <c r="B1116" s="1">
        <v>42614</v>
      </c>
      <c r="C1116" s="1">
        <v>42620</v>
      </c>
      <c r="D1116" t="s">
        <v>23</v>
      </c>
      <c r="E1116" t="s">
        <v>798</v>
      </c>
      <c r="F1116" t="s">
        <v>799</v>
      </c>
      <c r="G1116" t="s">
        <v>26</v>
      </c>
      <c r="H1116" t="s">
        <v>27</v>
      </c>
      <c r="I1116" t="s">
        <v>103</v>
      </c>
      <c r="J1116" t="s">
        <v>104</v>
      </c>
      <c r="K1116" t="s">
        <v>95</v>
      </c>
      <c r="L1116" t="s">
        <v>2185</v>
      </c>
      <c r="M1116" t="s">
        <v>32</v>
      </c>
      <c r="N1116" t="s">
        <v>51</v>
      </c>
      <c r="O1116" t="s">
        <v>2186</v>
      </c>
      <c r="P1116">
        <v>72.48</v>
      </c>
      <c r="Q1116">
        <v>2</v>
      </c>
      <c r="R1116">
        <v>30.441600000000001</v>
      </c>
      <c r="S1116" s="3" t="s">
        <v>107</v>
      </c>
      <c r="T1116">
        <v>2016</v>
      </c>
      <c r="U1116" t="s">
        <v>81</v>
      </c>
      <c r="V1116" s="2">
        <v>0.42</v>
      </c>
    </row>
    <row r="1117" spans="1:22" x14ac:dyDescent="0.25">
      <c r="A1117" t="s">
        <v>3134</v>
      </c>
      <c r="B1117" s="1">
        <v>42696</v>
      </c>
      <c r="C1117" s="1">
        <v>42701</v>
      </c>
      <c r="D1117" t="s">
        <v>23</v>
      </c>
      <c r="E1117" t="s">
        <v>844</v>
      </c>
      <c r="F1117" t="s">
        <v>845</v>
      </c>
      <c r="G1117" t="s">
        <v>26</v>
      </c>
      <c r="H1117" t="s">
        <v>27</v>
      </c>
      <c r="I1117" t="s">
        <v>71</v>
      </c>
      <c r="J1117" t="s">
        <v>61</v>
      </c>
      <c r="K1117" t="s">
        <v>62</v>
      </c>
      <c r="L1117" t="s">
        <v>1834</v>
      </c>
      <c r="M1117" t="s">
        <v>32</v>
      </c>
      <c r="N1117" t="s">
        <v>51</v>
      </c>
      <c r="O1117" t="s">
        <v>1835</v>
      </c>
      <c r="P1117">
        <v>24.032</v>
      </c>
      <c r="Q1117">
        <v>2</v>
      </c>
      <c r="R1117">
        <v>-0.6008</v>
      </c>
      <c r="S1117" s="3" t="s">
        <v>35</v>
      </c>
      <c r="T1117">
        <v>2016</v>
      </c>
      <c r="U1117" t="s">
        <v>118</v>
      </c>
      <c r="V1117" s="2">
        <v>-2.5000000000000001E-2</v>
      </c>
    </row>
    <row r="1118" spans="1:22" x14ac:dyDescent="0.25">
      <c r="A1118" t="s">
        <v>3135</v>
      </c>
      <c r="B1118" s="1">
        <v>42998</v>
      </c>
      <c r="C1118" s="1">
        <v>43004</v>
      </c>
      <c r="D1118" t="s">
        <v>23</v>
      </c>
      <c r="E1118" t="s">
        <v>1817</v>
      </c>
      <c r="F1118" t="s">
        <v>1818</v>
      </c>
      <c r="G1118" t="s">
        <v>26</v>
      </c>
      <c r="H1118" t="s">
        <v>27</v>
      </c>
      <c r="I1118" t="s">
        <v>103</v>
      </c>
      <c r="J1118" t="s">
        <v>104</v>
      </c>
      <c r="K1118" t="s">
        <v>95</v>
      </c>
      <c r="L1118" t="s">
        <v>3136</v>
      </c>
      <c r="M1118" t="s">
        <v>32</v>
      </c>
      <c r="N1118" t="s">
        <v>51</v>
      </c>
      <c r="O1118" t="s">
        <v>3137</v>
      </c>
      <c r="P1118">
        <v>212.8</v>
      </c>
      <c r="Q1118">
        <v>2</v>
      </c>
      <c r="R1118">
        <v>95.76</v>
      </c>
      <c r="S1118" s="3" t="s">
        <v>107</v>
      </c>
      <c r="T1118">
        <v>2017</v>
      </c>
      <c r="U1118" t="s">
        <v>81</v>
      </c>
      <c r="V1118" s="2">
        <v>0.45</v>
      </c>
    </row>
    <row r="1119" spans="1:22" x14ac:dyDescent="0.25">
      <c r="A1119" t="s">
        <v>3135</v>
      </c>
      <c r="B1119" s="1">
        <v>42998</v>
      </c>
      <c r="C1119" s="1">
        <v>43004</v>
      </c>
      <c r="D1119" t="s">
        <v>23</v>
      </c>
      <c r="E1119" t="s">
        <v>1817</v>
      </c>
      <c r="F1119" t="s">
        <v>1818</v>
      </c>
      <c r="G1119" t="s">
        <v>26</v>
      </c>
      <c r="H1119" t="s">
        <v>27</v>
      </c>
      <c r="I1119" t="s">
        <v>103</v>
      </c>
      <c r="J1119" t="s">
        <v>104</v>
      </c>
      <c r="K1119" t="s">
        <v>95</v>
      </c>
      <c r="L1119" t="s">
        <v>571</v>
      </c>
      <c r="M1119" t="s">
        <v>32</v>
      </c>
      <c r="N1119" t="s">
        <v>51</v>
      </c>
      <c r="O1119" t="s">
        <v>572</v>
      </c>
      <c r="P1119">
        <v>72.64</v>
      </c>
      <c r="Q1119">
        <v>2</v>
      </c>
      <c r="R1119">
        <v>21.792000000000002</v>
      </c>
      <c r="S1119" s="3" t="s">
        <v>107</v>
      </c>
      <c r="T1119">
        <v>2017</v>
      </c>
      <c r="U1119" t="s">
        <v>81</v>
      </c>
      <c r="V1119" s="2">
        <v>0.3</v>
      </c>
    </row>
    <row r="1120" spans="1:22" x14ac:dyDescent="0.25">
      <c r="A1120" t="s">
        <v>3135</v>
      </c>
      <c r="B1120" s="1">
        <v>42998</v>
      </c>
      <c r="C1120" s="1">
        <v>43004</v>
      </c>
      <c r="D1120" t="s">
        <v>23</v>
      </c>
      <c r="E1120" t="s">
        <v>1817</v>
      </c>
      <c r="F1120" t="s">
        <v>1818</v>
      </c>
      <c r="G1120" t="s">
        <v>26</v>
      </c>
      <c r="H1120" t="s">
        <v>27</v>
      </c>
      <c r="I1120" t="s">
        <v>103</v>
      </c>
      <c r="J1120" t="s">
        <v>104</v>
      </c>
      <c r="K1120" t="s">
        <v>95</v>
      </c>
      <c r="L1120" t="s">
        <v>1431</v>
      </c>
      <c r="M1120" t="s">
        <v>32</v>
      </c>
      <c r="N1120" t="s">
        <v>33</v>
      </c>
      <c r="O1120" t="s">
        <v>1432</v>
      </c>
      <c r="P1120">
        <v>1299.6600000000001</v>
      </c>
      <c r="Q1120">
        <v>2</v>
      </c>
      <c r="R1120">
        <v>350.90820000000002</v>
      </c>
      <c r="S1120" s="3" t="s">
        <v>107</v>
      </c>
      <c r="T1120">
        <v>2017</v>
      </c>
      <c r="U1120" t="s">
        <v>81</v>
      </c>
      <c r="V1120" s="2">
        <v>0.27</v>
      </c>
    </row>
    <row r="1121" spans="1:22" x14ac:dyDescent="0.25">
      <c r="A1121" t="s">
        <v>3135</v>
      </c>
      <c r="B1121" s="1">
        <v>42998</v>
      </c>
      <c r="C1121" s="1">
        <v>43004</v>
      </c>
      <c r="D1121" t="s">
        <v>23</v>
      </c>
      <c r="E1121" t="s">
        <v>1817</v>
      </c>
      <c r="F1121" t="s">
        <v>1818</v>
      </c>
      <c r="G1121" t="s">
        <v>26</v>
      </c>
      <c r="H1121" t="s">
        <v>27</v>
      </c>
      <c r="I1121" t="s">
        <v>103</v>
      </c>
      <c r="J1121" t="s">
        <v>104</v>
      </c>
      <c r="K1121" t="s">
        <v>95</v>
      </c>
      <c r="L1121" t="s">
        <v>186</v>
      </c>
      <c r="M1121" t="s">
        <v>32</v>
      </c>
      <c r="N1121" t="s">
        <v>33</v>
      </c>
      <c r="O1121" t="s">
        <v>187</v>
      </c>
      <c r="P1121">
        <v>104.85</v>
      </c>
      <c r="Q1121">
        <v>3</v>
      </c>
      <c r="R1121">
        <v>28.3095</v>
      </c>
      <c r="S1121" s="3" t="s">
        <v>107</v>
      </c>
      <c r="T1121">
        <v>2017</v>
      </c>
      <c r="U1121" t="s">
        <v>81</v>
      </c>
      <c r="V1121" s="2">
        <v>0.27</v>
      </c>
    </row>
    <row r="1122" spans="1:22" x14ac:dyDescent="0.25">
      <c r="A1122" t="s">
        <v>3135</v>
      </c>
      <c r="B1122" s="1">
        <v>42998</v>
      </c>
      <c r="C1122" s="1">
        <v>43004</v>
      </c>
      <c r="D1122" t="s">
        <v>23</v>
      </c>
      <c r="E1122" t="s">
        <v>1817</v>
      </c>
      <c r="F1122" t="s">
        <v>1818</v>
      </c>
      <c r="G1122" t="s">
        <v>26</v>
      </c>
      <c r="H1122" t="s">
        <v>27</v>
      </c>
      <c r="I1122" t="s">
        <v>103</v>
      </c>
      <c r="J1122" t="s">
        <v>104</v>
      </c>
      <c r="K1122" t="s">
        <v>95</v>
      </c>
      <c r="L1122" t="s">
        <v>130</v>
      </c>
      <c r="M1122" t="s">
        <v>32</v>
      </c>
      <c r="N1122" t="s">
        <v>51</v>
      </c>
      <c r="O1122" t="s">
        <v>131</v>
      </c>
      <c r="P1122">
        <v>59.97</v>
      </c>
      <c r="Q1122">
        <v>3</v>
      </c>
      <c r="R1122">
        <v>20.389800000000001</v>
      </c>
      <c r="S1122" s="3" t="s">
        <v>107</v>
      </c>
      <c r="T1122">
        <v>2017</v>
      </c>
      <c r="U1122" t="s">
        <v>81</v>
      </c>
      <c r="V1122" s="2">
        <v>0.34</v>
      </c>
    </row>
    <row r="1123" spans="1:22" x14ac:dyDescent="0.25">
      <c r="A1123" t="s">
        <v>3138</v>
      </c>
      <c r="B1123" s="1">
        <v>41993</v>
      </c>
      <c r="C1123" s="1">
        <v>41998</v>
      </c>
      <c r="D1123" t="s">
        <v>23</v>
      </c>
      <c r="E1123" t="s">
        <v>1604</v>
      </c>
      <c r="F1123" t="s">
        <v>1605</v>
      </c>
      <c r="G1123" t="s">
        <v>26</v>
      </c>
      <c r="H1123" t="s">
        <v>27</v>
      </c>
      <c r="I1123" t="s">
        <v>2150</v>
      </c>
      <c r="J1123" t="s">
        <v>61</v>
      </c>
      <c r="K1123" t="s">
        <v>62</v>
      </c>
      <c r="L1123" t="s">
        <v>1161</v>
      </c>
      <c r="M1123" t="s">
        <v>32</v>
      </c>
      <c r="N1123" t="s">
        <v>51</v>
      </c>
      <c r="O1123" t="s">
        <v>1162</v>
      </c>
      <c r="P1123">
        <v>65.44</v>
      </c>
      <c r="Q1123">
        <v>5</v>
      </c>
      <c r="R1123">
        <v>-8.18</v>
      </c>
      <c r="S1123" s="3" t="s">
        <v>35</v>
      </c>
      <c r="T1123">
        <v>2014</v>
      </c>
      <c r="U1123" t="s">
        <v>66</v>
      </c>
      <c r="V1123" s="2">
        <v>-0.125</v>
      </c>
    </row>
    <row r="1124" spans="1:22" x14ac:dyDescent="0.25">
      <c r="A1124" t="s">
        <v>3139</v>
      </c>
      <c r="B1124" s="1">
        <v>42687</v>
      </c>
      <c r="C1124" s="1">
        <v>42693</v>
      </c>
      <c r="D1124" t="s">
        <v>23</v>
      </c>
      <c r="E1124" t="s">
        <v>1229</v>
      </c>
      <c r="F1124" t="s">
        <v>1230</v>
      </c>
      <c r="G1124" t="s">
        <v>70</v>
      </c>
      <c r="H1124" t="s">
        <v>27</v>
      </c>
      <c r="I1124" t="s">
        <v>103</v>
      </c>
      <c r="J1124" t="s">
        <v>104</v>
      </c>
      <c r="K1124" t="s">
        <v>95</v>
      </c>
      <c r="L1124" t="s">
        <v>3140</v>
      </c>
      <c r="M1124" t="s">
        <v>32</v>
      </c>
      <c r="N1124" t="s">
        <v>33</v>
      </c>
      <c r="O1124" t="s">
        <v>3141</v>
      </c>
      <c r="P1124">
        <v>2279.96</v>
      </c>
      <c r="Q1124">
        <v>4</v>
      </c>
      <c r="R1124">
        <v>592.78959999999995</v>
      </c>
      <c r="S1124" s="3" t="s">
        <v>107</v>
      </c>
      <c r="T1124">
        <v>2016</v>
      </c>
      <c r="U1124" t="s">
        <v>118</v>
      </c>
      <c r="V1124" s="2">
        <v>0.26</v>
      </c>
    </row>
    <row r="1125" spans="1:22" x14ac:dyDescent="0.25">
      <c r="A1125" t="s">
        <v>3142</v>
      </c>
      <c r="B1125" s="1">
        <v>42997</v>
      </c>
      <c r="C1125" s="1">
        <v>43003</v>
      </c>
      <c r="D1125" t="s">
        <v>23</v>
      </c>
      <c r="E1125" t="s">
        <v>2804</v>
      </c>
      <c r="F1125" t="s">
        <v>2805</v>
      </c>
      <c r="G1125" t="s">
        <v>59</v>
      </c>
      <c r="H1125" t="s">
        <v>27</v>
      </c>
      <c r="I1125" t="s">
        <v>946</v>
      </c>
      <c r="J1125" t="s">
        <v>340</v>
      </c>
      <c r="K1125" t="s">
        <v>30</v>
      </c>
      <c r="L1125" t="s">
        <v>607</v>
      </c>
      <c r="M1125" t="s">
        <v>32</v>
      </c>
      <c r="N1125" t="s">
        <v>33</v>
      </c>
      <c r="O1125" t="s">
        <v>608</v>
      </c>
      <c r="P1125">
        <v>191.976</v>
      </c>
      <c r="Q1125">
        <v>3</v>
      </c>
      <c r="R1125">
        <v>19.197600000000001</v>
      </c>
      <c r="S1125" s="3" t="s">
        <v>107</v>
      </c>
      <c r="T1125">
        <v>2017</v>
      </c>
      <c r="U1125" t="s">
        <v>81</v>
      </c>
      <c r="V1125" s="2">
        <v>0.1</v>
      </c>
    </row>
    <row r="1126" spans="1:22" x14ac:dyDescent="0.25">
      <c r="A1126" t="s">
        <v>3143</v>
      </c>
      <c r="B1126" s="1">
        <v>42889</v>
      </c>
      <c r="C1126" s="1">
        <v>42893</v>
      </c>
      <c r="D1126" t="s">
        <v>23</v>
      </c>
      <c r="E1126" t="s">
        <v>1962</v>
      </c>
      <c r="F1126" t="s">
        <v>1963</v>
      </c>
      <c r="G1126" t="s">
        <v>59</v>
      </c>
      <c r="H1126" t="s">
        <v>27</v>
      </c>
      <c r="I1126" t="s">
        <v>28</v>
      </c>
      <c r="J1126" t="s">
        <v>29</v>
      </c>
      <c r="K1126" t="s">
        <v>30</v>
      </c>
      <c r="L1126" t="s">
        <v>1264</v>
      </c>
      <c r="M1126" t="s">
        <v>32</v>
      </c>
      <c r="N1126" t="s">
        <v>51</v>
      </c>
      <c r="O1126" t="s">
        <v>1265</v>
      </c>
      <c r="P1126">
        <v>44.75</v>
      </c>
      <c r="Q1126">
        <v>5</v>
      </c>
      <c r="R1126">
        <v>8.5024999999999995</v>
      </c>
      <c r="S1126" s="3" t="s">
        <v>53</v>
      </c>
      <c r="T1126">
        <v>2017</v>
      </c>
      <c r="U1126" t="s">
        <v>36</v>
      </c>
      <c r="V1126" s="2">
        <v>0.19</v>
      </c>
    </row>
    <row r="1127" spans="1:22" x14ac:dyDescent="0.25">
      <c r="A1127" t="s">
        <v>3144</v>
      </c>
      <c r="B1127" s="1">
        <v>42820</v>
      </c>
      <c r="C1127" s="1">
        <v>42827</v>
      </c>
      <c r="D1127" t="s">
        <v>23</v>
      </c>
      <c r="E1127" t="s">
        <v>3145</v>
      </c>
      <c r="F1127" t="s">
        <v>3146</v>
      </c>
      <c r="G1127" t="s">
        <v>70</v>
      </c>
      <c r="H1127" t="s">
        <v>27</v>
      </c>
      <c r="I1127" t="s">
        <v>917</v>
      </c>
      <c r="J1127" t="s">
        <v>693</v>
      </c>
      <c r="K1127" t="s">
        <v>155</v>
      </c>
      <c r="L1127" t="s">
        <v>1124</v>
      </c>
      <c r="M1127" t="s">
        <v>32</v>
      </c>
      <c r="N1127" t="s">
        <v>51</v>
      </c>
      <c r="O1127" t="s">
        <v>1125</v>
      </c>
      <c r="P1127">
        <v>53.25</v>
      </c>
      <c r="Q1127">
        <v>3</v>
      </c>
      <c r="R1127">
        <v>20.767499999999998</v>
      </c>
      <c r="S1127" s="3" t="s">
        <v>132</v>
      </c>
      <c r="T1127">
        <v>2017</v>
      </c>
      <c r="U1127" t="s">
        <v>89</v>
      </c>
      <c r="V1127" s="2">
        <v>0.39</v>
      </c>
    </row>
    <row r="1128" spans="1:22" x14ac:dyDescent="0.25">
      <c r="A1128" t="s">
        <v>3147</v>
      </c>
      <c r="B1128" s="1">
        <v>42295</v>
      </c>
      <c r="C1128" s="1">
        <v>42299</v>
      </c>
      <c r="D1128" t="s">
        <v>23</v>
      </c>
      <c r="E1128" t="s">
        <v>1774</v>
      </c>
      <c r="F1128" t="s">
        <v>1775</v>
      </c>
      <c r="G1128" t="s">
        <v>70</v>
      </c>
      <c r="H1128" t="s">
        <v>27</v>
      </c>
      <c r="I1128" t="s">
        <v>3148</v>
      </c>
      <c r="J1128" t="s">
        <v>61</v>
      </c>
      <c r="K1128" t="s">
        <v>62</v>
      </c>
      <c r="L1128" t="s">
        <v>2355</v>
      </c>
      <c r="M1128" t="s">
        <v>32</v>
      </c>
      <c r="N1128" t="s">
        <v>51</v>
      </c>
      <c r="O1128" t="s">
        <v>2356</v>
      </c>
      <c r="P1128">
        <v>27.696000000000002</v>
      </c>
      <c r="Q1128">
        <v>3</v>
      </c>
      <c r="R1128">
        <v>3.4620000000000002</v>
      </c>
      <c r="S1128" s="3" t="s">
        <v>53</v>
      </c>
      <c r="T1128">
        <v>2015</v>
      </c>
      <c r="U1128" t="s">
        <v>133</v>
      </c>
      <c r="V1128" s="2">
        <v>0.125</v>
      </c>
    </row>
    <row r="1129" spans="1:22" x14ac:dyDescent="0.25">
      <c r="A1129" t="s">
        <v>3149</v>
      </c>
      <c r="B1129" s="1">
        <v>42925</v>
      </c>
      <c r="C1129" s="1">
        <v>42931</v>
      </c>
      <c r="D1129" t="s">
        <v>23</v>
      </c>
      <c r="E1129" t="s">
        <v>3150</v>
      </c>
      <c r="F1129" t="s">
        <v>3151</v>
      </c>
      <c r="G1129" t="s">
        <v>26</v>
      </c>
      <c r="H1129" t="s">
        <v>27</v>
      </c>
      <c r="I1129" t="s">
        <v>3152</v>
      </c>
      <c r="J1129" t="s">
        <v>1451</v>
      </c>
      <c r="K1129" t="s">
        <v>95</v>
      </c>
      <c r="L1129" t="s">
        <v>1148</v>
      </c>
      <c r="M1129" t="s">
        <v>32</v>
      </c>
      <c r="N1129" t="s">
        <v>33</v>
      </c>
      <c r="O1129" t="s">
        <v>1149</v>
      </c>
      <c r="P1129">
        <v>257.98</v>
      </c>
      <c r="Q1129">
        <v>2</v>
      </c>
      <c r="R1129">
        <v>74.8142</v>
      </c>
      <c r="S1129" s="3" t="s">
        <v>107</v>
      </c>
      <c r="T1129">
        <v>2017</v>
      </c>
      <c r="U1129" t="s">
        <v>332</v>
      </c>
      <c r="V1129" s="2">
        <v>0.28999999999999998</v>
      </c>
    </row>
    <row r="1130" spans="1:22" x14ac:dyDescent="0.25">
      <c r="A1130" t="s">
        <v>3153</v>
      </c>
      <c r="B1130" s="1">
        <v>42548</v>
      </c>
      <c r="C1130" s="1">
        <v>42550</v>
      </c>
      <c r="D1130" t="s">
        <v>40</v>
      </c>
      <c r="E1130" t="s">
        <v>3154</v>
      </c>
      <c r="F1130" t="s">
        <v>3155</v>
      </c>
      <c r="G1130" t="s">
        <v>26</v>
      </c>
      <c r="H1130" t="s">
        <v>27</v>
      </c>
      <c r="I1130" t="s">
        <v>43</v>
      </c>
      <c r="J1130" t="s">
        <v>29</v>
      </c>
      <c r="K1130" t="s">
        <v>30</v>
      </c>
      <c r="L1130" t="s">
        <v>2290</v>
      </c>
      <c r="M1130" t="s">
        <v>32</v>
      </c>
      <c r="N1130" t="s">
        <v>33</v>
      </c>
      <c r="O1130" t="s">
        <v>2291</v>
      </c>
      <c r="P1130">
        <v>201.584</v>
      </c>
      <c r="Q1130">
        <v>2</v>
      </c>
      <c r="R1130">
        <v>12.599</v>
      </c>
      <c r="S1130" s="3" t="s">
        <v>65</v>
      </c>
      <c r="T1130">
        <v>2016</v>
      </c>
      <c r="U1130" t="s">
        <v>36</v>
      </c>
      <c r="V1130" s="2">
        <v>6.25E-2</v>
      </c>
    </row>
    <row r="1131" spans="1:22" x14ac:dyDescent="0.25">
      <c r="A1131" t="s">
        <v>3156</v>
      </c>
      <c r="B1131" s="1">
        <v>42585</v>
      </c>
      <c r="C1131" s="1">
        <v>42587</v>
      </c>
      <c r="D1131" t="s">
        <v>40</v>
      </c>
      <c r="E1131" t="s">
        <v>2632</v>
      </c>
      <c r="F1131" t="s">
        <v>2633</v>
      </c>
      <c r="G1131" t="s">
        <v>26</v>
      </c>
      <c r="H1131" t="s">
        <v>27</v>
      </c>
      <c r="I1131" t="s">
        <v>1419</v>
      </c>
      <c r="J1131" t="s">
        <v>200</v>
      </c>
      <c r="K1131" t="s">
        <v>62</v>
      </c>
      <c r="L1131" t="s">
        <v>3157</v>
      </c>
      <c r="M1131" t="s">
        <v>32</v>
      </c>
      <c r="N1131" t="s">
        <v>51</v>
      </c>
      <c r="O1131" t="s">
        <v>3158</v>
      </c>
      <c r="P1131">
        <v>167.28</v>
      </c>
      <c r="Q1131">
        <v>12</v>
      </c>
      <c r="R1131">
        <v>23.4192</v>
      </c>
      <c r="S1131" s="3" t="s">
        <v>65</v>
      </c>
      <c r="T1131">
        <v>2016</v>
      </c>
      <c r="U1131" t="s">
        <v>46</v>
      </c>
      <c r="V1131" s="2">
        <v>0.14000000000000001</v>
      </c>
    </row>
    <row r="1132" spans="1:22" x14ac:dyDescent="0.25">
      <c r="A1132" t="s">
        <v>3159</v>
      </c>
      <c r="B1132" s="1">
        <v>41717</v>
      </c>
      <c r="C1132" s="1">
        <v>41719</v>
      </c>
      <c r="D1132" t="s">
        <v>56</v>
      </c>
      <c r="E1132" t="s">
        <v>3160</v>
      </c>
      <c r="F1132" t="s">
        <v>3161</v>
      </c>
      <c r="G1132" t="s">
        <v>59</v>
      </c>
      <c r="H1132" t="s">
        <v>27</v>
      </c>
      <c r="I1132" t="s">
        <v>2086</v>
      </c>
      <c r="J1132" t="s">
        <v>288</v>
      </c>
      <c r="K1132" t="s">
        <v>155</v>
      </c>
      <c r="L1132" t="s">
        <v>622</v>
      </c>
      <c r="M1132" t="s">
        <v>32</v>
      </c>
      <c r="N1132" t="s">
        <v>33</v>
      </c>
      <c r="O1132" t="s">
        <v>623</v>
      </c>
      <c r="P1132">
        <v>323.976</v>
      </c>
      <c r="Q1132">
        <v>3</v>
      </c>
      <c r="R1132">
        <v>28.347899999999999</v>
      </c>
      <c r="S1132" s="3" t="s">
        <v>65</v>
      </c>
      <c r="T1132">
        <v>2014</v>
      </c>
      <c r="U1132" t="s">
        <v>89</v>
      </c>
      <c r="V1132" s="2">
        <v>8.7499999999999994E-2</v>
      </c>
    </row>
    <row r="1133" spans="1:22" x14ac:dyDescent="0.25">
      <c r="A1133" t="s">
        <v>3159</v>
      </c>
      <c r="B1133" s="1">
        <v>41717</v>
      </c>
      <c r="C1133" s="1">
        <v>41719</v>
      </c>
      <c r="D1133" t="s">
        <v>56</v>
      </c>
      <c r="E1133" t="s">
        <v>3160</v>
      </c>
      <c r="F1133" t="s">
        <v>3161</v>
      </c>
      <c r="G1133" t="s">
        <v>59</v>
      </c>
      <c r="H1133" t="s">
        <v>27</v>
      </c>
      <c r="I1133" t="s">
        <v>2086</v>
      </c>
      <c r="J1133" t="s">
        <v>288</v>
      </c>
      <c r="K1133" t="s">
        <v>155</v>
      </c>
      <c r="L1133" t="s">
        <v>3136</v>
      </c>
      <c r="M1133" t="s">
        <v>32</v>
      </c>
      <c r="N1133" t="s">
        <v>51</v>
      </c>
      <c r="O1133" t="s">
        <v>3137</v>
      </c>
      <c r="P1133">
        <v>170.24</v>
      </c>
      <c r="Q1133">
        <v>2</v>
      </c>
      <c r="R1133">
        <v>53.2</v>
      </c>
      <c r="S1133" s="3" t="s">
        <v>65</v>
      </c>
      <c r="T1133">
        <v>2014</v>
      </c>
      <c r="U1133" t="s">
        <v>89</v>
      </c>
      <c r="V1133" s="2">
        <v>0.3125</v>
      </c>
    </row>
    <row r="1134" spans="1:22" x14ac:dyDescent="0.25">
      <c r="A1134" t="s">
        <v>3162</v>
      </c>
      <c r="B1134" s="1">
        <v>41853</v>
      </c>
      <c r="C1134" s="1">
        <v>41859</v>
      </c>
      <c r="D1134" t="s">
        <v>23</v>
      </c>
      <c r="E1134" t="s">
        <v>344</v>
      </c>
      <c r="F1134" t="s">
        <v>345</v>
      </c>
      <c r="G1134" t="s">
        <v>70</v>
      </c>
      <c r="H1134" t="s">
        <v>27</v>
      </c>
      <c r="I1134" t="s">
        <v>946</v>
      </c>
      <c r="J1134" t="s">
        <v>532</v>
      </c>
      <c r="K1134" t="s">
        <v>62</v>
      </c>
      <c r="L1134" t="s">
        <v>2624</v>
      </c>
      <c r="M1134" t="s">
        <v>32</v>
      </c>
      <c r="N1134" t="s">
        <v>51</v>
      </c>
      <c r="O1134" t="s">
        <v>2625</v>
      </c>
      <c r="P1134">
        <v>21.2</v>
      </c>
      <c r="Q1134">
        <v>2</v>
      </c>
      <c r="R1134">
        <v>9.1159999999999997</v>
      </c>
      <c r="S1134" s="3" t="s">
        <v>107</v>
      </c>
      <c r="T1134">
        <v>2014</v>
      </c>
      <c r="U1134" t="s">
        <v>46</v>
      </c>
      <c r="V1134" s="2">
        <v>0.43</v>
      </c>
    </row>
    <row r="1135" spans="1:22" x14ac:dyDescent="0.25">
      <c r="A1135" t="s">
        <v>3163</v>
      </c>
      <c r="B1135" s="1">
        <v>42268</v>
      </c>
      <c r="C1135" s="1">
        <v>42273</v>
      </c>
      <c r="D1135" t="s">
        <v>23</v>
      </c>
      <c r="E1135" t="s">
        <v>3164</v>
      </c>
      <c r="F1135" t="s">
        <v>3165</v>
      </c>
      <c r="G1135" t="s">
        <v>26</v>
      </c>
      <c r="H1135" t="s">
        <v>27</v>
      </c>
      <c r="I1135" t="s">
        <v>1557</v>
      </c>
      <c r="J1135" t="s">
        <v>1851</v>
      </c>
      <c r="K1135" t="s">
        <v>155</v>
      </c>
      <c r="L1135" t="s">
        <v>1824</v>
      </c>
      <c r="M1135" t="s">
        <v>32</v>
      </c>
      <c r="N1135" t="s">
        <v>33</v>
      </c>
      <c r="O1135" t="s">
        <v>1825</v>
      </c>
      <c r="P1135">
        <v>629.95000000000005</v>
      </c>
      <c r="Q1135">
        <v>5</v>
      </c>
      <c r="R1135">
        <v>176.386</v>
      </c>
      <c r="S1135" s="3" t="s">
        <v>35</v>
      </c>
      <c r="T1135">
        <v>2015</v>
      </c>
      <c r="U1135" t="s">
        <v>81</v>
      </c>
      <c r="V1135" s="2">
        <v>0.28000000000000003</v>
      </c>
    </row>
    <row r="1136" spans="1:22" x14ac:dyDescent="0.25">
      <c r="A1136" t="s">
        <v>3163</v>
      </c>
      <c r="B1136" s="1">
        <v>42268</v>
      </c>
      <c r="C1136" s="1">
        <v>42273</v>
      </c>
      <c r="D1136" t="s">
        <v>23</v>
      </c>
      <c r="E1136" t="s">
        <v>3164</v>
      </c>
      <c r="F1136" t="s">
        <v>3165</v>
      </c>
      <c r="G1136" t="s">
        <v>26</v>
      </c>
      <c r="H1136" t="s">
        <v>27</v>
      </c>
      <c r="I1136" t="s">
        <v>1557</v>
      </c>
      <c r="J1136" t="s">
        <v>1851</v>
      </c>
      <c r="K1136" t="s">
        <v>155</v>
      </c>
      <c r="L1136" t="s">
        <v>631</v>
      </c>
      <c r="M1136" t="s">
        <v>32</v>
      </c>
      <c r="N1136" t="s">
        <v>33</v>
      </c>
      <c r="O1136" t="s">
        <v>632</v>
      </c>
      <c r="P1136">
        <v>113.73</v>
      </c>
      <c r="Q1136">
        <v>3</v>
      </c>
      <c r="R1136">
        <v>32.981699999999996</v>
      </c>
      <c r="S1136" s="3" t="s">
        <v>35</v>
      </c>
      <c r="T1136">
        <v>2015</v>
      </c>
      <c r="U1136" t="s">
        <v>81</v>
      </c>
      <c r="V1136" s="2">
        <v>0.28999999999999998</v>
      </c>
    </row>
    <row r="1137" spans="1:22" x14ac:dyDescent="0.25">
      <c r="A1137" t="s">
        <v>3166</v>
      </c>
      <c r="B1137" s="1">
        <v>42829</v>
      </c>
      <c r="C1137" s="1">
        <v>42833</v>
      </c>
      <c r="D1137" t="s">
        <v>23</v>
      </c>
      <c r="E1137" t="s">
        <v>3167</v>
      </c>
      <c r="F1137" t="s">
        <v>3168</v>
      </c>
      <c r="G1137" t="s">
        <v>26</v>
      </c>
      <c r="H1137" t="s">
        <v>27</v>
      </c>
      <c r="I1137" t="s">
        <v>3169</v>
      </c>
      <c r="J1137" t="s">
        <v>78</v>
      </c>
      <c r="K1137" t="s">
        <v>62</v>
      </c>
      <c r="L1137" t="s">
        <v>1491</v>
      </c>
      <c r="M1137" t="s">
        <v>32</v>
      </c>
      <c r="N1137" t="s">
        <v>33</v>
      </c>
      <c r="O1137" t="s">
        <v>1492</v>
      </c>
      <c r="P1137">
        <v>383.84</v>
      </c>
      <c r="Q1137">
        <v>4</v>
      </c>
      <c r="R1137">
        <v>47.98</v>
      </c>
      <c r="S1137" s="3" t="s">
        <v>53</v>
      </c>
      <c r="T1137">
        <v>2017</v>
      </c>
      <c r="U1137" t="s">
        <v>291</v>
      </c>
      <c r="V1137" s="2">
        <v>0.125</v>
      </c>
    </row>
    <row r="1138" spans="1:22" x14ac:dyDescent="0.25">
      <c r="A1138" t="s">
        <v>3170</v>
      </c>
      <c r="B1138" s="1">
        <v>43029</v>
      </c>
      <c r="C1138" s="1">
        <v>43036</v>
      </c>
      <c r="D1138" t="s">
        <v>23</v>
      </c>
      <c r="E1138" t="s">
        <v>2566</v>
      </c>
      <c r="F1138" t="s">
        <v>2567</v>
      </c>
      <c r="G1138" t="s">
        <v>26</v>
      </c>
      <c r="H1138" t="s">
        <v>27</v>
      </c>
      <c r="I1138" t="s">
        <v>206</v>
      </c>
      <c r="J1138" t="s">
        <v>207</v>
      </c>
      <c r="K1138" t="s">
        <v>95</v>
      </c>
      <c r="L1138" t="s">
        <v>1082</v>
      </c>
      <c r="M1138" t="s">
        <v>32</v>
      </c>
      <c r="N1138" t="s">
        <v>33</v>
      </c>
      <c r="O1138" t="s">
        <v>1083</v>
      </c>
      <c r="P1138">
        <v>329.988</v>
      </c>
      <c r="Q1138">
        <v>2</v>
      </c>
      <c r="R1138">
        <v>-76.997200000000007</v>
      </c>
      <c r="S1138" s="3" t="s">
        <v>132</v>
      </c>
      <c r="T1138">
        <v>2017</v>
      </c>
      <c r="U1138" t="s">
        <v>133</v>
      </c>
      <c r="V1138" s="2">
        <v>-0.233333333333333</v>
      </c>
    </row>
    <row r="1139" spans="1:22" x14ac:dyDescent="0.25">
      <c r="A1139" t="s">
        <v>3171</v>
      </c>
      <c r="B1139" s="1">
        <v>42321</v>
      </c>
      <c r="C1139" s="1">
        <v>42325</v>
      </c>
      <c r="D1139" t="s">
        <v>23</v>
      </c>
      <c r="E1139" t="s">
        <v>771</v>
      </c>
      <c r="F1139" t="s">
        <v>772</v>
      </c>
      <c r="G1139" t="s">
        <v>26</v>
      </c>
      <c r="H1139" t="s">
        <v>27</v>
      </c>
      <c r="I1139" t="s">
        <v>176</v>
      </c>
      <c r="J1139" t="s">
        <v>669</v>
      </c>
      <c r="K1139" t="s">
        <v>62</v>
      </c>
      <c r="L1139" t="s">
        <v>1610</v>
      </c>
      <c r="M1139" t="s">
        <v>32</v>
      </c>
      <c r="N1139" t="s">
        <v>33</v>
      </c>
      <c r="O1139" t="s">
        <v>1611</v>
      </c>
      <c r="P1139">
        <v>50.97</v>
      </c>
      <c r="Q1139">
        <v>3</v>
      </c>
      <c r="R1139">
        <v>13.2522</v>
      </c>
      <c r="S1139" s="3" t="s">
        <v>53</v>
      </c>
      <c r="T1139">
        <v>2015</v>
      </c>
      <c r="U1139" t="s">
        <v>118</v>
      </c>
      <c r="V1139" s="2">
        <v>0.26</v>
      </c>
    </row>
    <row r="1140" spans="1:22" x14ac:dyDescent="0.25">
      <c r="A1140" t="s">
        <v>3172</v>
      </c>
      <c r="B1140" s="1">
        <v>42110</v>
      </c>
      <c r="C1140" s="1">
        <v>42114</v>
      </c>
      <c r="D1140" t="s">
        <v>23</v>
      </c>
      <c r="E1140" t="s">
        <v>3173</v>
      </c>
      <c r="F1140" t="s">
        <v>3174</v>
      </c>
      <c r="G1140" t="s">
        <v>26</v>
      </c>
      <c r="H1140" t="s">
        <v>27</v>
      </c>
      <c r="I1140" t="s">
        <v>731</v>
      </c>
      <c r="J1140" t="s">
        <v>78</v>
      </c>
      <c r="K1140" t="s">
        <v>62</v>
      </c>
      <c r="L1140" t="s">
        <v>1320</v>
      </c>
      <c r="M1140" t="s">
        <v>32</v>
      </c>
      <c r="N1140" t="s">
        <v>381</v>
      </c>
      <c r="O1140" t="s">
        <v>1321</v>
      </c>
      <c r="P1140">
        <v>1439.9680000000001</v>
      </c>
      <c r="Q1140">
        <v>4</v>
      </c>
      <c r="R1140">
        <v>485.98919999999998</v>
      </c>
      <c r="S1140" s="3" t="s">
        <v>53</v>
      </c>
      <c r="T1140">
        <v>2015</v>
      </c>
      <c r="U1140" t="s">
        <v>291</v>
      </c>
      <c r="V1140" s="2">
        <v>0.33750000000000002</v>
      </c>
    </row>
    <row r="1141" spans="1:22" x14ac:dyDescent="0.25">
      <c r="A1141" t="s">
        <v>3172</v>
      </c>
      <c r="B1141" s="1">
        <v>42110</v>
      </c>
      <c r="C1141" s="1">
        <v>42114</v>
      </c>
      <c r="D1141" t="s">
        <v>23</v>
      </c>
      <c r="E1141" t="s">
        <v>3173</v>
      </c>
      <c r="F1141" t="s">
        <v>3174</v>
      </c>
      <c r="G1141" t="s">
        <v>26</v>
      </c>
      <c r="H1141" t="s">
        <v>27</v>
      </c>
      <c r="I1141" t="s">
        <v>731</v>
      </c>
      <c r="J1141" t="s">
        <v>78</v>
      </c>
      <c r="K1141" t="s">
        <v>62</v>
      </c>
      <c r="L1141" t="s">
        <v>2742</v>
      </c>
      <c r="M1141" t="s">
        <v>32</v>
      </c>
      <c r="N1141" t="s">
        <v>51</v>
      </c>
      <c r="O1141" t="s">
        <v>2743</v>
      </c>
      <c r="P1141">
        <v>43.56</v>
      </c>
      <c r="Q1141">
        <v>3</v>
      </c>
      <c r="R1141">
        <v>-4.9005000000000001</v>
      </c>
      <c r="S1141" s="3" t="s">
        <v>53</v>
      </c>
      <c r="T1141">
        <v>2015</v>
      </c>
      <c r="U1141" t="s">
        <v>291</v>
      </c>
      <c r="V1141" s="2">
        <v>-0.1125</v>
      </c>
    </row>
    <row r="1142" spans="1:22" x14ac:dyDescent="0.25">
      <c r="A1142" t="s">
        <v>3175</v>
      </c>
      <c r="B1142" s="1">
        <v>42664</v>
      </c>
      <c r="C1142" s="1">
        <v>42670</v>
      </c>
      <c r="D1142" t="s">
        <v>23</v>
      </c>
      <c r="E1142" t="s">
        <v>1695</v>
      </c>
      <c r="F1142" t="s">
        <v>1696</v>
      </c>
      <c r="G1142" t="s">
        <v>26</v>
      </c>
      <c r="H1142" t="s">
        <v>27</v>
      </c>
      <c r="I1142" t="s">
        <v>176</v>
      </c>
      <c r="J1142" t="s">
        <v>177</v>
      </c>
      <c r="K1142" t="s">
        <v>95</v>
      </c>
      <c r="L1142" t="s">
        <v>2709</v>
      </c>
      <c r="M1142" t="s">
        <v>32</v>
      </c>
      <c r="N1142" t="s">
        <v>33</v>
      </c>
      <c r="O1142" t="s">
        <v>2710</v>
      </c>
      <c r="P1142">
        <v>235.15199999999999</v>
      </c>
      <c r="Q1142">
        <v>8</v>
      </c>
      <c r="R1142">
        <v>-47.0304</v>
      </c>
      <c r="S1142" s="3" t="s">
        <v>107</v>
      </c>
      <c r="T1142">
        <v>2016</v>
      </c>
      <c r="U1142" t="s">
        <v>133</v>
      </c>
      <c r="V1142" s="2">
        <v>-0.2</v>
      </c>
    </row>
    <row r="1143" spans="1:22" x14ac:dyDescent="0.25">
      <c r="A1143" t="s">
        <v>3176</v>
      </c>
      <c r="B1143" s="1">
        <v>42212</v>
      </c>
      <c r="C1143" s="1">
        <v>42218</v>
      </c>
      <c r="D1143" t="s">
        <v>23</v>
      </c>
      <c r="E1143" t="s">
        <v>798</v>
      </c>
      <c r="F1143" t="s">
        <v>799</v>
      </c>
      <c r="G1143" t="s">
        <v>26</v>
      </c>
      <c r="H1143" t="s">
        <v>27</v>
      </c>
      <c r="I1143" t="s">
        <v>444</v>
      </c>
      <c r="J1143" t="s">
        <v>804</v>
      </c>
      <c r="K1143" t="s">
        <v>155</v>
      </c>
      <c r="L1143" t="s">
        <v>1420</v>
      </c>
      <c r="M1143" t="s">
        <v>32</v>
      </c>
      <c r="N1143" t="s">
        <v>33</v>
      </c>
      <c r="O1143" t="s">
        <v>1421</v>
      </c>
      <c r="P1143">
        <v>29.97</v>
      </c>
      <c r="Q1143">
        <v>3</v>
      </c>
      <c r="R1143">
        <v>0.29970000000000002</v>
      </c>
      <c r="S1143" s="3" t="s">
        <v>107</v>
      </c>
      <c r="T1143">
        <v>2015</v>
      </c>
      <c r="U1143" t="s">
        <v>332</v>
      </c>
      <c r="V1143" s="2">
        <v>0.01</v>
      </c>
    </row>
    <row r="1144" spans="1:22" x14ac:dyDescent="0.25">
      <c r="A1144" t="s">
        <v>3177</v>
      </c>
      <c r="B1144" s="1">
        <v>42663</v>
      </c>
      <c r="C1144" s="1">
        <v>42669</v>
      </c>
      <c r="D1144" t="s">
        <v>23</v>
      </c>
      <c r="E1144" t="s">
        <v>3178</v>
      </c>
      <c r="F1144" t="s">
        <v>3179</v>
      </c>
      <c r="G1144" t="s">
        <v>26</v>
      </c>
      <c r="H1144" t="s">
        <v>27</v>
      </c>
      <c r="I1144" t="s">
        <v>2846</v>
      </c>
      <c r="J1144" t="s">
        <v>256</v>
      </c>
      <c r="K1144" t="s">
        <v>62</v>
      </c>
      <c r="L1144" t="s">
        <v>1238</v>
      </c>
      <c r="M1144" t="s">
        <v>32</v>
      </c>
      <c r="N1144" t="s">
        <v>33</v>
      </c>
      <c r="O1144" t="s">
        <v>1239</v>
      </c>
      <c r="P1144">
        <v>125.7</v>
      </c>
      <c r="Q1144">
        <v>6</v>
      </c>
      <c r="R1144">
        <v>35.195999999999998</v>
      </c>
      <c r="S1144" s="3" t="s">
        <v>107</v>
      </c>
      <c r="T1144">
        <v>2016</v>
      </c>
      <c r="U1144" t="s">
        <v>133</v>
      </c>
      <c r="V1144" s="2">
        <v>0.28000000000000003</v>
      </c>
    </row>
    <row r="1145" spans="1:22" x14ac:dyDescent="0.25">
      <c r="A1145" t="s">
        <v>3177</v>
      </c>
      <c r="B1145" s="1">
        <v>42663</v>
      </c>
      <c r="C1145" s="1">
        <v>42669</v>
      </c>
      <c r="D1145" t="s">
        <v>23</v>
      </c>
      <c r="E1145" t="s">
        <v>3178</v>
      </c>
      <c r="F1145" t="s">
        <v>3179</v>
      </c>
      <c r="G1145" t="s">
        <v>26</v>
      </c>
      <c r="H1145" t="s">
        <v>27</v>
      </c>
      <c r="I1145" t="s">
        <v>2846</v>
      </c>
      <c r="J1145" t="s">
        <v>256</v>
      </c>
      <c r="K1145" t="s">
        <v>62</v>
      </c>
      <c r="L1145" t="s">
        <v>805</v>
      </c>
      <c r="M1145" t="s">
        <v>32</v>
      </c>
      <c r="N1145" t="s">
        <v>33</v>
      </c>
      <c r="O1145" t="s">
        <v>806</v>
      </c>
      <c r="P1145">
        <v>191.98</v>
      </c>
      <c r="Q1145">
        <v>2</v>
      </c>
      <c r="R1145">
        <v>51.834600000000002</v>
      </c>
      <c r="S1145" s="3" t="s">
        <v>107</v>
      </c>
      <c r="T1145">
        <v>2016</v>
      </c>
      <c r="U1145" t="s">
        <v>133</v>
      </c>
      <c r="V1145" s="2">
        <v>0.27</v>
      </c>
    </row>
    <row r="1146" spans="1:22" x14ac:dyDescent="0.25">
      <c r="A1146" t="s">
        <v>3180</v>
      </c>
      <c r="B1146" s="1">
        <v>41945</v>
      </c>
      <c r="C1146" s="1">
        <v>41950</v>
      </c>
      <c r="D1146" t="s">
        <v>23</v>
      </c>
      <c r="E1146" t="s">
        <v>368</v>
      </c>
      <c r="F1146" t="s">
        <v>369</v>
      </c>
      <c r="G1146" t="s">
        <v>26</v>
      </c>
      <c r="H1146" t="s">
        <v>27</v>
      </c>
      <c r="I1146" t="s">
        <v>3181</v>
      </c>
      <c r="J1146" t="s">
        <v>61</v>
      </c>
      <c r="K1146" t="s">
        <v>62</v>
      </c>
      <c r="L1146" t="s">
        <v>831</v>
      </c>
      <c r="M1146" t="s">
        <v>32</v>
      </c>
      <c r="N1146" t="s">
        <v>33</v>
      </c>
      <c r="O1146" t="s">
        <v>832</v>
      </c>
      <c r="P1146">
        <v>88.775999999999996</v>
      </c>
      <c r="Q1146">
        <v>3</v>
      </c>
      <c r="R1146">
        <v>7.7679</v>
      </c>
      <c r="S1146" s="3" t="s">
        <v>35</v>
      </c>
      <c r="T1146">
        <v>2014</v>
      </c>
      <c r="U1146" t="s">
        <v>118</v>
      </c>
      <c r="V1146" s="2">
        <v>8.7499999999999994E-2</v>
      </c>
    </row>
    <row r="1147" spans="1:22" x14ac:dyDescent="0.25">
      <c r="A1147" t="s">
        <v>3182</v>
      </c>
      <c r="B1147" s="1">
        <v>42391</v>
      </c>
      <c r="C1147" s="1">
        <v>42396</v>
      </c>
      <c r="D1147" t="s">
        <v>23</v>
      </c>
      <c r="E1147" t="s">
        <v>1047</v>
      </c>
      <c r="F1147" t="s">
        <v>1048</v>
      </c>
      <c r="G1147" t="s">
        <v>70</v>
      </c>
      <c r="H1147" t="s">
        <v>27</v>
      </c>
      <c r="I1147" t="s">
        <v>1310</v>
      </c>
      <c r="J1147" t="s">
        <v>177</v>
      </c>
      <c r="K1147" t="s">
        <v>95</v>
      </c>
      <c r="L1147" t="s">
        <v>79</v>
      </c>
      <c r="M1147" t="s">
        <v>32</v>
      </c>
      <c r="N1147" t="s">
        <v>33</v>
      </c>
      <c r="O1147" t="s">
        <v>80</v>
      </c>
      <c r="P1147">
        <v>110.376</v>
      </c>
      <c r="Q1147">
        <v>4</v>
      </c>
      <c r="R1147">
        <v>-20.235600000000002</v>
      </c>
      <c r="S1147" s="3" t="s">
        <v>35</v>
      </c>
      <c r="T1147">
        <v>2016</v>
      </c>
      <c r="U1147" t="s">
        <v>54</v>
      </c>
      <c r="V1147" s="2">
        <v>-0.18333333333333299</v>
      </c>
    </row>
    <row r="1148" spans="1:22" x14ac:dyDescent="0.25">
      <c r="A1148" t="s">
        <v>3182</v>
      </c>
      <c r="B1148" s="1">
        <v>42391</v>
      </c>
      <c r="C1148" s="1">
        <v>42396</v>
      </c>
      <c r="D1148" t="s">
        <v>23</v>
      </c>
      <c r="E1148" t="s">
        <v>1047</v>
      </c>
      <c r="F1148" t="s">
        <v>1048</v>
      </c>
      <c r="G1148" t="s">
        <v>70</v>
      </c>
      <c r="H1148" t="s">
        <v>27</v>
      </c>
      <c r="I1148" t="s">
        <v>1310</v>
      </c>
      <c r="J1148" t="s">
        <v>177</v>
      </c>
      <c r="K1148" t="s">
        <v>95</v>
      </c>
      <c r="L1148" t="s">
        <v>87</v>
      </c>
      <c r="M1148" t="s">
        <v>32</v>
      </c>
      <c r="N1148" t="s">
        <v>51</v>
      </c>
      <c r="O1148" t="s">
        <v>88</v>
      </c>
      <c r="P1148">
        <v>55.176000000000002</v>
      </c>
      <c r="Q1148">
        <v>3</v>
      </c>
      <c r="R1148">
        <v>15.863099999999999</v>
      </c>
      <c r="S1148" s="3" t="s">
        <v>35</v>
      </c>
      <c r="T1148">
        <v>2016</v>
      </c>
      <c r="U1148" t="s">
        <v>54</v>
      </c>
      <c r="V1148" s="2">
        <v>0.28749999999999998</v>
      </c>
    </row>
    <row r="1149" spans="1:22" x14ac:dyDescent="0.25">
      <c r="A1149" t="s">
        <v>3183</v>
      </c>
      <c r="B1149" s="1">
        <v>42989</v>
      </c>
      <c r="C1149" s="1">
        <v>42989</v>
      </c>
      <c r="D1149" t="s">
        <v>677</v>
      </c>
      <c r="E1149" t="s">
        <v>581</v>
      </c>
      <c r="F1149" t="s">
        <v>582</v>
      </c>
      <c r="G1149" t="s">
        <v>26</v>
      </c>
      <c r="H1149" t="s">
        <v>27</v>
      </c>
      <c r="I1149" t="s">
        <v>481</v>
      </c>
      <c r="J1149" t="s">
        <v>426</v>
      </c>
      <c r="K1149" t="s">
        <v>30</v>
      </c>
      <c r="L1149" t="s">
        <v>3184</v>
      </c>
      <c r="M1149" t="s">
        <v>32</v>
      </c>
      <c r="N1149" t="s">
        <v>33</v>
      </c>
      <c r="O1149" t="s">
        <v>3185</v>
      </c>
      <c r="P1149">
        <v>79.959999999999994</v>
      </c>
      <c r="Q1149">
        <v>5</v>
      </c>
      <c r="R1149">
        <v>-17.991</v>
      </c>
      <c r="S1149" s="3" t="s">
        <v>683</v>
      </c>
      <c r="T1149">
        <v>2017</v>
      </c>
      <c r="U1149" t="s">
        <v>81</v>
      </c>
      <c r="V1149" s="2">
        <v>-0.22500000000000001</v>
      </c>
    </row>
    <row r="1150" spans="1:22" x14ac:dyDescent="0.25">
      <c r="A1150" t="s">
        <v>3186</v>
      </c>
      <c r="B1150" s="1">
        <v>42328</v>
      </c>
      <c r="C1150" s="1">
        <v>42333</v>
      </c>
      <c r="D1150" t="s">
        <v>23</v>
      </c>
      <c r="E1150" t="s">
        <v>2066</v>
      </c>
      <c r="F1150" t="s">
        <v>2067</v>
      </c>
      <c r="G1150" t="s">
        <v>70</v>
      </c>
      <c r="H1150" t="s">
        <v>27</v>
      </c>
      <c r="I1150" t="s">
        <v>481</v>
      </c>
      <c r="J1150" t="s">
        <v>426</v>
      </c>
      <c r="K1150" t="s">
        <v>30</v>
      </c>
      <c r="L1150" t="s">
        <v>2727</v>
      </c>
      <c r="M1150" t="s">
        <v>32</v>
      </c>
      <c r="N1150" t="s">
        <v>51</v>
      </c>
      <c r="O1150" t="s">
        <v>2728</v>
      </c>
      <c r="P1150">
        <v>13.98</v>
      </c>
      <c r="Q1150">
        <v>2</v>
      </c>
      <c r="R1150">
        <v>6.0114000000000001</v>
      </c>
      <c r="S1150" s="3" t="s">
        <v>35</v>
      </c>
      <c r="T1150">
        <v>2015</v>
      </c>
      <c r="U1150" t="s">
        <v>118</v>
      </c>
      <c r="V1150" s="2">
        <v>0.43</v>
      </c>
    </row>
    <row r="1151" spans="1:22" x14ac:dyDescent="0.25">
      <c r="A1151" t="s">
        <v>3187</v>
      </c>
      <c r="B1151" s="1">
        <v>41736</v>
      </c>
      <c r="C1151" s="1">
        <v>41736</v>
      </c>
      <c r="D1151" t="s">
        <v>677</v>
      </c>
      <c r="E1151" t="s">
        <v>1323</v>
      </c>
      <c r="F1151" t="s">
        <v>1324</v>
      </c>
      <c r="G1151" t="s">
        <v>70</v>
      </c>
      <c r="H1151" t="s">
        <v>27</v>
      </c>
      <c r="I1151" t="s">
        <v>2777</v>
      </c>
      <c r="J1151" t="s">
        <v>1006</v>
      </c>
      <c r="K1151" t="s">
        <v>155</v>
      </c>
      <c r="L1151" t="s">
        <v>1336</v>
      </c>
      <c r="M1151" t="s">
        <v>32</v>
      </c>
      <c r="N1151" t="s">
        <v>33</v>
      </c>
      <c r="O1151" t="s">
        <v>1337</v>
      </c>
      <c r="P1151">
        <v>200.97</v>
      </c>
      <c r="Q1151">
        <v>3</v>
      </c>
      <c r="R1151">
        <v>50.2425</v>
      </c>
      <c r="S1151" s="3" t="s">
        <v>683</v>
      </c>
      <c r="T1151">
        <v>2014</v>
      </c>
      <c r="U1151" t="s">
        <v>291</v>
      </c>
      <c r="V1151" s="2">
        <v>0.25</v>
      </c>
    </row>
    <row r="1152" spans="1:22" x14ac:dyDescent="0.25">
      <c r="A1152" t="s">
        <v>3188</v>
      </c>
      <c r="B1152" s="1">
        <v>42278</v>
      </c>
      <c r="C1152" s="1">
        <v>42281</v>
      </c>
      <c r="D1152" t="s">
        <v>40</v>
      </c>
      <c r="E1152" t="s">
        <v>226</v>
      </c>
      <c r="F1152" t="s">
        <v>227</v>
      </c>
      <c r="G1152" t="s">
        <v>70</v>
      </c>
      <c r="H1152" t="s">
        <v>27</v>
      </c>
      <c r="I1152" t="s">
        <v>3189</v>
      </c>
      <c r="J1152" t="s">
        <v>1249</v>
      </c>
      <c r="K1152" t="s">
        <v>95</v>
      </c>
      <c r="L1152" t="s">
        <v>578</v>
      </c>
      <c r="M1152" t="s">
        <v>32</v>
      </c>
      <c r="N1152" t="s">
        <v>33</v>
      </c>
      <c r="O1152" t="s">
        <v>579</v>
      </c>
      <c r="P1152">
        <v>311.98</v>
      </c>
      <c r="Q1152">
        <v>2</v>
      </c>
      <c r="R1152">
        <v>93.593999999999994</v>
      </c>
      <c r="S1152" s="3" t="s">
        <v>172</v>
      </c>
      <c r="T1152">
        <v>2015</v>
      </c>
      <c r="U1152" t="s">
        <v>133</v>
      </c>
      <c r="V1152" s="2">
        <v>0.3</v>
      </c>
    </row>
    <row r="1153" spans="1:22" x14ac:dyDescent="0.25">
      <c r="A1153" t="s">
        <v>3190</v>
      </c>
      <c r="B1153" s="1">
        <v>43071</v>
      </c>
      <c r="C1153" s="1">
        <v>43075</v>
      </c>
      <c r="D1153" t="s">
        <v>23</v>
      </c>
      <c r="E1153" t="s">
        <v>1799</v>
      </c>
      <c r="F1153" t="s">
        <v>1800</v>
      </c>
      <c r="G1153" t="s">
        <v>59</v>
      </c>
      <c r="H1153" t="s">
        <v>27</v>
      </c>
      <c r="I1153" t="s">
        <v>983</v>
      </c>
      <c r="J1153" t="s">
        <v>29</v>
      </c>
      <c r="K1153" t="s">
        <v>30</v>
      </c>
      <c r="L1153" t="s">
        <v>188</v>
      </c>
      <c r="M1153" t="s">
        <v>32</v>
      </c>
      <c r="N1153" t="s">
        <v>33</v>
      </c>
      <c r="O1153" t="s">
        <v>189</v>
      </c>
      <c r="P1153">
        <v>39.991999999999997</v>
      </c>
      <c r="Q1153">
        <v>1</v>
      </c>
      <c r="R1153">
        <v>-7.9984000000000002</v>
      </c>
      <c r="S1153" s="3" t="s">
        <v>53</v>
      </c>
      <c r="T1153">
        <v>2017</v>
      </c>
      <c r="U1153" t="s">
        <v>66</v>
      </c>
      <c r="V1153" s="2">
        <v>-0.2</v>
      </c>
    </row>
    <row r="1154" spans="1:22" x14ac:dyDescent="0.25">
      <c r="A1154" t="s">
        <v>3191</v>
      </c>
      <c r="B1154" s="1">
        <v>43080</v>
      </c>
      <c r="C1154" s="1">
        <v>43081</v>
      </c>
      <c r="D1154" t="s">
        <v>56</v>
      </c>
      <c r="E1154" t="s">
        <v>1971</v>
      </c>
      <c r="F1154" t="s">
        <v>1972</v>
      </c>
      <c r="G1154" t="s">
        <v>59</v>
      </c>
      <c r="H1154" t="s">
        <v>27</v>
      </c>
      <c r="I1154" t="s">
        <v>3192</v>
      </c>
      <c r="J1154" t="s">
        <v>78</v>
      </c>
      <c r="K1154" t="s">
        <v>62</v>
      </c>
      <c r="L1154" t="s">
        <v>1504</v>
      </c>
      <c r="M1154" t="s">
        <v>32</v>
      </c>
      <c r="N1154" t="s">
        <v>51</v>
      </c>
      <c r="O1154" t="s">
        <v>1505</v>
      </c>
      <c r="P1154">
        <v>116.312</v>
      </c>
      <c r="Q1154">
        <v>7</v>
      </c>
      <c r="R1154">
        <v>23.2624</v>
      </c>
      <c r="S1154" s="3" t="s">
        <v>112</v>
      </c>
      <c r="T1154">
        <v>2017</v>
      </c>
      <c r="U1154" t="s">
        <v>66</v>
      </c>
      <c r="V1154" s="2">
        <v>0.2</v>
      </c>
    </row>
    <row r="1155" spans="1:22" x14ac:dyDescent="0.25">
      <c r="A1155" t="s">
        <v>3193</v>
      </c>
      <c r="B1155" s="1">
        <v>42568</v>
      </c>
      <c r="C1155" s="1">
        <v>42573</v>
      </c>
      <c r="D1155" t="s">
        <v>40</v>
      </c>
      <c r="E1155" t="s">
        <v>1645</v>
      </c>
      <c r="F1155" t="s">
        <v>1646</v>
      </c>
      <c r="G1155" t="s">
        <v>26</v>
      </c>
      <c r="H1155" t="s">
        <v>27</v>
      </c>
      <c r="I1155" t="s">
        <v>481</v>
      </c>
      <c r="J1155" t="s">
        <v>426</v>
      </c>
      <c r="K1155" t="s">
        <v>30</v>
      </c>
      <c r="L1155" t="s">
        <v>3194</v>
      </c>
      <c r="M1155" t="s">
        <v>32</v>
      </c>
      <c r="N1155" t="s">
        <v>51</v>
      </c>
      <c r="O1155" t="s">
        <v>3195</v>
      </c>
      <c r="P1155">
        <v>428.4</v>
      </c>
      <c r="Q1155">
        <v>3</v>
      </c>
      <c r="R1155">
        <v>89.963999999999999</v>
      </c>
      <c r="S1155" s="3" t="s">
        <v>35</v>
      </c>
      <c r="T1155">
        <v>2016</v>
      </c>
      <c r="U1155" t="s">
        <v>332</v>
      </c>
      <c r="V1155" s="2">
        <v>0.21</v>
      </c>
    </row>
    <row r="1156" spans="1:22" x14ac:dyDescent="0.25">
      <c r="A1156" t="s">
        <v>3193</v>
      </c>
      <c r="B1156" s="1">
        <v>42568</v>
      </c>
      <c r="C1156" s="1">
        <v>42573</v>
      </c>
      <c r="D1156" t="s">
        <v>40</v>
      </c>
      <c r="E1156" t="s">
        <v>1645</v>
      </c>
      <c r="F1156" t="s">
        <v>1646</v>
      </c>
      <c r="G1156" t="s">
        <v>26</v>
      </c>
      <c r="H1156" t="s">
        <v>27</v>
      </c>
      <c r="I1156" t="s">
        <v>481</v>
      </c>
      <c r="J1156" t="s">
        <v>426</v>
      </c>
      <c r="K1156" t="s">
        <v>30</v>
      </c>
      <c r="L1156" t="s">
        <v>947</v>
      </c>
      <c r="M1156" t="s">
        <v>32</v>
      </c>
      <c r="N1156" t="s">
        <v>33</v>
      </c>
      <c r="O1156" t="s">
        <v>948</v>
      </c>
      <c r="P1156">
        <v>20.783999999999999</v>
      </c>
      <c r="Q1156">
        <v>2</v>
      </c>
      <c r="R1156">
        <v>-4.6764000000000001</v>
      </c>
      <c r="S1156" s="3" t="s">
        <v>35</v>
      </c>
      <c r="T1156">
        <v>2016</v>
      </c>
      <c r="U1156" t="s">
        <v>332</v>
      </c>
      <c r="V1156" s="2">
        <v>-0.22500000000000001</v>
      </c>
    </row>
    <row r="1157" spans="1:22" x14ac:dyDescent="0.25">
      <c r="A1157" t="s">
        <v>3196</v>
      </c>
      <c r="B1157" s="1">
        <v>42667</v>
      </c>
      <c r="C1157" s="1">
        <v>42674</v>
      </c>
      <c r="D1157" t="s">
        <v>23</v>
      </c>
      <c r="E1157" t="s">
        <v>3197</v>
      </c>
      <c r="F1157" t="s">
        <v>3198</v>
      </c>
      <c r="G1157" t="s">
        <v>70</v>
      </c>
      <c r="H1157" t="s">
        <v>27</v>
      </c>
      <c r="I1157" t="s">
        <v>3199</v>
      </c>
      <c r="J1157" t="s">
        <v>2319</v>
      </c>
      <c r="K1157" t="s">
        <v>155</v>
      </c>
      <c r="L1157" t="s">
        <v>1012</v>
      </c>
      <c r="M1157" t="s">
        <v>32</v>
      </c>
      <c r="N1157" t="s">
        <v>33</v>
      </c>
      <c r="O1157" t="s">
        <v>1013</v>
      </c>
      <c r="P1157">
        <v>239.976</v>
      </c>
      <c r="Q1157">
        <v>3</v>
      </c>
      <c r="R1157">
        <v>17.998200000000001</v>
      </c>
      <c r="S1157" s="3" t="s">
        <v>132</v>
      </c>
      <c r="T1157">
        <v>2016</v>
      </c>
      <c r="U1157" t="s">
        <v>133</v>
      </c>
      <c r="V1157" s="2">
        <v>7.4999999999999997E-2</v>
      </c>
    </row>
    <row r="1158" spans="1:22" x14ac:dyDescent="0.25">
      <c r="A1158" t="s">
        <v>3200</v>
      </c>
      <c r="B1158" s="1">
        <v>42116</v>
      </c>
      <c r="C1158" s="1">
        <v>42120</v>
      </c>
      <c r="D1158" t="s">
        <v>23</v>
      </c>
      <c r="E1158" t="s">
        <v>3201</v>
      </c>
      <c r="F1158" t="s">
        <v>3202</v>
      </c>
      <c r="G1158" t="s">
        <v>26</v>
      </c>
      <c r="H1158" t="s">
        <v>27</v>
      </c>
      <c r="I1158" t="s">
        <v>28</v>
      </c>
      <c r="J1158" t="s">
        <v>29</v>
      </c>
      <c r="K1158" t="s">
        <v>30</v>
      </c>
      <c r="L1158" t="s">
        <v>831</v>
      </c>
      <c r="M1158" t="s">
        <v>32</v>
      </c>
      <c r="N1158" t="s">
        <v>33</v>
      </c>
      <c r="O1158" t="s">
        <v>832</v>
      </c>
      <c r="P1158">
        <v>88.775999999999996</v>
      </c>
      <c r="Q1158">
        <v>3</v>
      </c>
      <c r="R1158">
        <v>7.7679</v>
      </c>
      <c r="S1158" s="3" t="s">
        <v>53</v>
      </c>
      <c r="T1158">
        <v>2015</v>
      </c>
      <c r="U1158" t="s">
        <v>291</v>
      </c>
      <c r="V1158" s="2">
        <v>8.7499999999999994E-2</v>
      </c>
    </row>
    <row r="1159" spans="1:22" x14ac:dyDescent="0.25">
      <c r="A1159" t="s">
        <v>3203</v>
      </c>
      <c r="B1159" s="1">
        <v>43062</v>
      </c>
      <c r="C1159" s="1">
        <v>43066</v>
      </c>
      <c r="D1159" t="s">
        <v>23</v>
      </c>
      <c r="E1159" t="s">
        <v>322</v>
      </c>
      <c r="F1159" t="s">
        <v>323</v>
      </c>
      <c r="G1159" t="s">
        <v>26</v>
      </c>
      <c r="H1159" t="s">
        <v>27</v>
      </c>
      <c r="I1159" t="s">
        <v>262</v>
      </c>
      <c r="J1159" t="s">
        <v>61</v>
      </c>
      <c r="K1159" t="s">
        <v>62</v>
      </c>
      <c r="L1159" t="s">
        <v>2709</v>
      </c>
      <c r="M1159" t="s">
        <v>32</v>
      </c>
      <c r="N1159" t="s">
        <v>33</v>
      </c>
      <c r="O1159" t="s">
        <v>2710</v>
      </c>
      <c r="P1159">
        <v>195.96</v>
      </c>
      <c r="Q1159">
        <v>5</v>
      </c>
      <c r="R1159">
        <v>19.596</v>
      </c>
      <c r="S1159" s="3" t="s">
        <v>53</v>
      </c>
      <c r="T1159">
        <v>2017</v>
      </c>
      <c r="U1159" t="s">
        <v>118</v>
      </c>
      <c r="V1159" s="2">
        <v>0.1</v>
      </c>
    </row>
    <row r="1160" spans="1:22" x14ac:dyDescent="0.25">
      <c r="A1160" t="s">
        <v>3204</v>
      </c>
      <c r="B1160" s="1">
        <v>42782</v>
      </c>
      <c r="C1160" s="1">
        <v>42787</v>
      </c>
      <c r="D1160" t="s">
        <v>23</v>
      </c>
      <c r="E1160" t="s">
        <v>629</v>
      </c>
      <c r="F1160" t="s">
        <v>630</v>
      </c>
      <c r="G1160" t="s">
        <v>59</v>
      </c>
      <c r="H1160" t="s">
        <v>27</v>
      </c>
      <c r="I1160" t="s">
        <v>1638</v>
      </c>
      <c r="J1160" t="s">
        <v>1451</v>
      </c>
      <c r="K1160" t="s">
        <v>95</v>
      </c>
      <c r="L1160" t="s">
        <v>1598</v>
      </c>
      <c r="M1160" t="s">
        <v>32</v>
      </c>
      <c r="N1160" t="s">
        <v>33</v>
      </c>
      <c r="O1160" t="s">
        <v>1599</v>
      </c>
      <c r="P1160">
        <v>14.99</v>
      </c>
      <c r="Q1160">
        <v>1</v>
      </c>
      <c r="R1160">
        <v>7.3451000000000004</v>
      </c>
      <c r="S1160" s="3" t="s">
        <v>35</v>
      </c>
      <c r="T1160">
        <v>2017</v>
      </c>
      <c r="U1160" t="s">
        <v>180</v>
      </c>
      <c r="V1160" s="2">
        <v>0.49</v>
      </c>
    </row>
    <row r="1161" spans="1:22" x14ac:dyDescent="0.25">
      <c r="A1161" t="s">
        <v>3205</v>
      </c>
      <c r="B1161" s="1">
        <v>43064</v>
      </c>
      <c r="C1161" s="1">
        <v>43068</v>
      </c>
      <c r="D1161" t="s">
        <v>40</v>
      </c>
      <c r="E1161" t="s">
        <v>1936</v>
      </c>
      <c r="F1161" t="s">
        <v>1937</v>
      </c>
      <c r="G1161" t="s">
        <v>59</v>
      </c>
      <c r="H1161" t="s">
        <v>27</v>
      </c>
      <c r="I1161" t="s">
        <v>3206</v>
      </c>
      <c r="J1161" t="s">
        <v>29</v>
      </c>
      <c r="K1161" t="s">
        <v>30</v>
      </c>
      <c r="L1161" t="s">
        <v>2320</v>
      </c>
      <c r="M1161" t="s">
        <v>32</v>
      </c>
      <c r="N1161" t="s">
        <v>33</v>
      </c>
      <c r="O1161" t="s">
        <v>2321</v>
      </c>
      <c r="P1161">
        <v>39.96</v>
      </c>
      <c r="Q1161">
        <v>5</v>
      </c>
      <c r="R1161">
        <v>3.4965000000000002</v>
      </c>
      <c r="S1161" s="3" t="s">
        <v>53</v>
      </c>
      <c r="T1161">
        <v>2017</v>
      </c>
      <c r="U1161" t="s">
        <v>118</v>
      </c>
      <c r="V1161" s="2">
        <v>8.7499999999999994E-2</v>
      </c>
    </row>
    <row r="1162" spans="1:22" x14ac:dyDescent="0.25">
      <c r="A1162" t="s">
        <v>3207</v>
      </c>
      <c r="B1162" s="1">
        <v>41807</v>
      </c>
      <c r="C1162" s="1">
        <v>41813</v>
      </c>
      <c r="D1162" t="s">
        <v>23</v>
      </c>
      <c r="E1162" t="s">
        <v>3208</v>
      </c>
      <c r="F1162" t="s">
        <v>3209</v>
      </c>
      <c r="G1162" t="s">
        <v>26</v>
      </c>
      <c r="H1162" t="s">
        <v>27</v>
      </c>
      <c r="I1162" t="s">
        <v>1458</v>
      </c>
      <c r="J1162" t="s">
        <v>94</v>
      </c>
      <c r="K1162" t="s">
        <v>95</v>
      </c>
      <c r="L1162" t="s">
        <v>2929</v>
      </c>
      <c r="M1162" t="s">
        <v>32</v>
      </c>
      <c r="N1162" t="s">
        <v>215</v>
      </c>
      <c r="O1162" t="s">
        <v>2930</v>
      </c>
      <c r="P1162">
        <v>65.97</v>
      </c>
      <c r="Q1162">
        <v>3</v>
      </c>
      <c r="R1162">
        <v>31.0059</v>
      </c>
      <c r="S1162" s="3" t="s">
        <v>107</v>
      </c>
      <c r="T1162">
        <v>2014</v>
      </c>
      <c r="U1162" t="s">
        <v>36</v>
      </c>
      <c r="V1162" s="2">
        <v>0.47</v>
      </c>
    </row>
    <row r="1163" spans="1:22" x14ac:dyDescent="0.25">
      <c r="A1163" t="s">
        <v>3210</v>
      </c>
      <c r="B1163" s="1">
        <v>42612</v>
      </c>
      <c r="C1163" s="1">
        <v>42619</v>
      </c>
      <c r="D1163" t="s">
        <v>23</v>
      </c>
      <c r="E1163" t="s">
        <v>3211</v>
      </c>
      <c r="F1163" t="s">
        <v>3212</v>
      </c>
      <c r="G1163" t="s">
        <v>26</v>
      </c>
      <c r="H1163" t="s">
        <v>27</v>
      </c>
      <c r="I1163" t="s">
        <v>28</v>
      </c>
      <c r="J1163" t="s">
        <v>29</v>
      </c>
      <c r="K1163" t="s">
        <v>30</v>
      </c>
      <c r="L1163" t="s">
        <v>2097</v>
      </c>
      <c r="M1163" t="s">
        <v>32</v>
      </c>
      <c r="N1163" t="s">
        <v>33</v>
      </c>
      <c r="O1163" t="s">
        <v>2098</v>
      </c>
      <c r="P1163">
        <v>339.96</v>
      </c>
      <c r="Q1163">
        <v>5</v>
      </c>
      <c r="R1163">
        <v>42.494999999999997</v>
      </c>
      <c r="S1163" s="3" t="s">
        <v>132</v>
      </c>
      <c r="T1163">
        <v>2016</v>
      </c>
      <c r="U1163" t="s">
        <v>46</v>
      </c>
      <c r="V1163" s="2">
        <v>0.125</v>
      </c>
    </row>
    <row r="1164" spans="1:22" x14ac:dyDescent="0.25">
      <c r="A1164" t="s">
        <v>3213</v>
      </c>
      <c r="B1164" s="1">
        <v>43013</v>
      </c>
      <c r="C1164" s="1">
        <v>43017</v>
      </c>
      <c r="D1164" t="s">
        <v>23</v>
      </c>
      <c r="E1164" t="s">
        <v>2048</v>
      </c>
      <c r="F1164" t="s">
        <v>2049</v>
      </c>
      <c r="G1164" t="s">
        <v>59</v>
      </c>
      <c r="H1164" t="s">
        <v>27</v>
      </c>
      <c r="I1164" t="s">
        <v>103</v>
      </c>
      <c r="J1164" t="s">
        <v>104</v>
      </c>
      <c r="K1164" t="s">
        <v>95</v>
      </c>
      <c r="L1164" t="s">
        <v>2145</v>
      </c>
      <c r="M1164" t="s">
        <v>32</v>
      </c>
      <c r="N1164" t="s">
        <v>33</v>
      </c>
      <c r="O1164" t="s">
        <v>2146</v>
      </c>
      <c r="P1164">
        <v>87.8</v>
      </c>
      <c r="Q1164">
        <v>4</v>
      </c>
      <c r="R1164">
        <v>43.9</v>
      </c>
      <c r="S1164" s="3" t="s">
        <v>53</v>
      </c>
      <c r="T1164">
        <v>2017</v>
      </c>
      <c r="U1164" t="s">
        <v>133</v>
      </c>
      <c r="V1164" s="2">
        <v>0.5</v>
      </c>
    </row>
    <row r="1165" spans="1:22" x14ac:dyDescent="0.25">
      <c r="A1165" t="s">
        <v>3213</v>
      </c>
      <c r="B1165" s="1">
        <v>43013</v>
      </c>
      <c r="C1165" s="1">
        <v>43017</v>
      </c>
      <c r="D1165" t="s">
        <v>23</v>
      </c>
      <c r="E1165" t="s">
        <v>2048</v>
      </c>
      <c r="F1165" t="s">
        <v>2049</v>
      </c>
      <c r="G1165" t="s">
        <v>59</v>
      </c>
      <c r="H1165" t="s">
        <v>27</v>
      </c>
      <c r="I1165" t="s">
        <v>103</v>
      </c>
      <c r="J1165" t="s">
        <v>104</v>
      </c>
      <c r="K1165" t="s">
        <v>95</v>
      </c>
      <c r="L1165" t="s">
        <v>2593</v>
      </c>
      <c r="M1165" t="s">
        <v>32</v>
      </c>
      <c r="N1165" t="s">
        <v>215</v>
      </c>
      <c r="O1165" t="s">
        <v>2594</v>
      </c>
      <c r="P1165">
        <v>5199.96</v>
      </c>
      <c r="Q1165">
        <v>4</v>
      </c>
      <c r="R1165">
        <v>1351.9896000000001</v>
      </c>
      <c r="S1165" s="3" t="s">
        <v>53</v>
      </c>
      <c r="T1165">
        <v>2017</v>
      </c>
      <c r="U1165" t="s">
        <v>133</v>
      </c>
      <c r="V1165" s="2">
        <v>0.26</v>
      </c>
    </row>
    <row r="1166" spans="1:22" x14ac:dyDescent="0.25">
      <c r="A1166" t="s">
        <v>3214</v>
      </c>
      <c r="B1166" s="1">
        <v>42070</v>
      </c>
      <c r="C1166" s="1">
        <v>42073</v>
      </c>
      <c r="D1166" t="s">
        <v>56</v>
      </c>
      <c r="E1166" t="s">
        <v>2019</v>
      </c>
      <c r="F1166" t="s">
        <v>2020</v>
      </c>
      <c r="G1166" t="s">
        <v>70</v>
      </c>
      <c r="H1166" t="s">
        <v>27</v>
      </c>
      <c r="I1166" t="s">
        <v>1458</v>
      </c>
      <c r="J1166" t="s">
        <v>94</v>
      </c>
      <c r="K1166" t="s">
        <v>95</v>
      </c>
      <c r="L1166" t="s">
        <v>325</v>
      </c>
      <c r="M1166" t="s">
        <v>32</v>
      </c>
      <c r="N1166" t="s">
        <v>51</v>
      </c>
      <c r="O1166" t="s">
        <v>326</v>
      </c>
      <c r="P1166">
        <v>119.85</v>
      </c>
      <c r="Q1166">
        <v>3</v>
      </c>
      <c r="R1166">
        <v>52.734000000000002</v>
      </c>
      <c r="S1166" s="3" t="s">
        <v>172</v>
      </c>
      <c r="T1166">
        <v>2015</v>
      </c>
      <c r="U1166" t="s">
        <v>89</v>
      </c>
      <c r="V1166" s="2">
        <v>0.44</v>
      </c>
    </row>
    <row r="1167" spans="1:22" x14ac:dyDescent="0.25">
      <c r="A1167" t="s">
        <v>3214</v>
      </c>
      <c r="B1167" s="1">
        <v>42070</v>
      </c>
      <c r="C1167" s="1">
        <v>42073</v>
      </c>
      <c r="D1167" t="s">
        <v>56</v>
      </c>
      <c r="E1167" t="s">
        <v>2019</v>
      </c>
      <c r="F1167" t="s">
        <v>2020</v>
      </c>
      <c r="G1167" t="s">
        <v>70</v>
      </c>
      <c r="H1167" t="s">
        <v>27</v>
      </c>
      <c r="I1167" t="s">
        <v>1458</v>
      </c>
      <c r="J1167" t="s">
        <v>94</v>
      </c>
      <c r="K1167" t="s">
        <v>95</v>
      </c>
      <c r="L1167" t="s">
        <v>2461</v>
      </c>
      <c r="M1167" t="s">
        <v>32</v>
      </c>
      <c r="N1167" t="s">
        <v>33</v>
      </c>
      <c r="O1167" t="s">
        <v>2462</v>
      </c>
      <c r="P1167">
        <v>587.97</v>
      </c>
      <c r="Q1167">
        <v>3</v>
      </c>
      <c r="R1167">
        <v>170.51130000000001</v>
      </c>
      <c r="S1167" s="3" t="s">
        <v>172</v>
      </c>
      <c r="T1167">
        <v>2015</v>
      </c>
      <c r="U1167" t="s">
        <v>89</v>
      </c>
      <c r="V1167" s="2">
        <v>0.28999999999999998</v>
      </c>
    </row>
    <row r="1168" spans="1:22" x14ac:dyDescent="0.25">
      <c r="A1168" t="s">
        <v>3215</v>
      </c>
      <c r="B1168" s="1">
        <v>43042</v>
      </c>
      <c r="C1168" s="1">
        <v>43047</v>
      </c>
      <c r="D1168" t="s">
        <v>23</v>
      </c>
      <c r="E1168" t="s">
        <v>3216</v>
      </c>
      <c r="F1168" t="s">
        <v>3217</v>
      </c>
      <c r="G1168" t="s">
        <v>59</v>
      </c>
      <c r="H1168" t="s">
        <v>27</v>
      </c>
      <c r="I1168" t="s">
        <v>643</v>
      </c>
      <c r="J1168" t="s">
        <v>288</v>
      </c>
      <c r="K1168" t="s">
        <v>155</v>
      </c>
      <c r="L1168" t="s">
        <v>1137</v>
      </c>
      <c r="M1168" t="s">
        <v>32</v>
      </c>
      <c r="N1168" t="s">
        <v>33</v>
      </c>
      <c r="O1168" t="s">
        <v>1138</v>
      </c>
      <c r="P1168">
        <v>361.37599999999998</v>
      </c>
      <c r="Q1168">
        <v>2</v>
      </c>
      <c r="R1168">
        <v>27.103200000000001</v>
      </c>
      <c r="S1168" s="3" t="s">
        <v>35</v>
      </c>
      <c r="T1168">
        <v>2017</v>
      </c>
      <c r="U1168" t="s">
        <v>118</v>
      </c>
      <c r="V1168" s="2">
        <v>7.4999999999999997E-2</v>
      </c>
    </row>
    <row r="1169" spans="1:22" x14ac:dyDescent="0.25">
      <c r="A1169" t="s">
        <v>3218</v>
      </c>
      <c r="B1169" s="1">
        <v>42253</v>
      </c>
      <c r="C1169" s="1">
        <v>42259</v>
      </c>
      <c r="D1169" t="s">
        <v>23</v>
      </c>
      <c r="E1169" t="s">
        <v>120</v>
      </c>
      <c r="F1169" t="s">
        <v>121</v>
      </c>
      <c r="G1169" t="s">
        <v>59</v>
      </c>
      <c r="H1169" t="s">
        <v>27</v>
      </c>
      <c r="I1169" t="s">
        <v>103</v>
      </c>
      <c r="J1169" t="s">
        <v>104</v>
      </c>
      <c r="K1169" t="s">
        <v>95</v>
      </c>
      <c r="L1169" t="s">
        <v>1186</v>
      </c>
      <c r="M1169" t="s">
        <v>32</v>
      </c>
      <c r="N1169" t="s">
        <v>33</v>
      </c>
      <c r="O1169" t="s">
        <v>1187</v>
      </c>
      <c r="P1169">
        <v>337.98</v>
      </c>
      <c r="Q1169">
        <v>2</v>
      </c>
      <c r="R1169">
        <v>101.39400000000001</v>
      </c>
      <c r="S1169" s="3" t="s">
        <v>107</v>
      </c>
      <c r="T1169">
        <v>2015</v>
      </c>
      <c r="U1169" t="s">
        <v>81</v>
      </c>
      <c r="V1169" s="2">
        <v>0.3</v>
      </c>
    </row>
    <row r="1170" spans="1:22" x14ac:dyDescent="0.25">
      <c r="A1170" t="s">
        <v>3219</v>
      </c>
      <c r="B1170" s="1">
        <v>42758</v>
      </c>
      <c r="C1170" s="1">
        <v>42763</v>
      </c>
      <c r="D1170" t="s">
        <v>23</v>
      </c>
      <c r="E1170" t="s">
        <v>747</v>
      </c>
      <c r="F1170" t="s">
        <v>748</v>
      </c>
      <c r="G1170" t="s">
        <v>59</v>
      </c>
      <c r="H1170" t="s">
        <v>27</v>
      </c>
      <c r="I1170" t="s">
        <v>481</v>
      </c>
      <c r="J1170" t="s">
        <v>426</v>
      </c>
      <c r="K1170" t="s">
        <v>30</v>
      </c>
      <c r="L1170" t="s">
        <v>3082</v>
      </c>
      <c r="M1170" t="s">
        <v>32</v>
      </c>
      <c r="N1170" t="s">
        <v>33</v>
      </c>
      <c r="O1170" t="s">
        <v>3083</v>
      </c>
      <c r="P1170">
        <v>86.352000000000004</v>
      </c>
      <c r="Q1170">
        <v>6</v>
      </c>
      <c r="R1170">
        <v>8.6351999999999993</v>
      </c>
      <c r="S1170" s="3" t="s">
        <v>35</v>
      </c>
      <c r="T1170">
        <v>2017</v>
      </c>
      <c r="U1170" t="s">
        <v>54</v>
      </c>
      <c r="V1170" s="2">
        <v>0.1</v>
      </c>
    </row>
    <row r="1171" spans="1:22" x14ac:dyDescent="0.25">
      <c r="A1171" t="s">
        <v>3220</v>
      </c>
      <c r="B1171" s="1">
        <v>43060</v>
      </c>
      <c r="C1171" s="1">
        <v>43064</v>
      </c>
      <c r="D1171" t="s">
        <v>23</v>
      </c>
      <c r="E1171" t="s">
        <v>605</v>
      </c>
      <c r="F1171" t="s">
        <v>606</v>
      </c>
      <c r="G1171" t="s">
        <v>26</v>
      </c>
      <c r="H1171" t="s">
        <v>27</v>
      </c>
      <c r="I1171" t="s">
        <v>3221</v>
      </c>
      <c r="J1171" t="s">
        <v>426</v>
      </c>
      <c r="K1171" t="s">
        <v>30</v>
      </c>
      <c r="L1171" t="s">
        <v>3222</v>
      </c>
      <c r="M1171" t="s">
        <v>32</v>
      </c>
      <c r="N1171" t="s">
        <v>215</v>
      </c>
      <c r="O1171" t="s">
        <v>3223</v>
      </c>
      <c r="P1171">
        <v>1039.992</v>
      </c>
      <c r="Q1171">
        <v>1</v>
      </c>
      <c r="R1171">
        <v>103.9992</v>
      </c>
      <c r="S1171" s="3" t="s">
        <v>53</v>
      </c>
      <c r="T1171">
        <v>2017</v>
      </c>
      <c r="U1171" t="s">
        <v>118</v>
      </c>
      <c r="V1171" s="2">
        <v>0.1</v>
      </c>
    </row>
    <row r="1172" spans="1:22" x14ac:dyDescent="0.25">
      <c r="A1172" t="s">
        <v>3224</v>
      </c>
      <c r="B1172" s="1">
        <v>42829</v>
      </c>
      <c r="C1172" s="1">
        <v>42830</v>
      </c>
      <c r="D1172" t="s">
        <v>56</v>
      </c>
      <c r="E1172" t="s">
        <v>719</v>
      </c>
      <c r="F1172" t="s">
        <v>720</v>
      </c>
      <c r="G1172" t="s">
        <v>70</v>
      </c>
      <c r="H1172" t="s">
        <v>27</v>
      </c>
      <c r="I1172" t="s">
        <v>103</v>
      </c>
      <c r="J1172" t="s">
        <v>104</v>
      </c>
      <c r="K1172" t="s">
        <v>95</v>
      </c>
      <c r="L1172" t="s">
        <v>3225</v>
      </c>
      <c r="M1172" t="s">
        <v>32</v>
      </c>
      <c r="N1172" t="s">
        <v>33</v>
      </c>
      <c r="O1172" t="s">
        <v>3226</v>
      </c>
      <c r="P1172">
        <v>41.22</v>
      </c>
      <c r="Q1172">
        <v>1</v>
      </c>
      <c r="R1172">
        <v>11.1294</v>
      </c>
      <c r="S1172" s="3" t="s">
        <v>112</v>
      </c>
      <c r="T1172">
        <v>2017</v>
      </c>
      <c r="U1172" t="s">
        <v>291</v>
      </c>
      <c r="V1172" s="2">
        <v>0.27</v>
      </c>
    </row>
    <row r="1173" spans="1:22" x14ac:dyDescent="0.25">
      <c r="A1173" t="s">
        <v>3224</v>
      </c>
      <c r="B1173" s="1">
        <v>42829</v>
      </c>
      <c r="C1173" s="1">
        <v>42830</v>
      </c>
      <c r="D1173" t="s">
        <v>56</v>
      </c>
      <c r="E1173" t="s">
        <v>719</v>
      </c>
      <c r="F1173" t="s">
        <v>720</v>
      </c>
      <c r="G1173" t="s">
        <v>70</v>
      </c>
      <c r="H1173" t="s">
        <v>27</v>
      </c>
      <c r="I1173" t="s">
        <v>103</v>
      </c>
      <c r="J1173" t="s">
        <v>104</v>
      </c>
      <c r="K1173" t="s">
        <v>95</v>
      </c>
      <c r="L1173" t="s">
        <v>567</v>
      </c>
      <c r="M1173" t="s">
        <v>32</v>
      </c>
      <c r="N1173" t="s">
        <v>33</v>
      </c>
      <c r="O1173" t="s">
        <v>568</v>
      </c>
      <c r="P1173">
        <v>119.02</v>
      </c>
      <c r="Q1173">
        <v>2</v>
      </c>
      <c r="R1173">
        <v>33.325600000000001</v>
      </c>
      <c r="S1173" s="3" t="s">
        <v>112</v>
      </c>
      <c r="T1173">
        <v>2017</v>
      </c>
      <c r="U1173" t="s">
        <v>291</v>
      </c>
      <c r="V1173" s="2">
        <v>0.28000000000000003</v>
      </c>
    </row>
    <row r="1174" spans="1:22" x14ac:dyDescent="0.25">
      <c r="A1174" t="s">
        <v>3227</v>
      </c>
      <c r="B1174" s="1">
        <v>43011</v>
      </c>
      <c r="C1174" s="1">
        <v>43013</v>
      </c>
      <c r="D1174" t="s">
        <v>40</v>
      </c>
      <c r="E1174" t="s">
        <v>837</v>
      </c>
      <c r="F1174" t="s">
        <v>838</v>
      </c>
      <c r="G1174" t="s">
        <v>70</v>
      </c>
      <c r="H1174" t="s">
        <v>27</v>
      </c>
      <c r="I1174" t="s">
        <v>103</v>
      </c>
      <c r="J1174" t="s">
        <v>104</v>
      </c>
      <c r="K1174" t="s">
        <v>95</v>
      </c>
      <c r="L1174" t="s">
        <v>841</v>
      </c>
      <c r="M1174" t="s">
        <v>32</v>
      </c>
      <c r="N1174" t="s">
        <v>51</v>
      </c>
      <c r="O1174" t="s">
        <v>842</v>
      </c>
      <c r="P1174">
        <v>371.97</v>
      </c>
      <c r="Q1174">
        <v>3</v>
      </c>
      <c r="R1174">
        <v>66.954599999999999</v>
      </c>
      <c r="S1174" s="3" t="s">
        <v>65</v>
      </c>
      <c r="T1174">
        <v>2017</v>
      </c>
      <c r="U1174" t="s">
        <v>133</v>
      </c>
      <c r="V1174" s="2">
        <v>0.18</v>
      </c>
    </row>
    <row r="1175" spans="1:22" x14ac:dyDescent="0.25">
      <c r="A1175" t="s">
        <v>3228</v>
      </c>
      <c r="B1175" s="1">
        <v>42835</v>
      </c>
      <c r="C1175" s="1">
        <v>42839</v>
      </c>
      <c r="D1175" t="s">
        <v>23</v>
      </c>
      <c r="E1175" t="s">
        <v>3229</v>
      </c>
      <c r="F1175" t="s">
        <v>3230</v>
      </c>
      <c r="G1175" t="s">
        <v>70</v>
      </c>
      <c r="H1175" t="s">
        <v>27</v>
      </c>
      <c r="I1175" t="s">
        <v>3231</v>
      </c>
      <c r="J1175" t="s">
        <v>1451</v>
      </c>
      <c r="K1175" t="s">
        <v>95</v>
      </c>
      <c r="L1175" t="s">
        <v>482</v>
      </c>
      <c r="M1175" t="s">
        <v>32</v>
      </c>
      <c r="N1175" t="s">
        <v>51</v>
      </c>
      <c r="O1175" t="s">
        <v>483</v>
      </c>
      <c r="P1175">
        <v>99.99</v>
      </c>
      <c r="Q1175">
        <v>1</v>
      </c>
      <c r="R1175">
        <v>41.995800000000003</v>
      </c>
      <c r="S1175" s="3" t="s">
        <v>53</v>
      </c>
      <c r="T1175">
        <v>2017</v>
      </c>
      <c r="U1175" t="s">
        <v>291</v>
      </c>
      <c r="V1175" s="2">
        <v>0.42</v>
      </c>
    </row>
    <row r="1176" spans="1:22" x14ac:dyDescent="0.25">
      <c r="A1176" t="s">
        <v>3232</v>
      </c>
      <c r="B1176" s="1">
        <v>42458</v>
      </c>
      <c r="C1176" s="1">
        <v>42462</v>
      </c>
      <c r="D1176" t="s">
        <v>23</v>
      </c>
      <c r="E1176" t="s">
        <v>3233</v>
      </c>
      <c r="F1176" t="s">
        <v>3234</v>
      </c>
      <c r="G1176" t="s">
        <v>26</v>
      </c>
      <c r="H1176" t="s">
        <v>27</v>
      </c>
      <c r="I1176" t="s">
        <v>946</v>
      </c>
      <c r="J1176" t="s">
        <v>177</v>
      </c>
      <c r="K1176" t="s">
        <v>95</v>
      </c>
      <c r="L1176" t="s">
        <v>1726</v>
      </c>
      <c r="M1176" t="s">
        <v>32</v>
      </c>
      <c r="N1176" t="s">
        <v>33</v>
      </c>
      <c r="O1176" t="s">
        <v>1727</v>
      </c>
      <c r="P1176">
        <v>158.376</v>
      </c>
      <c r="Q1176">
        <v>4</v>
      </c>
      <c r="R1176">
        <v>-36.9544</v>
      </c>
      <c r="S1176" s="3" t="s">
        <v>53</v>
      </c>
      <c r="T1176">
        <v>2016</v>
      </c>
      <c r="U1176" t="s">
        <v>89</v>
      </c>
      <c r="V1176" s="2">
        <v>-0.233333333333333</v>
      </c>
    </row>
    <row r="1177" spans="1:22" x14ac:dyDescent="0.25">
      <c r="A1177" t="s">
        <v>3235</v>
      </c>
      <c r="B1177" s="1">
        <v>42750</v>
      </c>
      <c r="C1177" s="1">
        <v>42753</v>
      </c>
      <c r="D1177" t="s">
        <v>56</v>
      </c>
      <c r="E1177" t="s">
        <v>1779</v>
      </c>
      <c r="F1177" t="s">
        <v>1780</v>
      </c>
      <c r="G1177" t="s">
        <v>26</v>
      </c>
      <c r="H1177" t="s">
        <v>27</v>
      </c>
      <c r="I1177" t="s">
        <v>715</v>
      </c>
      <c r="J1177" t="s">
        <v>61</v>
      </c>
      <c r="K1177" t="s">
        <v>62</v>
      </c>
      <c r="L1177" t="s">
        <v>330</v>
      </c>
      <c r="M1177" t="s">
        <v>32</v>
      </c>
      <c r="N1177" t="s">
        <v>51</v>
      </c>
      <c r="O1177" t="s">
        <v>331</v>
      </c>
      <c r="P1177">
        <v>47.984000000000002</v>
      </c>
      <c r="Q1177">
        <v>2</v>
      </c>
      <c r="R1177">
        <v>14.395200000000001</v>
      </c>
      <c r="S1177" s="3" t="s">
        <v>172</v>
      </c>
      <c r="T1177">
        <v>2017</v>
      </c>
      <c r="U1177" t="s">
        <v>54</v>
      </c>
      <c r="V1177" s="2">
        <v>0.3</v>
      </c>
    </row>
    <row r="1178" spans="1:22" x14ac:dyDescent="0.25">
      <c r="A1178" t="s">
        <v>3235</v>
      </c>
      <c r="B1178" s="1">
        <v>42750</v>
      </c>
      <c r="C1178" s="1">
        <v>42753</v>
      </c>
      <c r="D1178" t="s">
        <v>56</v>
      </c>
      <c r="E1178" t="s">
        <v>1779</v>
      </c>
      <c r="F1178" t="s">
        <v>1780</v>
      </c>
      <c r="G1178" t="s">
        <v>26</v>
      </c>
      <c r="H1178" t="s">
        <v>27</v>
      </c>
      <c r="I1178" t="s">
        <v>715</v>
      </c>
      <c r="J1178" t="s">
        <v>61</v>
      </c>
      <c r="K1178" t="s">
        <v>62</v>
      </c>
      <c r="L1178" t="s">
        <v>2444</v>
      </c>
      <c r="M1178" t="s">
        <v>32</v>
      </c>
      <c r="N1178" t="s">
        <v>51</v>
      </c>
      <c r="O1178" t="s">
        <v>2445</v>
      </c>
      <c r="P1178">
        <v>62.591999999999999</v>
      </c>
      <c r="Q1178">
        <v>8</v>
      </c>
      <c r="R1178">
        <v>13.300800000000001</v>
      </c>
      <c r="S1178" s="3" t="s">
        <v>172</v>
      </c>
      <c r="T1178">
        <v>2017</v>
      </c>
      <c r="U1178" t="s">
        <v>54</v>
      </c>
      <c r="V1178" s="2">
        <v>0.21249999999999999</v>
      </c>
    </row>
    <row r="1179" spans="1:22" x14ac:dyDescent="0.25">
      <c r="A1179" t="s">
        <v>3236</v>
      </c>
      <c r="B1179" s="1">
        <v>42953</v>
      </c>
      <c r="C1179" s="1">
        <v>42959</v>
      </c>
      <c r="D1179" t="s">
        <v>23</v>
      </c>
      <c r="E1179" t="s">
        <v>1708</v>
      </c>
      <c r="F1179" t="s">
        <v>1709</v>
      </c>
      <c r="G1179" t="s">
        <v>70</v>
      </c>
      <c r="H1179" t="s">
        <v>27</v>
      </c>
      <c r="I1179" t="s">
        <v>839</v>
      </c>
      <c r="J1179" t="s">
        <v>840</v>
      </c>
      <c r="K1179" t="s">
        <v>95</v>
      </c>
      <c r="L1179" t="s">
        <v>1891</v>
      </c>
      <c r="M1179" t="s">
        <v>32</v>
      </c>
      <c r="N1179" t="s">
        <v>33</v>
      </c>
      <c r="O1179" t="s">
        <v>1892</v>
      </c>
      <c r="P1179">
        <v>824.95</v>
      </c>
      <c r="Q1179">
        <v>5</v>
      </c>
      <c r="R1179">
        <v>247.48500000000001</v>
      </c>
      <c r="S1179" s="3" t="s">
        <v>107</v>
      </c>
      <c r="T1179">
        <v>2017</v>
      </c>
      <c r="U1179" t="s">
        <v>46</v>
      </c>
      <c r="V1179" s="2">
        <v>0.3</v>
      </c>
    </row>
    <row r="1180" spans="1:22" x14ac:dyDescent="0.25">
      <c r="A1180" t="s">
        <v>3237</v>
      </c>
      <c r="B1180" s="1">
        <v>42338</v>
      </c>
      <c r="C1180" s="1">
        <v>42343</v>
      </c>
      <c r="D1180" t="s">
        <v>23</v>
      </c>
      <c r="E1180" t="s">
        <v>1388</v>
      </c>
      <c r="F1180" t="s">
        <v>1389</v>
      </c>
      <c r="G1180" t="s">
        <v>26</v>
      </c>
      <c r="H1180" t="s">
        <v>27</v>
      </c>
      <c r="I1180" t="s">
        <v>1425</v>
      </c>
      <c r="J1180" t="s">
        <v>154</v>
      </c>
      <c r="K1180" t="s">
        <v>155</v>
      </c>
      <c r="L1180" t="s">
        <v>1497</v>
      </c>
      <c r="M1180" t="s">
        <v>32</v>
      </c>
      <c r="N1180" t="s">
        <v>33</v>
      </c>
      <c r="O1180" t="s">
        <v>1498</v>
      </c>
      <c r="P1180">
        <v>177.48</v>
      </c>
      <c r="Q1180">
        <v>3</v>
      </c>
      <c r="R1180">
        <v>19.9665</v>
      </c>
      <c r="S1180" s="3" t="s">
        <v>35</v>
      </c>
      <c r="T1180">
        <v>2015</v>
      </c>
      <c r="U1180" t="s">
        <v>118</v>
      </c>
      <c r="V1180" s="2">
        <v>0.1125</v>
      </c>
    </row>
    <row r="1181" spans="1:22" x14ac:dyDescent="0.25">
      <c r="A1181" t="s">
        <v>3238</v>
      </c>
      <c r="B1181" s="1">
        <v>42869</v>
      </c>
      <c r="C1181" s="1">
        <v>42870</v>
      </c>
      <c r="D1181" t="s">
        <v>56</v>
      </c>
      <c r="E1181" t="s">
        <v>938</v>
      </c>
      <c r="F1181" t="s">
        <v>939</v>
      </c>
      <c r="G1181" t="s">
        <v>26</v>
      </c>
      <c r="H1181" t="s">
        <v>27</v>
      </c>
      <c r="I1181" t="s">
        <v>71</v>
      </c>
      <c r="J1181" t="s">
        <v>61</v>
      </c>
      <c r="K1181" t="s">
        <v>62</v>
      </c>
      <c r="L1181" t="s">
        <v>2320</v>
      </c>
      <c r="M1181" t="s">
        <v>32</v>
      </c>
      <c r="N1181" t="s">
        <v>33</v>
      </c>
      <c r="O1181" t="s">
        <v>2321</v>
      </c>
      <c r="P1181">
        <v>7.992</v>
      </c>
      <c r="Q1181">
        <v>1</v>
      </c>
      <c r="R1181">
        <v>0.69930000000000003</v>
      </c>
      <c r="S1181" s="3" t="s">
        <v>112</v>
      </c>
      <c r="T1181">
        <v>2017</v>
      </c>
      <c r="U1181" t="s">
        <v>527</v>
      </c>
      <c r="V1181" s="2">
        <v>8.7499999999999994E-2</v>
      </c>
    </row>
    <row r="1182" spans="1:22" x14ac:dyDescent="0.25">
      <c r="A1182" t="s">
        <v>3239</v>
      </c>
      <c r="B1182" s="1">
        <v>42964</v>
      </c>
      <c r="C1182" s="1">
        <v>42970</v>
      </c>
      <c r="D1182" t="s">
        <v>23</v>
      </c>
      <c r="E1182" t="s">
        <v>3021</v>
      </c>
      <c r="F1182" t="s">
        <v>3022</v>
      </c>
      <c r="G1182" t="s">
        <v>70</v>
      </c>
      <c r="H1182" t="s">
        <v>27</v>
      </c>
      <c r="I1182" t="s">
        <v>444</v>
      </c>
      <c r="J1182" t="s">
        <v>804</v>
      </c>
      <c r="K1182" t="s">
        <v>155</v>
      </c>
      <c r="L1182" t="s">
        <v>1161</v>
      </c>
      <c r="M1182" t="s">
        <v>32</v>
      </c>
      <c r="N1182" t="s">
        <v>51</v>
      </c>
      <c r="O1182" t="s">
        <v>1162</v>
      </c>
      <c r="P1182">
        <v>98.16</v>
      </c>
      <c r="Q1182">
        <v>6</v>
      </c>
      <c r="R1182">
        <v>9.8160000000000007</v>
      </c>
      <c r="S1182" s="3" t="s">
        <v>107</v>
      </c>
      <c r="T1182">
        <v>2017</v>
      </c>
      <c r="U1182" t="s">
        <v>46</v>
      </c>
      <c r="V1182" s="2">
        <v>0.1</v>
      </c>
    </row>
    <row r="1183" spans="1:22" x14ac:dyDescent="0.25">
      <c r="A1183" t="s">
        <v>3240</v>
      </c>
      <c r="B1183" s="1">
        <v>42437</v>
      </c>
      <c r="C1183" s="1">
        <v>42441</v>
      </c>
      <c r="D1183" t="s">
        <v>23</v>
      </c>
      <c r="E1183" t="s">
        <v>1987</v>
      </c>
      <c r="F1183" t="s">
        <v>1988</v>
      </c>
      <c r="G1183" t="s">
        <v>26</v>
      </c>
      <c r="H1183" t="s">
        <v>27</v>
      </c>
      <c r="I1183" t="s">
        <v>206</v>
      </c>
      <c r="J1183" t="s">
        <v>207</v>
      </c>
      <c r="K1183" t="s">
        <v>95</v>
      </c>
      <c r="L1183" t="s">
        <v>1897</v>
      </c>
      <c r="M1183" t="s">
        <v>32</v>
      </c>
      <c r="N1183" t="s">
        <v>33</v>
      </c>
      <c r="O1183" t="s">
        <v>1898</v>
      </c>
      <c r="P1183">
        <v>108.57599999999999</v>
      </c>
      <c r="Q1183">
        <v>4</v>
      </c>
      <c r="R1183">
        <v>-25.334399999999999</v>
      </c>
      <c r="S1183" s="3" t="s">
        <v>53</v>
      </c>
      <c r="T1183">
        <v>2016</v>
      </c>
      <c r="U1183" t="s">
        <v>89</v>
      </c>
      <c r="V1183" s="2">
        <v>-0.233333333333333</v>
      </c>
    </row>
    <row r="1184" spans="1:22" x14ac:dyDescent="0.25">
      <c r="A1184" t="s">
        <v>3241</v>
      </c>
      <c r="B1184" s="1">
        <v>41846</v>
      </c>
      <c r="C1184" s="1">
        <v>41852</v>
      </c>
      <c r="D1184" t="s">
        <v>23</v>
      </c>
      <c r="E1184" t="s">
        <v>2500</v>
      </c>
      <c r="F1184" t="s">
        <v>2501</v>
      </c>
      <c r="G1184" t="s">
        <v>59</v>
      </c>
      <c r="H1184" t="s">
        <v>27</v>
      </c>
      <c r="I1184" t="s">
        <v>2984</v>
      </c>
      <c r="J1184" t="s">
        <v>1167</v>
      </c>
      <c r="K1184" t="s">
        <v>30</v>
      </c>
      <c r="L1184" t="s">
        <v>1364</v>
      </c>
      <c r="M1184" t="s">
        <v>32</v>
      </c>
      <c r="N1184" t="s">
        <v>51</v>
      </c>
      <c r="O1184" t="s">
        <v>1365</v>
      </c>
      <c r="P1184">
        <v>111.93</v>
      </c>
      <c r="Q1184">
        <v>7</v>
      </c>
      <c r="R1184">
        <v>34.698300000000003</v>
      </c>
      <c r="S1184" s="3" t="s">
        <v>107</v>
      </c>
      <c r="T1184">
        <v>2014</v>
      </c>
      <c r="U1184" t="s">
        <v>332</v>
      </c>
      <c r="V1184" s="2">
        <v>0.31</v>
      </c>
    </row>
    <row r="1185" spans="1:22" x14ac:dyDescent="0.25">
      <c r="A1185" t="s">
        <v>3242</v>
      </c>
      <c r="B1185" s="1">
        <v>42513</v>
      </c>
      <c r="C1185" s="1">
        <v>42517</v>
      </c>
      <c r="D1185" t="s">
        <v>23</v>
      </c>
      <c r="E1185" t="s">
        <v>2479</v>
      </c>
      <c r="F1185" t="s">
        <v>2480</v>
      </c>
      <c r="G1185" t="s">
        <v>26</v>
      </c>
      <c r="H1185" t="s">
        <v>27</v>
      </c>
      <c r="I1185" t="s">
        <v>206</v>
      </c>
      <c r="J1185" t="s">
        <v>207</v>
      </c>
      <c r="K1185" t="s">
        <v>95</v>
      </c>
      <c r="L1185" t="s">
        <v>1869</v>
      </c>
      <c r="M1185" t="s">
        <v>32</v>
      </c>
      <c r="N1185" t="s">
        <v>381</v>
      </c>
      <c r="O1185" t="s">
        <v>1870</v>
      </c>
      <c r="P1185">
        <v>8399.9760000000006</v>
      </c>
      <c r="Q1185">
        <v>4</v>
      </c>
      <c r="R1185">
        <v>1119.9967999999999</v>
      </c>
      <c r="S1185" s="3" t="s">
        <v>53</v>
      </c>
      <c r="T1185">
        <v>2016</v>
      </c>
      <c r="U1185" t="s">
        <v>527</v>
      </c>
      <c r="V1185" s="2">
        <v>0.133333333333333</v>
      </c>
    </row>
    <row r="1186" spans="1:22" x14ac:dyDescent="0.25">
      <c r="A1186" t="s">
        <v>3242</v>
      </c>
      <c r="B1186" s="1">
        <v>42513</v>
      </c>
      <c r="C1186" s="1">
        <v>42517</v>
      </c>
      <c r="D1186" t="s">
        <v>23</v>
      </c>
      <c r="E1186" t="s">
        <v>2479</v>
      </c>
      <c r="F1186" t="s">
        <v>2480</v>
      </c>
      <c r="G1186" t="s">
        <v>26</v>
      </c>
      <c r="H1186" t="s">
        <v>27</v>
      </c>
      <c r="I1186" t="s">
        <v>206</v>
      </c>
      <c r="J1186" t="s">
        <v>207</v>
      </c>
      <c r="K1186" t="s">
        <v>95</v>
      </c>
      <c r="L1186" t="s">
        <v>3243</v>
      </c>
      <c r="M1186" t="s">
        <v>32</v>
      </c>
      <c r="N1186" t="s">
        <v>33</v>
      </c>
      <c r="O1186" t="s">
        <v>3244</v>
      </c>
      <c r="P1186">
        <v>122.38200000000001</v>
      </c>
      <c r="Q1186">
        <v>3</v>
      </c>
      <c r="R1186">
        <v>-24.476400000000002</v>
      </c>
      <c r="S1186" s="3" t="s">
        <v>53</v>
      </c>
      <c r="T1186">
        <v>2016</v>
      </c>
      <c r="U1186" t="s">
        <v>527</v>
      </c>
      <c r="V1186" s="2">
        <v>-0.2</v>
      </c>
    </row>
    <row r="1187" spans="1:22" x14ac:dyDescent="0.25">
      <c r="A1187" t="s">
        <v>3245</v>
      </c>
      <c r="B1187" s="1">
        <v>42093</v>
      </c>
      <c r="C1187" s="1">
        <v>42098</v>
      </c>
      <c r="D1187" t="s">
        <v>23</v>
      </c>
      <c r="E1187" t="s">
        <v>3246</v>
      </c>
      <c r="F1187" t="s">
        <v>3247</v>
      </c>
      <c r="G1187" t="s">
        <v>59</v>
      </c>
      <c r="H1187" t="s">
        <v>27</v>
      </c>
      <c r="I1187" t="s">
        <v>140</v>
      </c>
      <c r="J1187" t="s">
        <v>78</v>
      </c>
      <c r="K1187" t="s">
        <v>62</v>
      </c>
      <c r="L1187" t="s">
        <v>1897</v>
      </c>
      <c r="M1187" t="s">
        <v>32</v>
      </c>
      <c r="N1187" t="s">
        <v>33</v>
      </c>
      <c r="O1187" t="s">
        <v>1898</v>
      </c>
      <c r="P1187">
        <v>180.96</v>
      </c>
      <c r="Q1187">
        <v>5</v>
      </c>
      <c r="R1187">
        <v>13.571999999999999</v>
      </c>
      <c r="S1187" s="3" t="s">
        <v>35</v>
      </c>
      <c r="T1187">
        <v>2015</v>
      </c>
      <c r="U1187" t="s">
        <v>89</v>
      </c>
      <c r="V1187" s="2">
        <v>7.4999999999999997E-2</v>
      </c>
    </row>
    <row r="1188" spans="1:22" x14ac:dyDescent="0.25">
      <c r="A1188" t="s">
        <v>3248</v>
      </c>
      <c r="B1188" s="1">
        <v>42882</v>
      </c>
      <c r="C1188" s="1">
        <v>42884</v>
      </c>
      <c r="D1188" t="s">
        <v>56</v>
      </c>
      <c r="E1188" t="s">
        <v>1304</v>
      </c>
      <c r="F1188" t="s">
        <v>1305</v>
      </c>
      <c r="G1188" t="s">
        <v>26</v>
      </c>
      <c r="H1188" t="s">
        <v>27</v>
      </c>
      <c r="I1188" t="s">
        <v>3027</v>
      </c>
      <c r="J1188" t="s">
        <v>2574</v>
      </c>
      <c r="K1188" t="s">
        <v>30</v>
      </c>
      <c r="L1188" t="s">
        <v>2000</v>
      </c>
      <c r="M1188" t="s">
        <v>32</v>
      </c>
      <c r="N1188" t="s">
        <v>33</v>
      </c>
      <c r="O1188" t="s">
        <v>2001</v>
      </c>
      <c r="P1188">
        <v>302.37599999999998</v>
      </c>
      <c r="Q1188">
        <v>3</v>
      </c>
      <c r="R1188">
        <v>22.6782</v>
      </c>
      <c r="S1188" s="3" t="s">
        <v>65</v>
      </c>
      <c r="T1188">
        <v>2017</v>
      </c>
      <c r="U1188" t="s">
        <v>527</v>
      </c>
      <c r="V1188" s="2">
        <v>7.4999999999999997E-2</v>
      </c>
    </row>
    <row r="1189" spans="1:22" x14ac:dyDescent="0.25">
      <c r="A1189" t="s">
        <v>3249</v>
      </c>
      <c r="B1189" s="1">
        <v>42357</v>
      </c>
      <c r="C1189" s="1">
        <v>42361</v>
      </c>
      <c r="D1189" t="s">
        <v>40</v>
      </c>
      <c r="E1189" t="s">
        <v>2202</v>
      </c>
      <c r="F1189" t="s">
        <v>2203</v>
      </c>
      <c r="G1189" t="s">
        <v>26</v>
      </c>
      <c r="H1189" t="s">
        <v>27</v>
      </c>
      <c r="I1189" t="s">
        <v>3250</v>
      </c>
      <c r="J1189" t="s">
        <v>78</v>
      </c>
      <c r="K1189" t="s">
        <v>62</v>
      </c>
      <c r="L1189" t="s">
        <v>1191</v>
      </c>
      <c r="M1189" t="s">
        <v>32</v>
      </c>
      <c r="N1189" t="s">
        <v>33</v>
      </c>
      <c r="O1189" t="s">
        <v>1192</v>
      </c>
      <c r="P1189">
        <v>158.376</v>
      </c>
      <c r="Q1189">
        <v>3</v>
      </c>
      <c r="R1189">
        <v>13.857900000000001</v>
      </c>
      <c r="S1189" s="3" t="s">
        <v>53</v>
      </c>
      <c r="T1189">
        <v>2015</v>
      </c>
      <c r="U1189" t="s">
        <v>66</v>
      </c>
      <c r="V1189" s="2">
        <v>8.7499999999999994E-2</v>
      </c>
    </row>
    <row r="1190" spans="1:22" x14ac:dyDescent="0.25">
      <c r="A1190" t="s">
        <v>3251</v>
      </c>
      <c r="B1190" s="1">
        <v>41856</v>
      </c>
      <c r="C1190" s="1">
        <v>41862</v>
      </c>
      <c r="D1190" t="s">
        <v>23</v>
      </c>
      <c r="E1190" t="s">
        <v>3252</v>
      </c>
      <c r="F1190" t="s">
        <v>3253</v>
      </c>
      <c r="G1190" t="s">
        <v>59</v>
      </c>
      <c r="H1190" t="s">
        <v>27</v>
      </c>
      <c r="I1190" t="s">
        <v>103</v>
      </c>
      <c r="J1190" t="s">
        <v>104</v>
      </c>
      <c r="K1190" t="s">
        <v>95</v>
      </c>
      <c r="L1190" t="s">
        <v>1580</v>
      </c>
      <c r="M1190" t="s">
        <v>32</v>
      </c>
      <c r="N1190" t="s">
        <v>33</v>
      </c>
      <c r="O1190" t="s">
        <v>1581</v>
      </c>
      <c r="P1190">
        <v>135.99</v>
      </c>
      <c r="Q1190">
        <v>1</v>
      </c>
      <c r="R1190">
        <v>36.717300000000002</v>
      </c>
      <c r="S1190" s="3" t="s">
        <v>107</v>
      </c>
      <c r="T1190">
        <v>2014</v>
      </c>
      <c r="U1190" t="s">
        <v>46</v>
      </c>
      <c r="V1190" s="2">
        <v>0.27</v>
      </c>
    </row>
    <row r="1191" spans="1:22" x14ac:dyDescent="0.25">
      <c r="A1191" t="s">
        <v>3254</v>
      </c>
      <c r="B1191" s="1">
        <v>42869</v>
      </c>
      <c r="C1191" s="1">
        <v>42872</v>
      </c>
      <c r="D1191" t="s">
        <v>56</v>
      </c>
      <c r="E1191" t="s">
        <v>3255</v>
      </c>
      <c r="F1191" t="s">
        <v>3256</v>
      </c>
      <c r="G1191" t="s">
        <v>59</v>
      </c>
      <c r="H1191" t="s">
        <v>27</v>
      </c>
      <c r="I1191" t="s">
        <v>2568</v>
      </c>
      <c r="J1191" t="s">
        <v>1035</v>
      </c>
      <c r="K1191" t="s">
        <v>95</v>
      </c>
      <c r="L1191" t="s">
        <v>1269</v>
      </c>
      <c r="M1191" t="s">
        <v>32</v>
      </c>
      <c r="N1191" t="s">
        <v>51</v>
      </c>
      <c r="O1191" t="s">
        <v>1270</v>
      </c>
      <c r="P1191">
        <v>89.97</v>
      </c>
      <c r="Q1191">
        <v>3</v>
      </c>
      <c r="R1191">
        <v>18.893699999999999</v>
      </c>
      <c r="S1191" s="3" t="s">
        <v>172</v>
      </c>
      <c r="T1191">
        <v>2017</v>
      </c>
      <c r="U1191" t="s">
        <v>527</v>
      </c>
      <c r="V1191" s="2">
        <v>0.21</v>
      </c>
    </row>
    <row r="1192" spans="1:22" x14ac:dyDescent="0.25">
      <c r="A1192" t="s">
        <v>3257</v>
      </c>
      <c r="B1192" s="1">
        <v>42877</v>
      </c>
      <c r="C1192" s="1">
        <v>42880</v>
      </c>
      <c r="D1192" t="s">
        <v>40</v>
      </c>
      <c r="E1192" t="s">
        <v>48</v>
      </c>
      <c r="F1192" t="s">
        <v>49</v>
      </c>
      <c r="G1192" t="s">
        <v>26</v>
      </c>
      <c r="H1192" t="s">
        <v>27</v>
      </c>
      <c r="I1192" t="s">
        <v>28</v>
      </c>
      <c r="J1192" t="s">
        <v>29</v>
      </c>
      <c r="K1192" t="s">
        <v>30</v>
      </c>
      <c r="L1192" t="s">
        <v>2444</v>
      </c>
      <c r="M1192" t="s">
        <v>32</v>
      </c>
      <c r="N1192" t="s">
        <v>51</v>
      </c>
      <c r="O1192" t="s">
        <v>2445</v>
      </c>
      <c r="P1192">
        <v>68.459999999999994</v>
      </c>
      <c r="Q1192">
        <v>7</v>
      </c>
      <c r="R1192">
        <v>25.330200000000001</v>
      </c>
      <c r="S1192" s="3" t="s">
        <v>172</v>
      </c>
      <c r="T1192">
        <v>2017</v>
      </c>
      <c r="U1192" t="s">
        <v>527</v>
      </c>
      <c r="V1192" s="2">
        <v>0.37</v>
      </c>
    </row>
    <row r="1193" spans="1:22" x14ac:dyDescent="0.25">
      <c r="A1193" t="s">
        <v>3258</v>
      </c>
      <c r="B1193" s="1">
        <v>42706</v>
      </c>
      <c r="C1193" s="1">
        <v>42712</v>
      </c>
      <c r="D1193" t="s">
        <v>23</v>
      </c>
      <c r="E1193" t="s">
        <v>1576</v>
      </c>
      <c r="F1193" t="s">
        <v>1577</v>
      </c>
      <c r="G1193" t="s">
        <v>70</v>
      </c>
      <c r="H1193" t="s">
        <v>27</v>
      </c>
      <c r="I1193" t="s">
        <v>2668</v>
      </c>
      <c r="J1193" t="s">
        <v>1721</v>
      </c>
      <c r="K1193" t="s">
        <v>95</v>
      </c>
      <c r="L1193" t="s">
        <v>1290</v>
      </c>
      <c r="M1193" t="s">
        <v>32</v>
      </c>
      <c r="N1193" t="s">
        <v>33</v>
      </c>
      <c r="O1193" t="s">
        <v>1291</v>
      </c>
      <c r="P1193">
        <v>629.95000000000005</v>
      </c>
      <c r="Q1193">
        <v>5</v>
      </c>
      <c r="R1193">
        <v>176.386</v>
      </c>
      <c r="S1193" s="3" t="s">
        <v>107</v>
      </c>
      <c r="T1193">
        <v>2016</v>
      </c>
      <c r="U1193" t="s">
        <v>66</v>
      </c>
      <c r="V1193" s="2">
        <v>0.28000000000000003</v>
      </c>
    </row>
    <row r="1194" spans="1:22" x14ac:dyDescent="0.25">
      <c r="A1194" t="s">
        <v>3259</v>
      </c>
      <c r="B1194" s="1">
        <v>42245</v>
      </c>
      <c r="C1194" s="1">
        <v>42249</v>
      </c>
      <c r="D1194" t="s">
        <v>23</v>
      </c>
      <c r="E1194" t="s">
        <v>2092</v>
      </c>
      <c r="F1194" t="s">
        <v>2093</v>
      </c>
      <c r="G1194" t="s">
        <v>70</v>
      </c>
      <c r="H1194" t="s">
        <v>27</v>
      </c>
      <c r="I1194" t="s">
        <v>851</v>
      </c>
      <c r="J1194" t="s">
        <v>256</v>
      </c>
      <c r="K1194" t="s">
        <v>62</v>
      </c>
      <c r="L1194" t="s">
        <v>1191</v>
      </c>
      <c r="M1194" t="s">
        <v>32</v>
      </c>
      <c r="N1194" t="s">
        <v>33</v>
      </c>
      <c r="O1194" t="s">
        <v>1192</v>
      </c>
      <c r="P1194">
        <v>131.97999999999999</v>
      </c>
      <c r="Q1194">
        <v>2</v>
      </c>
      <c r="R1194">
        <v>35.634599999999999</v>
      </c>
      <c r="S1194" s="3" t="s">
        <v>53</v>
      </c>
      <c r="T1194">
        <v>2015</v>
      </c>
      <c r="U1194" t="s">
        <v>46</v>
      </c>
      <c r="V1194" s="2">
        <v>0.27</v>
      </c>
    </row>
    <row r="1195" spans="1:22" x14ac:dyDescent="0.25">
      <c r="A1195" t="s">
        <v>3259</v>
      </c>
      <c r="B1195" s="1">
        <v>42245</v>
      </c>
      <c r="C1195" s="1">
        <v>42249</v>
      </c>
      <c r="D1195" t="s">
        <v>23</v>
      </c>
      <c r="E1195" t="s">
        <v>2092</v>
      </c>
      <c r="F1195" t="s">
        <v>2093</v>
      </c>
      <c r="G1195" t="s">
        <v>70</v>
      </c>
      <c r="H1195" t="s">
        <v>27</v>
      </c>
      <c r="I1195" t="s">
        <v>851</v>
      </c>
      <c r="J1195" t="s">
        <v>256</v>
      </c>
      <c r="K1195" t="s">
        <v>62</v>
      </c>
      <c r="L1195" t="s">
        <v>1161</v>
      </c>
      <c r="M1195" t="s">
        <v>32</v>
      </c>
      <c r="N1195" t="s">
        <v>51</v>
      </c>
      <c r="O1195" t="s">
        <v>1162</v>
      </c>
      <c r="P1195">
        <v>114.52</v>
      </c>
      <c r="Q1195">
        <v>7</v>
      </c>
      <c r="R1195">
        <v>11.452</v>
      </c>
      <c r="S1195" s="3" t="s">
        <v>53</v>
      </c>
      <c r="T1195">
        <v>2015</v>
      </c>
      <c r="U1195" t="s">
        <v>46</v>
      </c>
      <c r="V1195" s="2">
        <v>0.1</v>
      </c>
    </row>
    <row r="1196" spans="1:22" x14ac:dyDescent="0.25">
      <c r="A1196" t="s">
        <v>3260</v>
      </c>
      <c r="B1196" s="1">
        <v>42889</v>
      </c>
      <c r="C1196" s="1">
        <v>42896</v>
      </c>
      <c r="D1196" t="s">
        <v>23</v>
      </c>
      <c r="E1196" t="s">
        <v>3261</v>
      </c>
      <c r="F1196" t="s">
        <v>3262</v>
      </c>
      <c r="G1196" t="s">
        <v>26</v>
      </c>
      <c r="H1196" t="s">
        <v>27</v>
      </c>
      <c r="I1196" t="s">
        <v>411</v>
      </c>
      <c r="J1196" t="s">
        <v>288</v>
      </c>
      <c r="K1196" t="s">
        <v>155</v>
      </c>
      <c r="L1196" t="s">
        <v>289</v>
      </c>
      <c r="M1196" t="s">
        <v>32</v>
      </c>
      <c r="N1196" t="s">
        <v>51</v>
      </c>
      <c r="O1196" t="s">
        <v>290</v>
      </c>
      <c r="P1196">
        <v>205.99199999999999</v>
      </c>
      <c r="Q1196">
        <v>1</v>
      </c>
      <c r="R1196">
        <v>-2.5749</v>
      </c>
      <c r="S1196" s="3" t="s">
        <v>132</v>
      </c>
      <c r="T1196">
        <v>2017</v>
      </c>
      <c r="U1196" t="s">
        <v>36</v>
      </c>
      <c r="V1196" s="2">
        <v>-1.2500000000000001E-2</v>
      </c>
    </row>
    <row r="1197" spans="1:22" x14ac:dyDescent="0.25">
      <c r="A1197" t="s">
        <v>3260</v>
      </c>
      <c r="B1197" s="1">
        <v>42889</v>
      </c>
      <c r="C1197" s="1">
        <v>42896</v>
      </c>
      <c r="D1197" t="s">
        <v>23</v>
      </c>
      <c r="E1197" t="s">
        <v>3261</v>
      </c>
      <c r="F1197" t="s">
        <v>3262</v>
      </c>
      <c r="G1197" t="s">
        <v>26</v>
      </c>
      <c r="H1197" t="s">
        <v>27</v>
      </c>
      <c r="I1197" t="s">
        <v>411</v>
      </c>
      <c r="J1197" t="s">
        <v>288</v>
      </c>
      <c r="K1197" t="s">
        <v>155</v>
      </c>
      <c r="L1197" t="s">
        <v>1290</v>
      </c>
      <c r="M1197" t="s">
        <v>32</v>
      </c>
      <c r="N1197" t="s">
        <v>33</v>
      </c>
      <c r="O1197" t="s">
        <v>1291</v>
      </c>
      <c r="P1197">
        <v>503.96</v>
      </c>
      <c r="Q1197">
        <v>5</v>
      </c>
      <c r="R1197">
        <v>50.396000000000001</v>
      </c>
      <c r="S1197" s="3" t="s">
        <v>132</v>
      </c>
      <c r="T1197">
        <v>2017</v>
      </c>
      <c r="U1197" t="s">
        <v>36</v>
      </c>
      <c r="V1197" s="2">
        <v>0.1</v>
      </c>
    </row>
    <row r="1198" spans="1:22" x14ac:dyDescent="0.25">
      <c r="A1198" t="s">
        <v>3260</v>
      </c>
      <c r="B1198" s="1">
        <v>42889</v>
      </c>
      <c r="C1198" s="1">
        <v>42896</v>
      </c>
      <c r="D1198" t="s">
        <v>23</v>
      </c>
      <c r="E1198" t="s">
        <v>3261</v>
      </c>
      <c r="F1198" t="s">
        <v>3262</v>
      </c>
      <c r="G1198" t="s">
        <v>26</v>
      </c>
      <c r="H1198" t="s">
        <v>27</v>
      </c>
      <c r="I1198" t="s">
        <v>411</v>
      </c>
      <c r="J1198" t="s">
        <v>288</v>
      </c>
      <c r="K1198" t="s">
        <v>155</v>
      </c>
      <c r="L1198" t="s">
        <v>2485</v>
      </c>
      <c r="M1198" t="s">
        <v>32</v>
      </c>
      <c r="N1198" t="s">
        <v>51</v>
      </c>
      <c r="O1198" t="s">
        <v>2486</v>
      </c>
      <c r="P1198">
        <v>110.4</v>
      </c>
      <c r="Q1198">
        <v>2</v>
      </c>
      <c r="R1198">
        <v>-4.1399999999999997</v>
      </c>
      <c r="S1198" s="3" t="s">
        <v>132</v>
      </c>
      <c r="T1198">
        <v>2017</v>
      </c>
      <c r="U1198" t="s">
        <v>36</v>
      </c>
      <c r="V1198" s="2">
        <v>-3.7499999999999999E-2</v>
      </c>
    </row>
    <row r="1199" spans="1:22" x14ac:dyDescent="0.25">
      <c r="A1199" t="s">
        <v>3263</v>
      </c>
      <c r="B1199" s="1">
        <v>42889</v>
      </c>
      <c r="C1199" s="1">
        <v>42895</v>
      </c>
      <c r="D1199" t="s">
        <v>23</v>
      </c>
      <c r="E1199" t="s">
        <v>2769</v>
      </c>
      <c r="F1199" t="s">
        <v>2770</v>
      </c>
      <c r="G1199" t="s">
        <v>59</v>
      </c>
      <c r="H1199" t="s">
        <v>27</v>
      </c>
      <c r="I1199" t="s">
        <v>103</v>
      </c>
      <c r="J1199" t="s">
        <v>104</v>
      </c>
      <c r="K1199" t="s">
        <v>95</v>
      </c>
      <c r="L1199" t="s">
        <v>2906</v>
      </c>
      <c r="M1199" t="s">
        <v>32</v>
      </c>
      <c r="N1199" t="s">
        <v>215</v>
      </c>
      <c r="O1199" t="s">
        <v>2907</v>
      </c>
      <c r="P1199">
        <v>78.66</v>
      </c>
      <c r="Q1199">
        <v>6</v>
      </c>
      <c r="R1199">
        <v>36.183599999999998</v>
      </c>
      <c r="S1199" s="3" t="s">
        <v>107</v>
      </c>
      <c r="T1199">
        <v>2017</v>
      </c>
      <c r="U1199" t="s">
        <v>36</v>
      </c>
      <c r="V1199" s="2">
        <v>0.46</v>
      </c>
    </row>
    <row r="1200" spans="1:22" x14ac:dyDescent="0.25">
      <c r="A1200" t="s">
        <v>3264</v>
      </c>
      <c r="B1200" s="1">
        <v>42694</v>
      </c>
      <c r="C1200" s="1">
        <v>42699</v>
      </c>
      <c r="D1200" t="s">
        <v>23</v>
      </c>
      <c r="E1200" t="s">
        <v>2344</v>
      </c>
      <c r="F1200" t="s">
        <v>2345</v>
      </c>
      <c r="G1200" t="s">
        <v>59</v>
      </c>
      <c r="H1200" t="s">
        <v>27</v>
      </c>
      <c r="I1200" t="s">
        <v>2280</v>
      </c>
      <c r="J1200" t="s">
        <v>288</v>
      </c>
      <c r="K1200" t="s">
        <v>155</v>
      </c>
      <c r="L1200" t="s">
        <v>1328</v>
      </c>
      <c r="M1200" t="s">
        <v>32</v>
      </c>
      <c r="N1200" t="s">
        <v>33</v>
      </c>
      <c r="O1200" t="s">
        <v>1329</v>
      </c>
      <c r="P1200">
        <v>244.768</v>
      </c>
      <c r="Q1200">
        <v>4</v>
      </c>
      <c r="R1200">
        <v>24.476800000000001</v>
      </c>
      <c r="S1200" s="3" t="s">
        <v>35</v>
      </c>
      <c r="T1200">
        <v>2016</v>
      </c>
      <c r="U1200" t="s">
        <v>118</v>
      </c>
      <c r="V1200" s="2">
        <v>0.1</v>
      </c>
    </row>
    <row r="1201" spans="1:22" x14ac:dyDescent="0.25">
      <c r="A1201" t="s">
        <v>3265</v>
      </c>
      <c r="B1201" s="1">
        <v>43036</v>
      </c>
      <c r="C1201" s="1">
        <v>43040</v>
      </c>
      <c r="D1201" t="s">
        <v>40</v>
      </c>
      <c r="E1201" t="s">
        <v>437</v>
      </c>
      <c r="F1201" t="s">
        <v>438</v>
      </c>
      <c r="G1201" t="s">
        <v>26</v>
      </c>
      <c r="H1201" t="s">
        <v>27</v>
      </c>
      <c r="I1201" t="s">
        <v>71</v>
      </c>
      <c r="J1201" t="s">
        <v>61</v>
      </c>
      <c r="K1201" t="s">
        <v>62</v>
      </c>
      <c r="L1201" t="s">
        <v>96</v>
      </c>
      <c r="M1201" t="s">
        <v>32</v>
      </c>
      <c r="N1201" t="s">
        <v>51</v>
      </c>
      <c r="O1201" t="s">
        <v>97</v>
      </c>
      <c r="P1201">
        <v>24</v>
      </c>
      <c r="Q1201">
        <v>2</v>
      </c>
      <c r="R1201">
        <v>-2.7</v>
      </c>
      <c r="S1201" s="3" t="s">
        <v>53</v>
      </c>
      <c r="T1201">
        <v>2017</v>
      </c>
      <c r="U1201" t="s">
        <v>133</v>
      </c>
      <c r="V1201" s="2">
        <v>-0.1125</v>
      </c>
    </row>
    <row r="1202" spans="1:22" x14ac:dyDescent="0.25">
      <c r="A1202" t="s">
        <v>3265</v>
      </c>
      <c r="B1202" s="1">
        <v>43036</v>
      </c>
      <c r="C1202" s="1">
        <v>43040</v>
      </c>
      <c r="D1202" t="s">
        <v>40</v>
      </c>
      <c r="E1202" t="s">
        <v>437</v>
      </c>
      <c r="F1202" t="s">
        <v>438</v>
      </c>
      <c r="G1202" t="s">
        <v>26</v>
      </c>
      <c r="H1202" t="s">
        <v>27</v>
      </c>
      <c r="I1202" t="s">
        <v>71</v>
      </c>
      <c r="J1202" t="s">
        <v>61</v>
      </c>
      <c r="K1202" t="s">
        <v>62</v>
      </c>
      <c r="L1202" t="s">
        <v>1161</v>
      </c>
      <c r="M1202" t="s">
        <v>32</v>
      </c>
      <c r="N1202" t="s">
        <v>51</v>
      </c>
      <c r="O1202" t="s">
        <v>1162</v>
      </c>
      <c r="P1202">
        <v>26.175999999999998</v>
      </c>
      <c r="Q1202">
        <v>2</v>
      </c>
      <c r="R1202">
        <v>-3.2719999999999998</v>
      </c>
      <c r="S1202" s="3" t="s">
        <v>53</v>
      </c>
      <c r="T1202">
        <v>2017</v>
      </c>
      <c r="U1202" t="s">
        <v>133</v>
      </c>
      <c r="V1202" s="2">
        <v>-0.125</v>
      </c>
    </row>
    <row r="1203" spans="1:22" x14ac:dyDescent="0.25">
      <c r="A1203" t="s">
        <v>3266</v>
      </c>
      <c r="B1203" s="1">
        <v>42209</v>
      </c>
      <c r="C1203" s="1">
        <v>42213</v>
      </c>
      <c r="D1203" t="s">
        <v>23</v>
      </c>
      <c r="E1203" t="s">
        <v>3267</v>
      </c>
      <c r="F1203" t="s">
        <v>3268</v>
      </c>
      <c r="G1203" t="s">
        <v>70</v>
      </c>
      <c r="H1203" t="s">
        <v>27</v>
      </c>
      <c r="I1203" t="s">
        <v>444</v>
      </c>
      <c r="J1203" t="s">
        <v>804</v>
      </c>
      <c r="K1203" t="s">
        <v>155</v>
      </c>
      <c r="L1203" t="s">
        <v>1578</v>
      </c>
      <c r="M1203" t="s">
        <v>32</v>
      </c>
      <c r="N1203" t="s">
        <v>51</v>
      </c>
      <c r="O1203" t="s">
        <v>1579</v>
      </c>
      <c r="P1203">
        <v>279.86</v>
      </c>
      <c r="Q1203">
        <v>14</v>
      </c>
      <c r="R1203">
        <v>64.367800000000003</v>
      </c>
      <c r="S1203" s="3" t="s">
        <v>53</v>
      </c>
      <c r="T1203">
        <v>2015</v>
      </c>
      <c r="U1203" t="s">
        <v>332</v>
      </c>
      <c r="V1203" s="2">
        <v>0.23</v>
      </c>
    </row>
    <row r="1204" spans="1:22" x14ac:dyDescent="0.25">
      <c r="A1204" t="s">
        <v>3269</v>
      </c>
      <c r="B1204" s="1">
        <v>41945</v>
      </c>
      <c r="C1204" s="1">
        <v>41949</v>
      </c>
      <c r="D1204" t="s">
        <v>23</v>
      </c>
      <c r="E1204" t="s">
        <v>3270</v>
      </c>
      <c r="F1204" t="s">
        <v>3271</v>
      </c>
      <c r="G1204" t="s">
        <v>26</v>
      </c>
      <c r="H1204" t="s">
        <v>27</v>
      </c>
      <c r="I1204" t="s">
        <v>268</v>
      </c>
      <c r="J1204" t="s">
        <v>177</v>
      </c>
      <c r="K1204" t="s">
        <v>95</v>
      </c>
      <c r="L1204" t="s">
        <v>2115</v>
      </c>
      <c r="M1204" t="s">
        <v>32</v>
      </c>
      <c r="N1204" t="s">
        <v>33</v>
      </c>
      <c r="O1204" t="s">
        <v>2116</v>
      </c>
      <c r="P1204">
        <v>539.96400000000006</v>
      </c>
      <c r="Q1204">
        <v>6</v>
      </c>
      <c r="R1204">
        <v>-107.9928</v>
      </c>
      <c r="S1204" s="3" t="s">
        <v>53</v>
      </c>
      <c r="T1204">
        <v>2014</v>
      </c>
      <c r="U1204" t="s">
        <v>118</v>
      </c>
      <c r="V1204" s="2">
        <v>-0.2</v>
      </c>
    </row>
    <row r="1205" spans="1:22" x14ac:dyDescent="0.25">
      <c r="A1205" t="s">
        <v>3269</v>
      </c>
      <c r="B1205" s="1">
        <v>41945</v>
      </c>
      <c r="C1205" s="1">
        <v>41949</v>
      </c>
      <c r="D1205" t="s">
        <v>23</v>
      </c>
      <c r="E1205" t="s">
        <v>3270</v>
      </c>
      <c r="F1205" t="s">
        <v>3271</v>
      </c>
      <c r="G1205" t="s">
        <v>26</v>
      </c>
      <c r="H1205" t="s">
        <v>27</v>
      </c>
      <c r="I1205" t="s">
        <v>268</v>
      </c>
      <c r="J1205" t="s">
        <v>177</v>
      </c>
      <c r="K1205" t="s">
        <v>95</v>
      </c>
      <c r="L1205" t="s">
        <v>244</v>
      </c>
      <c r="M1205" t="s">
        <v>32</v>
      </c>
      <c r="N1205" t="s">
        <v>33</v>
      </c>
      <c r="O1205" t="s">
        <v>245</v>
      </c>
      <c r="P1205">
        <v>50.231999999999999</v>
      </c>
      <c r="Q1205">
        <v>7</v>
      </c>
      <c r="R1205">
        <v>-10.0464</v>
      </c>
      <c r="S1205" s="3" t="s">
        <v>53</v>
      </c>
      <c r="T1205">
        <v>2014</v>
      </c>
      <c r="U1205" t="s">
        <v>118</v>
      </c>
      <c r="V1205" s="2">
        <v>-0.2</v>
      </c>
    </row>
    <row r="1206" spans="1:22" x14ac:dyDescent="0.25">
      <c r="A1206" t="s">
        <v>3272</v>
      </c>
      <c r="B1206" s="1">
        <v>42800</v>
      </c>
      <c r="C1206" s="1">
        <v>42804</v>
      </c>
      <c r="D1206" t="s">
        <v>23</v>
      </c>
      <c r="E1206" t="s">
        <v>3273</v>
      </c>
      <c r="F1206" t="s">
        <v>3274</v>
      </c>
      <c r="G1206" t="s">
        <v>70</v>
      </c>
      <c r="H1206" t="s">
        <v>27</v>
      </c>
      <c r="I1206" t="s">
        <v>43</v>
      </c>
      <c r="J1206" t="s">
        <v>29</v>
      </c>
      <c r="K1206" t="s">
        <v>30</v>
      </c>
      <c r="L1206" t="s">
        <v>1148</v>
      </c>
      <c r="M1206" t="s">
        <v>32</v>
      </c>
      <c r="N1206" t="s">
        <v>33</v>
      </c>
      <c r="O1206" t="s">
        <v>1149</v>
      </c>
      <c r="P1206">
        <v>206.38399999999999</v>
      </c>
      <c r="Q1206">
        <v>2</v>
      </c>
      <c r="R1206">
        <v>23.2182</v>
      </c>
      <c r="S1206" s="3" t="s">
        <v>53</v>
      </c>
      <c r="T1206">
        <v>2017</v>
      </c>
      <c r="U1206" t="s">
        <v>89</v>
      </c>
      <c r="V1206" s="2">
        <v>0.1125</v>
      </c>
    </row>
    <row r="1207" spans="1:22" x14ac:dyDescent="0.25">
      <c r="A1207" t="s">
        <v>3275</v>
      </c>
      <c r="B1207" s="1">
        <v>42558</v>
      </c>
      <c r="C1207" s="1">
        <v>42564</v>
      </c>
      <c r="D1207" t="s">
        <v>23</v>
      </c>
      <c r="E1207" t="s">
        <v>2092</v>
      </c>
      <c r="F1207" t="s">
        <v>2093</v>
      </c>
      <c r="G1207" t="s">
        <v>70</v>
      </c>
      <c r="H1207" t="s">
        <v>27</v>
      </c>
      <c r="I1207" t="s">
        <v>206</v>
      </c>
      <c r="J1207" t="s">
        <v>207</v>
      </c>
      <c r="K1207" t="s">
        <v>95</v>
      </c>
      <c r="L1207" t="s">
        <v>1168</v>
      </c>
      <c r="M1207" t="s">
        <v>32</v>
      </c>
      <c r="N1207" t="s">
        <v>33</v>
      </c>
      <c r="O1207" t="s">
        <v>1169</v>
      </c>
      <c r="P1207">
        <v>59.994</v>
      </c>
      <c r="Q1207">
        <v>1</v>
      </c>
      <c r="R1207">
        <v>-12.998699999999999</v>
      </c>
      <c r="S1207" s="3" t="s">
        <v>107</v>
      </c>
      <c r="T1207">
        <v>2016</v>
      </c>
      <c r="U1207" t="s">
        <v>332</v>
      </c>
      <c r="V1207" s="2">
        <v>-0.21666666666666701</v>
      </c>
    </row>
    <row r="1208" spans="1:22" x14ac:dyDescent="0.25">
      <c r="A1208" t="s">
        <v>3276</v>
      </c>
      <c r="B1208" s="1">
        <v>42727</v>
      </c>
      <c r="C1208" s="1">
        <v>42732</v>
      </c>
      <c r="D1208" t="s">
        <v>40</v>
      </c>
      <c r="E1208" t="s">
        <v>2596</v>
      </c>
      <c r="F1208" t="s">
        <v>2597</v>
      </c>
      <c r="G1208" t="s">
        <v>59</v>
      </c>
      <c r="H1208" t="s">
        <v>27</v>
      </c>
      <c r="I1208" t="s">
        <v>1720</v>
      </c>
      <c r="J1208" t="s">
        <v>1721</v>
      </c>
      <c r="K1208" t="s">
        <v>95</v>
      </c>
      <c r="L1208" t="s">
        <v>737</v>
      </c>
      <c r="M1208" t="s">
        <v>32</v>
      </c>
      <c r="N1208" t="s">
        <v>381</v>
      </c>
      <c r="O1208" t="s">
        <v>738</v>
      </c>
      <c r="P1208">
        <v>1999.96</v>
      </c>
      <c r="Q1208">
        <v>4</v>
      </c>
      <c r="R1208">
        <v>899.98199999999997</v>
      </c>
      <c r="S1208" s="3" t="s">
        <v>35</v>
      </c>
      <c r="T1208">
        <v>2016</v>
      </c>
      <c r="U1208" t="s">
        <v>66</v>
      </c>
      <c r="V1208" s="2">
        <v>0.45</v>
      </c>
    </row>
    <row r="1209" spans="1:22" x14ac:dyDescent="0.25">
      <c r="A1209" t="s">
        <v>3277</v>
      </c>
      <c r="B1209" s="1">
        <v>43073</v>
      </c>
      <c r="C1209" s="1">
        <v>43077</v>
      </c>
      <c r="D1209" t="s">
        <v>23</v>
      </c>
      <c r="E1209" t="s">
        <v>1566</v>
      </c>
      <c r="F1209" t="s">
        <v>1567</v>
      </c>
      <c r="G1209" t="s">
        <v>26</v>
      </c>
      <c r="H1209" t="s">
        <v>27</v>
      </c>
      <c r="I1209" t="s">
        <v>129</v>
      </c>
      <c r="J1209" t="s">
        <v>86</v>
      </c>
      <c r="K1209" t="s">
        <v>62</v>
      </c>
      <c r="L1209" t="s">
        <v>3194</v>
      </c>
      <c r="M1209" t="s">
        <v>32</v>
      </c>
      <c r="N1209" t="s">
        <v>51</v>
      </c>
      <c r="O1209" t="s">
        <v>3195</v>
      </c>
      <c r="P1209">
        <v>142.80000000000001</v>
      </c>
      <c r="Q1209">
        <v>1</v>
      </c>
      <c r="R1209">
        <v>29.988</v>
      </c>
      <c r="S1209" s="3" t="s">
        <v>53</v>
      </c>
      <c r="T1209">
        <v>2017</v>
      </c>
      <c r="U1209" t="s">
        <v>66</v>
      </c>
      <c r="V1209" s="2">
        <v>0.21</v>
      </c>
    </row>
    <row r="1210" spans="1:22" x14ac:dyDescent="0.25">
      <c r="A1210" t="s">
        <v>3277</v>
      </c>
      <c r="B1210" s="1">
        <v>43073</v>
      </c>
      <c r="C1210" s="1">
        <v>43077</v>
      </c>
      <c r="D1210" t="s">
        <v>23</v>
      </c>
      <c r="E1210" t="s">
        <v>1566</v>
      </c>
      <c r="F1210" t="s">
        <v>1567</v>
      </c>
      <c r="G1210" t="s">
        <v>26</v>
      </c>
      <c r="H1210" t="s">
        <v>27</v>
      </c>
      <c r="I1210" t="s">
        <v>129</v>
      </c>
      <c r="J1210" t="s">
        <v>86</v>
      </c>
      <c r="K1210" t="s">
        <v>62</v>
      </c>
      <c r="L1210" t="s">
        <v>2420</v>
      </c>
      <c r="M1210" t="s">
        <v>32</v>
      </c>
      <c r="N1210" t="s">
        <v>51</v>
      </c>
      <c r="O1210" t="s">
        <v>2421</v>
      </c>
      <c r="P1210">
        <v>399.95</v>
      </c>
      <c r="Q1210">
        <v>5</v>
      </c>
      <c r="R1210">
        <v>143.982</v>
      </c>
      <c r="S1210" s="3" t="s">
        <v>53</v>
      </c>
      <c r="T1210">
        <v>2017</v>
      </c>
      <c r="U1210" t="s">
        <v>66</v>
      </c>
      <c r="V1210" s="2">
        <v>0.36</v>
      </c>
    </row>
    <row r="1211" spans="1:22" x14ac:dyDescent="0.25">
      <c r="A1211" t="s">
        <v>3278</v>
      </c>
      <c r="B1211" s="1">
        <v>42302</v>
      </c>
      <c r="C1211" s="1">
        <v>42307</v>
      </c>
      <c r="D1211" t="s">
        <v>23</v>
      </c>
      <c r="E1211" t="s">
        <v>2571</v>
      </c>
      <c r="F1211" t="s">
        <v>2572</v>
      </c>
      <c r="G1211" t="s">
        <v>59</v>
      </c>
      <c r="H1211" t="s">
        <v>27</v>
      </c>
      <c r="I1211" t="s">
        <v>1458</v>
      </c>
      <c r="J1211" t="s">
        <v>94</v>
      </c>
      <c r="K1211" t="s">
        <v>95</v>
      </c>
      <c r="L1211" t="s">
        <v>664</v>
      </c>
      <c r="M1211" t="s">
        <v>32</v>
      </c>
      <c r="N1211" t="s">
        <v>33</v>
      </c>
      <c r="O1211" t="s">
        <v>665</v>
      </c>
      <c r="P1211">
        <v>158.99</v>
      </c>
      <c r="Q1211">
        <v>1</v>
      </c>
      <c r="R1211">
        <v>41.337400000000002</v>
      </c>
      <c r="S1211" s="3" t="s">
        <v>35</v>
      </c>
      <c r="T1211">
        <v>2015</v>
      </c>
      <c r="U1211" t="s">
        <v>133</v>
      </c>
      <c r="V1211" s="2">
        <v>0.26</v>
      </c>
    </row>
    <row r="1212" spans="1:22" x14ac:dyDescent="0.25">
      <c r="A1212" t="s">
        <v>3279</v>
      </c>
      <c r="B1212" s="1">
        <v>43055</v>
      </c>
      <c r="C1212" s="1">
        <v>43058</v>
      </c>
      <c r="D1212" t="s">
        <v>56</v>
      </c>
      <c r="E1212" t="s">
        <v>1095</v>
      </c>
      <c r="F1212" t="s">
        <v>1096</v>
      </c>
      <c r="G1212" t="s">
        <v>26</v>
      </c>
      <c r="H1212" t="s">
        <v>27</v>
      </c>
      <c r="I1212" t="s">
        <v>481</v>
      </c>
      <c r="J1212" t="s">
        <v>426</v>
      </c>
      <c r="K1212" t="s">
        <v>30</v>
      </c>
      <c r="L1212" t="s">
        <v>2169</v>
      </c>
      <c r="M1212" t="s">
        <v>32</v>
      </c>
      <c r="N1212" t="s">
        <v>33</v>
      </c>
      <c r="O1212" t="s">
        <v>2170</v>
      </c>
      <c r="P1212">
        <v>107.88</v>
      </c>
      <c r="Q1212">
        <v>3</v>
      </c>
      <c r="R1212">
        <v>10.788</v>
      </c>
      <c r="S1212" s="3" t="s">
        <v>172</v>
      </c>
      <c r="T1212">
        <v>2017</v>
      </c>
      <c r="U1212" t="s">
        <v>118</v>
      </c>
      <c r="V1212" s="2">
        <v>0.1</v>
      </c>
    </row>
    <row r="1213" spans="1:22" x14ac:dyDescent="0.25">
      <c r="A1213" t="s">
        <v>3280</v>
      </c>
      <c r="B1213" s="1">
        <v>41932</v>
      </c>
      <c r="C1213" s="1">
        <v>41934</v>
      </c>
      <c r="D1213" t="s">
        <v>40</v>
      </c>
      <c r="E1213" t="s">
        <v>2095</v>
      </c>
      <c r="F1213" t="s">
        <v>2096</v>
      </c>
      <c r="G1213" t="s">
        <v>70</v>
      </c>
      <c r="H1213" t="s">
        <v>27</v>
      </c>
      <c r="I1213" t="s">
        <v>140</v>
      </c>
      <c r="J1213" t="s">
        <v>78</v>
      </c>
      <c r="K1213" t="s">
        <v>62</v>
      </c>
      <c r="L1213" t="s">
        <v>710</v>
      </c>
      <c r="M1213" t="s">
        <v>32</v>
      </c>
      <c r="N1213" t="s">
        <v>51</v>
      </c>
      <c r="O1213" t="s">
        <v>711</v>
      </c>
      <c r="P1213">
        <v>319.96800000000002</v>
      </c>
      <c r="Q1213">
        <v>4</v>
      </c>
      <c r="R1213">
        <v>71.992800000000003</v>
      </c>
      <c r="S1213" s="3" t="s">
        <v>65</v>
      </c>
      <c r="T1213">
        <v>2014</v>
      </c>
      <c r="U1213" t="s">
        <v>133</v>
      </c>
      <c r="V1213" s="2">
        <v>0.22500000000000001</v>
      </c>
    </row>
    <row r="1214" spans="1:22" x14ac:dyDescent="0.25">
      <c r="A1214" t="s">
        <v>3281</v>
      </c>
      <c r="B1214" s="1">
        <v>41747</v>
      </c>
      <c r="C1214" s="1">
        <v>41751</v>
      </c>
      <c r="D1214" t="s">
        <v>23</v>
      </c>
      <c r="E1214" t="s">
        <v>114</v>
      </c>
      <c r="F1214" t="s">
        <v>115</v>
      </c>
      <c r="G1214" t="s">
        <v>26</v>
      </c>
      <c r="H1214" t="s">
        <v>27</v>
      </c>
      <c r="I1214" t="s">
        <v>71</v>
      </c>
      <c r="J1214" t="s">
        <v>61</v>
      </c>
      <c r="K1214" t="s">
        <v>62</v>
      </c>
      <c r="L1214" t="s">
        <v>2199</v>
      </c>
      <c r="M1214" t="s">
        <v>32</v>
      </c>
      <c r="N1214" t="s">
        <v>51</v>
      </c>
      <c r="O1214" t="s">
        <v>2200</v>
      </c>
      <c r="P1214">
        <v>227.976</v>
      </c>
      <c r="Q1214">
        <v>3</v>
      </c>
      <c r="R1214">
        <v>28.497</v>
      </c>
      <c r="S1214" s="3" t="s">
        <v>53</v>
      </c>
      <c r="T1214">
        <v>2014</v>
      </c>
      <c r="U1214" t="s">
        <v>291</v>
      </c>
      <c r="V1214" s="2">
        <v>0.125</v>
      </c>
    </row>
    <row r="1215" spans="1:22" x14ac:dyDescent="0.25">
      <c r="A1215" t="s">
        <v>3282</v>
      </c>
      <c r="B1215" s="1">
        <v>42699</v>
      </c>
      <c r="C1215" s="1">
        <v>42704</v>
      </c>
      <c r="D1215" t="s">
        <v>23</v>
      </c>
      <c r="E1215" t="s">
        <v>3283</v>
      </c>
      <c r="F1215" t="s">
        <v>3284</v>
      </c>
      <c r="G1215" t="s">
        <v>59</v>
      </c>
      <c r="H1215" t="s">
        <v>27</v>
      </c>
      <c r="I1215" t="s">
        <v>1931</v>
      </c>
      <c r="J1215" t="s">
        <v>794</v>
      </c>
      <c r="K1215" t="s">
        <v>95</v>
      </c>
      <c r="L1215" t="s">
        <v>3285</v>
      </c>
      <c r="M1215" t="s">
        <v>32</v>
      </c>
      <c r="N1215" t="s">
        <v>215</v>
      </c>
      <c r="O1215" t="s">
        <v>3286</v>
      </c>
      <c r="P1215">
        <v>319.92</v>
      </c>
      <c r="Q1215">
        <v>8</v>
      </c>
      <c r="R1215">
        <v>118.3704</v>
      </c>
      <c r="S1215" s="3" t="s">
        <v>35</v>
      </c>
      <c r="T1215">
        <v>2016</v>
      </c>
      <c r="U1215" t="s">
        <v>118</v>
      </c>
      <c r="V1215" s="2">
        <v>0.37</v>
      </c>
    </row>
    <row r="1216" spans="1:22" x14ac:dyDescent="0.25">
      <c r="A1216" t="s">
        <v>3287</v>
      </c>
      <c r="B1216" s="1">
        <v>42797</v>
      </c>
      <c r="C1216" s="1">
        <v>42802</v>
      </c>
      <c r="D1216" t="s">
        <v>23</v>
      </c>
      <c r="E1216" t="s">
        <v>3288</v>
      </c>
      <c r="F1216" t="s">
        <v>3289</v>
      </c>
      <c r="G1216" t="s">
        <v>26</v>
      </c>
      <c r="H1216" t="s">
        <v>27</v>
      </c>
      <c r="I1216" t="s">
        <v>28</v>
      </c>
      <c r="J1216" t="s">
        <v>29</v>
      </c>
      <c r="K1216" t="s">
        <v>30</v>
      </c>
      <c r="L1216" t="s">
        <v>2258</v>
      </c>
      <c r="M1216" t="s">
        <v>32</v>
      </c>
      <c r="N1216" t="s">
        <v>51</v>
      </c>
      <c r="O1216" t="s">
        <v>2259</v>
      </c>
      <c r="P1216">
        <v>1049.44</v>
      </c>
      <c r="Q1216">
        <v>8</v>
      </c>
      <c r="R1216">
        <v>440.76479999999998</v>
      </c>
      <c r="S1216" s="3" t="s">
        <v>35</v>
      </c>
      <c r="T1216">
        <v>2017</v>
      </c>
      <c r="U1216" t="s">
        <v>89</v>
      </c>
      <c r="V1216" s="2">
        <v>0.42</v>
      </c>
    </row>
    <row r="1217" spans="1:22" x14ac:dyDescent="0.25">
      <c r="A1217" t="s">
        <v>3290</v>
      </c>
      <c r="B1217" s="1">
        <v>42344</v>
      </c>
      <c r="C1217" s="1">
        <v>42349</v>
      </c>
      <c r="D1217" t="s">
        <v>40</v>
      </c>
      <c r="E1217" t="s">
        <v>3291</v>
      </c>
      <c r="F1217" t="s">
        <v>3292</v>
      </c>
      <c r="G1217" t="s">
        <v>26</v>
      </c>
      <c r="H1217" t="s">
        <v>27</v>
      </c>
      <c r="I1217" t="s">
        <v>1490</v>
      </c>
      <c r="J1217" t="s">
        <v>693</v>
      </c>
      <c r="K1217" t="s">
        <v>155</v>
      </c>
      <c r="L1217" t="s">
        <v>1399</v>
      </c>
      <c r="M1217" t="s">
        <v>32</v>
      </c>
      <c r="N1217" t="s">
        <v>33</v>
      </c>
      <c r="O1217" t="s">
        <v>1400</v>
      </c>
      <c r="P1217">
        <v>173.94</v>
      </c>
      <c r="Q1217">
        <v>6</v>
      </c>
      <c r="R1217">
        <v>50.442599999999999</v>
      </c>
      <c r="S1217" s="3" t="s">
        <v>35</v>
      </c>
      <c r="T1217">
        <v>2015</v>
      </c>
      <c r="U1217" t="s">
        <v>66</v>
      </c>
      <c r="V1217" s="2">
        <v>0.28999999999999998</v>
      </c>
    </row>
    <row r="1218" spans="1:22" x14ac:dyDescent="0.25">
      <c r="A1218" t="s">
        <v>3293</v>
      </c>
      <c r="B1218" s="1">
        <v>41876</v>
      </c>
      <c r="C1218" s="1">
        <v>41881</v>
      </c>
      <c r="D1218" t="s">
        <v>23</v>
      </c>
      <c r="E1218" t="s">
        <v>1671</v>
      </c>
      <c r="F1218" t="s">
        <v>1672</v>
      </c>
      <c r="G1218" t="s">
        <v>26</v>
      </c>
      <c r="H1218" t="s">
        <v>27</v>
      </c>
      <c r="I1218" t="s">
        <v>481</v>
      </c>
      <c r="J1218" t="s">
        <v>426</v>
      </c>
      <c r="K1218" t="s">
        <v>30</v>
      </c>
      <c r="L1218" t="s">
        <v>1437</v>
      </c>
      <c r="M1218" t="s">
        <v>32</v>
      </c>
      <c r="N1218" t="s">
        <v>33</v>
      </c>
      <c r="O1218" t="s">
        <v>1438</v>
      </c>
      <c r="P1218">
        <v>1007.944</v>
      </c>
      <c r="Q1218">
        <v>7</v>
      </c>
      <c r="R1218">
        <v>75.595799999999997</v>
      </c>
      <c r="S1218" s="3" t="s">
        <v>35</v>
      </c>
      <c r="T1218">
        <v>2014</v>
      </c>
      <c r="U1218" t="s">
        <v>46</v>
      </c>
      <c r="V1218" s="2">
        <v>7.4999999999999997E-2</v>
      </c>
    </row>
    <row r="1219" spans="1:22" x14ac:dyDescent="0.25">
      <c r="A1219" t="s">
        <v>3294</v>
      </c>
      <c r="B1219" s="1">
        <v>42589</v>
      </c>
      <c r="C1219" s="1">
        <v>42593</v>
      </c>
      <c r="D1219" t="s">
        <v>23</v>
      </c>
      <c r="E1219" t="s">
        <v>174</v>
      </c>
      <c r="F1219" t="s">
        <v>175</v>
      </c>
      <c r="G1219" t="s">
        <v>59</v>
      </c>
      <c r="H1219" t="s">
        <v>27</v>
      </c>
      <c r="I1219" t="s">
        <v>783</v>
      </c>
      <c r="J1219" t="s">
        <v>426</v>
      </c>
      <c r="K1219" t="s">
        <v>30</v>
      </c>
      <c r="L1219" t="s">
        <v>721</v>
      </c>
      <c r="M1219" t="s">
        <v>32</v>
      </c>
      <c r="N1219" t="s">
        <v>51</v>
      </c>
      <c r="O1219" t="s">
        <v>722</v>
      </c>
      <c r="P1219">
        <v>179.97</v>
      </c>
      <c r="Q1219">
        <v>3</v>
      </c>
      <c r="R1219">
        <v>86.385599999999997</v>
      </c>
      <c r="S1219" s="3" t="s">
        <v>53</v>
      </c>
      <c r="T1219">
        <v>2016</v>
      </c>
      <c r="U1219" t="s">
        <v>46</v>
      </c>
      <c r="V1219" s="2">
        <v>0.48</v>
      </c>
    </row>
    <row r="1220" spans="1:22" x14ac:dyDescent="0.25">
      <c r="A1220" t="s">
        <v>3295</v>
      </c>
      <c r="B1220" s="1">
        <v>42937</v>
      </c>
      <c r="C1220" s="1">
        <v>42943</v>
      </c>
      <c r="D1220" t="s">
        <v>23</v>
      </c>
      <c r="E1220" t="s">
        <v>3167</v>
      </c>
      <c r="F1220" t="s">
        <v>3168</v>
      </c>
      <c r="G1220" t="s">
        <v>26</v>
      </c>
      <c r="H1220" t="s">
        <v>27</v>
      </c>
      <c r="I1220" t="s">
        <v>594</v>
      </c>
      <c r="J1220" t="s">
        <v>693</v>
      </c>
      <c r="K1220" t="s">
        <v>155</v>
      </c>
      <c r="L1220" t="s">
        <v>852</v>
      </c>
      <c r="M1220" t="s">
        <v>32</v>
      </c>
      <c r="N1220" t="s">
        <v>33</v>
      </c>
      <c r="O1220" t="s">
        <v>853</v>
      </c>
      <c r="P1220">
        <v>271.95999999999998</v>
      </c>
      <c r="Q1220">
        <v>4</v>
      </c>
      <c r="R1220">
        <v>67.989999999999995</v>
      </c>
      <c r="S1220" s="3" t="s">
        <v>107</v>
      </c>
      <c r="T1220">
        <v>2017</v>
      </c>
      <c r="U1220" t="s">
        <v>332</v>
      </c>
      <c r="V1220" s="2">
        <v>0.25</v>
      </c>
    </row>
    <row r="1221" spans="1:22" x14ac:dyDescent="0.25">
      <c r="A1221" t="s">
        <v>3296</v>
      </c>
      <c r="B1221" s="1">
        <v>42124</v>
      </c>
      <c r="C1221" s="1">
        <v>42130</v>
      </c>
      <c r="D1221" t="s">
        <v>23</v>
      </c>
      <c r="E1221" t="s">
        <v>2121</v>
      </c>
      <c r="F1221" t="s">
        <v>2122</v>
      </c>
      <c r="G1221" t="s">
        <v>59</v>
      </c>
      <c r="H1221" t="s">
        <v>27</v>
      </c>
      <c r="I1221" t="s">
        <v>43</v>
      </c>
      <c r="J1221" t="s">
        <v>29</v>
      </c>
      <c r="K1221" t="s">
        <v>30</v>
      </c>
      <c r="L1221" t="s">
        <v>583</v>
      </c>
      <c r="M1221" t="s">
        <v>32</v>
      </c>
      <c r="N1221" t="s">
        <v>33</v>
      </c>
      <c r="O1221" t="s">
        <v>584</v>
      </c>
      <c r="P1221">
        <v>19.8</v>
      </c>
      <c r="Q1221">
        <v>5</v>
      </c>
      <c r="R1221">
        <v>1.7324999999999999</v>
      </c>
      <c r="S1221" s="3" t="s">
        <v>107</v>
      </c>
      <c r="T1221">
        <v>2015</v>
      </c>
      <c r="U1221" t="s">
        <v>291</v>
      </c>
      <c r="V1221" s="2">
        <v>8.7499999999999994E-2</v>
      </c>
    </row>
    <row r="1222" spans="1:22" x14ac:dyDescent="0.25">
      <c r="A1222" t="s">
        <v>3297</v>
      </c>
      <c r="B1222" s="1">
        <v>42516</v>
      </c>
      <c r="C1222" s="1">
        <v>42521</v>
      </c>
      <c r="D1222" t="s">
        <v>23</v>
      </c>
      <c r="E1222" t="s">
        <v>2436</v>
      </c>
      <c r="F1222" t="s">
        <v>2437</v>
      </c>
      <c r="G1222" t="s">
        <v>26</v>
      </c>
      <c r="H1222" t="s">
        <v>27</v>
      </c>
      <c r="I1222" t="s">
        <v>787</v>
      </c>
      <c r="J1222" t="s">
        <v>29</v>
      </c>
      <c r="K1222" t="s">
        <v>30</v>
      </c>
      <c r="L1222" t="s">
        <v>951</v>
      </c>
      <c r="M1222" t="s">
        <v>32</v>
      </c>
      <c r="N1222" t="s">
        <v>33</v>
      </c>
      <c r="O1222" t="s">
        <v>952</v>
      </c>
      <c r="P1222">
        <v>211.16800000000001</v>
      </c>
      <c r="Q1222">
        <v>4</v>
      </c>
      <c r="R1222">
        <v>23.756399999999999</v>
      </c>
      <c r="S1222" s="3" t="s">
        <v>35</v>
      </c>
      <c r="T1222">
        <v>2016</v>
      </c>
      <c r="U1222" t="s">
        <v>527</v>
      </c>
      <c r="V1222" s="2">
        <v>0.1125</v>
      </c>
    </row>
    <row r="1223" spans="1:22" x14ac:dyDescent="0.25">
      <c r="A1223" t="s">
        <v>3297</v>
      </c>
      <c r="B1223" s="1">
        <v>42516</v>
      </c>
      <c r="C1223" s="1">
        <v>42521</v>
      </c>
      <c r="D1223" t="s">
        <v>23</v>
      </c>
      <c r="E1223" t="s">
        <v>2436</v>
      </c>
      <c r="F1223" t="s">
        <v>2437</v>
      </c>
      <c r="G1223" t="s">
        <v>26</v>
      </c>
      <c r="H1223" t="s">
        <v>27</v>
      </c>
      <c r="I1223" t="s">
        <v>787</v>
      </c>
      <c r="J1223" t="s">
        <v>29</v>
      </c>
      <c r="K1223" t="s">
        <v>30</v>
      </c>
      <c r="L1223" t="s">
        <v>2188</v>
      </c>
      <c r="M1223" t="s">
        <v>32</v>
      </c>
      <c r="N1223" t="s">
        <v>215</v>
      </c>
      <c r="O1223" t="s">
        <v>2189</v>
      </c>
      <c r="P1223">
        <v>371.976</v>
      </c>
      <c r="Q1223">
        <v>3</v>
      </c>
      <c r="R1223">
        <v>116.24250000000001</v>
      </c>
      <c r="S1223" s="3" t="s">
        <v>35</v>
      </c>
      <c r="T1223">
        <v>2016</v>
      </c>
      <c r="U1223" t="s">
        <v>527</v>
      </c>
      <c r="V1223" s="2">
        <v>0.3125</v>
      </c>
    </row>
    <row r="1224" spans="1:22" x14ac:dyDescent="0.25">
      <c r="A1224" t="s">
        <v>3298</v>
      </c>
      <c r="B1224" s="1">
        <v>42115</v>
      </c>
      <c r="C1224" s="1">
        <v>42122</v>
      </c>
      <c r="D1224" t="s">
        <v>23</v>
      </c>
      <c r="E1224" t="s">
        <v>2978</v>
      </c>
      <c r="F1224" t="s">
        <v>2979</v>
      </c>
      <c r="G1224" t="s">
        <v>26</v>
      </c>
      <c r="H1224" t="s">
        <v>27</v>
      </c>
      <c r="I1224" t="s">
        <v>444</v>
      </c>
      <c r="J1224" t="s">
        <v>804</v>
      </c>
      <c r="K1224" t="s">
        <v>155</v>
      </c>
      <c r="L1224" t="s">
        <v>638</v>
      </c>
      <c r="M1224" t="s">
        <v>32</v>
      </c>
      <c r="N1224" t="s">
        <v>33</v>
      </c>
      <c r="O1224" t="s">
        <v>639</v>
      </c>
      <c r="P1224">
        <v>469.95</v>
      </c>
      <c r="Q1224">
        <v>5</v>
      </c>
      <c r="R1224">
        <v>131.58600000000001</v>
      </c>
      <c r="S1224" s="3" t="s">
        <v>132</v>
      </c>
      <c r="T1224">
        <v>2015</v>
      </c>
      <c r="U1224" t="s">
        <v>291</v>
      </c>
      <c r="V1224" s="2">
        <v>0.28000000000000003</v>
      </c>
    </row>
    <row r="1225" spans="1:22" x14ac:dyDescent="0.25">
      <c r="A1225" t="s">
        <v>3299</v>
      </c>
      <c r="B1225" s="1">
        <v>41987</v>
      </c>
      <c r="C1225" s="1">
        <v>41994</v>
      </c>
      <c r="D1225" t="s">
        <v>23</v>
      </c>
      <c r="E1225" t="s">
        <v>1878</v>
      </c>
      <c r="F1225" t="s">
        <v>1879</v>
      </c>
      <c r="G1225" t="s">
        <v>26</v>
      </c>
      <c r="H1225" t="s">
        <v>27</v>
      </c>
      <c r="I1225" t="s">
        <v>103</v>
      </c>
      <c r="J1225" t="s">
        <v>104</v>
      </c>
      <c r="K1225" t="s">
        <v>95</v>
      </c>
      <c r="L1225" t="s">
        <v>2544</v>
      </c>
      <c r="M1225" t="s">
        <v>32</v>
      </c>
      <c r="N1225" t="s">
        <v>215</v>
      </c>
      <c r="O1225" t="s">
        <v>2545</v>
      </c>
      <c r="P1225">
        <v>6999.96</v>
      </c>
      <c r="Q1225">
        <v>4</v>
      </c>
      <c r="R1225">
        <v>2239.9872</v>
      </c>
      <c r="S1225" s="3" t="s">
        <v>132</v>
      </c>
      <c r="T1225">
        <v>2014</v>
      </c>
      <c r="U1225" t="s">
        <v>66</v>
      </c>
      <c r="V1225" s="2">
        <v>0.32</v>
      </c>
    </row>
    <row r="1226" spans="1:22" x14ac:dyDescent="0.25">
      <c r="A1226" t="s">
        <v>3300</v>
      </c>
      <c r="B1226" s="1">
        <v>42266</v>
      </c>
      <c r="C1226" s="1">
        <v>42269</v>
      </c>
      <c r="D1226" t="s">
        <v>40</v>
      </c>
      <c r="E1226" t="s">
        <v>1443</v>
      </c>
      <c r="F1226" t="s">
        <v>1444</v>
      </c>
      <c r="G1226" t="s">
        <v>26</v>
      </c>
      <c r="H1226" t="s">
        <v>27</v>
      </c>
      <c r="I1226" t="s">
        <v>103</v>
      </c>
      <c r="J1226" t="s">
        <v>104</v>
      </c>
      <c r="K1226" t="s">
        <v>95</v>
      </c>
      <c r="L1226" t="s">
        <v>295</v>
      </c>
      <c r="M1226" t="s">
        <v>32</v>
      </c>
      <c r="N1226" t="s">
        <v>33</v>
      </c>
      <c r="O1226" t="s">
        <v>296</v>
      </c>
      <c r="P1226">
        <v>279.86</v>
      </c>
      <c r="Q1226">
        <v>14</v>
      </c>
      <c r="R1226">
        <v>134.33279999999999</v>
      </c>
      <c r="S1226" s="3" t="s">
        <v>172</v>
      </c>
      <c r="T1226">
        <v>2015</v>
      </c>
      <c r="U1226" t="s">
        <v>81</v>
      </c>
      <c r="V1226" s="2">
        <v>0.48</v>
      </c>
    </row>
    <row r="1227" spans="1:22" x14ac:dyDescent="0.25">
      <c r="A1227" t="s">
        <v>3301</v>
      </c>
      <c r="B1227" s="1">
        <v>42667</v>
      </c>
      <c r="C1227" s="1">
        <v>42667</v>
      </c>
      <c r="D1227" t="s">
        <v>677</v>
      </c>
      <c r="E1227" t="s">
        <v>523</v>
      </c>
      <c r="F1227" t="s">
        <v>524</v>
      </c>
      <c r="G1227" t="s">
        <v>26</v>
      </c>
      <c r="H1227" t="s">
        <v>27</v>
      </c>
      <c r="I1227" t="s">
        <v>43</v>
      </c>
      <c r="J1227" t="s">
        <v>29</v>
      </c>
      <c r="K1227" t="s">
        <v>30</v>
      </c>
      <c r="L1227" t="s">
        <v>788</v>
      </c>
      <c r="M1227" t="s">
        <v>32</v>
      </c>
      <c r="N1227" t="s">
        <v>51</v>
      </c>
      <c r="O1227" t="s">
        <v>789</v>
      </c>
      <c r="P1227">
        <v>199.99</v>
      </c>
      <c r="Q1227">
        <v>1</v>
      </c>
      <c r="R1227">
        <v>85.995699999999999</v>
      </c>
      <c r="S1227" s="3" t="s">
        <v>683</v>
      </c>
      <c r="T1227">
        <v>2016</v>
      </c>
      <c r="U1227" t="s">
        <v>133</v>
      </c>
      <c r="V1227" s="2">
        <v>0.43</v>
      </c>
    </row>
    <row r="1228" spans="1:22" x14ac:dyDescent="0.25">
      <c r="A1228" t="s">
        <v>3302</v>
      </c>
      <c r="B1228" s="1">
        <v>42861</v>
      </c>
      <c r="C1228" s="1">
        <v>42861</v>
      </c>
      <c r="D1228" t="s">
        <v>677</v>
      </c>
      <c r="E1228" t="s">
        <v>3303</v>
      </c>
      <c r="F1228" t="s">
        <v>3304</v>
      </c>
      <c r="G1228" t="s">
        <v>26</v>
      </c>
      <c r="H1228" t="s">
        <v>27</v>
      </c>
      <c r="I1228" t="s">
        <v>153</v>
      </c>
      <c r="J1228" t="s">
        <v>154</v>
      </c>
      <c r="K1228" t="s">
        <v>155</v>
      </c>
      <c r="L1228" t="s">
        <v>63</v>
      </c>
      <c r="M1228" t="s">
        <v>32</v>
      </c>
      <c r="N1228" t="s">
        <v>33</v>
      </c>
      <c r="O1228" t="s">
        <v>64</v>
      </c>
      <c r="P1228">
        <v>627.16800000000001</v>
      </c>
      <c r="Q1228">
        <v>4</v>
      </c>
      <c r="R1228">
        <v>70.556399999999996</v>
      </c>
      <c r="S1228" s="3" t="s">
        <v>683</v>
      </c>
      <c r="T1228">
        <v>2017</v>
      </c>
      <c r="U1228" t="s">
        <v>527</v>
      </c>
      <c r="V1228" s="2">
        <v>0.1125</v>
      </c>
    </row>
    <row r="1229" spans="1:22" x14ac:dyDescent="0.25">
      <c r="A1229" t="s">
        <v>3305</v>
      </c>
      <c r="B1229" s="1">
        <v>42952</v>
      </c>
      <c r="C1229" s="1">
        <v>42956</v>
      </c>
      <c r="D1229" t="s">
        <v>23</v>
      </c>
      <c r="E1229" t="s">
        <v>858</v>
      </c>
      <c r="F1229" t="s">
        <v>859</v>
      </c>
      <c r="G1229" t="s">
        <v>26</v>
      </c>
      <c r="H1229" t="s">
        <v>27</v>
      </c>
      <c r="I1229" t="s">
        <v>2524</v>
      </c>
      <c r="J1229" t="s">
        <v>669</v>
      </c>
      <c r="K1229" t="s">
        <v>62</v>
      </c>
      <c r="L1229" t="s">
        <v>829</v>
      </c>
      <c r="M1229" t="s">
        <v>32</v>
      </c>
      <c r="N1229" t="s">
        <v>51</v>
      </c>
      <c r="O1229" t="s">
        <v>830</v>
      </c>
      <c r="P1229">
        <v>79.78</v>
      </c>
      <c r="Q1229">
        <v>2</v>
      </c>
      <c r="R1229">
        <v>29.518599999999999</v>
      </c>
      <c r="S1229" s="3" t="s">
        <v>53</v>
      </c>
      <c r="T1229">
        <v>2017</v>
      </c>
      <c r="U1229" t="s">
        <v>46</v>
      </c>
      <c r="V1229" s="2">
        <v>0.37</v>
      </c>
    </row>
    <row r="1230" spans="1:22" x14ac:dyDescent="0.25">
      <c r="A1230" t="s">
        <v>3306</v>
      </c>
      <c r="B1230" s="1">
        <v>42226</v>
      </c>
      <c r="C1230" s="1">
        <v>42232</v>
      </c>
      <c r="D1230" t="s">
        <v>23</v>
      </c>
      <c r="E1230" t="s">
        <v>1604</v>
      </c>
      <c r="F1230" t="s">
        <v>1605</v>
      </c>
      <c r="G1230" t="s">
        <v>26</v>
      </c>
      <c r="H1230" t="s">
        <v>27</v>
      </c>
      <c r="I1230" t="s">
        <v>2619</v>
      </c>
      <c r="J1230" t="s">
        <v>340</v>
      </c>
      <c r="K1230" t="s">
        <v>30</v>
      </c>
      <c r="L1230" t="s">
        <v>990</v>
      </c>
      <c r="M1230" t="s">
        <v>32</v>
      </c>
      <c r="N1230" t="s">
        <v>33</v>
      </c>
      <c r="O1230" t="s">
        <v>991</v>
      </c>
      <c r="P1230">
        <v>438.36799999999999</v>
      </c>
      <c r="Q1230">
        <v>4</v>
      </c>
      <c r="R1230">
        <v>38.357199999999999</v>
      </c>
      <c r="S1230" s="3" t="s">
        <v>107</v>
      </c>
      <c r="T1230">
        <v>2015</v>
      </c>
      <c r="U1230" t="s">
        <v>46</v>
      </c>
      <c r="V1230" s="2">
        <v>8.7499999999999994E-2</v>
      </c>
    </row>
    <row r="1231" spans="1:22" x14ac:dyDescent="0.25">
      <c r="A1231" t="s">
        <v>3306</v>
      </c>
      <c r="B1231" s="1">
        <v>42226</v>
      </c>
      <c r="C1231" s="1">
        <v>42232</v>
      </c>
      <c r="D1231" t="s">
        <v>23</v>
      </c>
      <c r="E1231" t="s">
        <v>1604</v>
      </c>
      <c r="F1231" t="s">
        <v>1605</v>
      </c>
      <c r="G1231" t="s">
        <v>26</v>
      </c>
      <c r="H1231" t="s">
        <v>27</v>
      </c>
      <c r="I1231" t="s">
        <v>2619</v>
      </c>
      <c r="J1231" t="s">
        <v>340</v>
      </c>
      <c r="K1231" t="s">
        <v>30</v>
      </c>
      <c r="L1231" t="s">
        <v>935</v>
      </c>
      <c r="M1231" t="s">
        <v>32</v>
      </c>
      <c r="N1231" t="s">
        <v>33</v>
      </c>
      <c r="O1231" t="s">
        <v>936</v>
      </c>
      <c r="P1231">
        <v>139.94399999999999</v>
      </c>
      <c r="Q1231">
        <v>7</v>
      </c>
      <c r="R1231">
        <v>-31.487400000000001</v>
      </c>
      <c r="S1231" s="3" t="s">
        <v>107</v>
      </c>
      <c r="T1231">
        <v>2015</v>
      </c>
      <c r="U1231" t="s">
        <v>46</v>
      </c>
      <c r="V1231" s="2">
        <v>-0.22500000000000001</v>
      </c>
    </row>
    <row r="1232" spans="1:22" x14ac:dyDescent="0.25">
      <c r="A1232" t="s">
        <v>3307</v>
      </c>
      <c r="B1232" s="1">
        <v>42986</v>
      </c>
      <c r="C1232" s="1">
        <v>42989</v>
      </c>
      <c r="D1232" t="s">
        <v>56</v>
      </c>
      <c r="E1232" t="s">
        <v>2894</v>
      </c>
      <c r="F1232" t="s">
        <v>2895</v>
      </c>
      <c r="G1232" t="s">
        <v>59</v>
      </c>
      <c r="H1232" t="s">
        <v>27</v>
      </c>
      <c r="I1232" t="s">
        <v>1490</v>
      </c>
      <c r="J1232" t="s">
        <v>61</v>
      </c>
      <c r="K1232" t="s">
        <v>62</v>
      </c>
      <c r="L1232" t="s">
        <v>2691</v>
      </c>
      <c r="M1232" t="s">
        <v>32</v>
      </c>
      <c r="N1232" t="s">
        <v>381</v>
      </c>
      <c r="O1232" t="s">
        <v>2692</v>
      </c>
      <c r="P1232">
        <v>319.98399999999998</v>
      </c>
      <c r="Q1232">
        <v>2</v>
      </c>
      <c r="R1232">
        <v>107.99460000000001</v>
      </c>
      <c r="S1232" s="3" t="s">
        <v>172</v>
      </c>
      <c r="T1232">
        <v>2017</v>
      </c>
      <c r="U1232" t="s">
        <v>81</v>
      </c>
      <c r="V1232" s="2">
        <v>0.33750000000000002</v>
      </c>
    </row>
    <row r="1233" spans="1:22" x14ac:dyDescent="0.25">
      <c r="A1233" t="s">
        <v>3308</v>
      </c>
      <c r="B1233" s="1">
        <v>42786</v>
      </c>
      <c r="C1233" s="1">
        <v>42793</v>
      </c>
      <c r="D1233" t="s">
        <v>23</v>
      </c>
      <c r="E1233" t="s">
        <v>1176</v>
      </c>
      <c r="F1233" t="s">
        <v>1177</v>
      </c>
      <c r="G1233" t="s">
        <v>70</v>
      </c>
      <c r="H1233" t="s">
        <v>27</v>
      </c>
      <c r="I1233" t="s">
        <v>122</v>
      </c>
      <c r="J1233" t="s">
        <v>123</v>
      </c>
      <c r="K1233" t="s">
        <v>30</v>
      </c>
      <c r="L1233" t="s">
        <v>1049</v>
      </c>
      <c r="M1233" t="s">
        <v>32</v>
      </c>
      <c r="N1233" t="s">
        <v>33</v>
      </c>
      <c r="O1233" t="s">
        <v>1050</v>
      </c>
      <c r="P1233">
        <v>333.57600000000002</v>
      </c>
      <c r="Q1233">
        <v>3</v>
      </c>
      <c r="R1233">
        <v>25.0182</v>
      </c>
      <c r="S1233" s="3" t="s">
        <v>132</v>
      </c>
      <c r="T1233">
        <v>2017</v>
      </c>
      <c r="U1233" t="s">
        <v>180</v>
      </c>
      <c r="V1233" s="2">
        <v>7.4999999999999997E-2</v>
      </c>
    </row>
    <row r="1234" spans="1:22" x14ac:dyDescent="0.25">
      <c r="A1234" t="s">
        <v>3308</v>
      </c>
      <c r="B1234" s="1">
        <v>42786</v>
      </c>
      <c r="C1234" s="1">
        <v>42793</v>
      </c>
      <c r="D1234" t="s">
        <v>23</v>
      </c>
      <c r="E1234" t="s">
        <v>1176</v>
      </c>
      <c r="F1234" t="s">
        <v>1177</v>
      </c>
      <c r="G1234" t="s">
        <v>70</v>
      </c>
      <c r="H1234" t="s">
        <v>27</v>
      </c>
      <c r="I1234" t="s">
        <v>122</v>
      </c>
      <c r="J1234" t="s">
        <v>123</v>
      </c>
      <c r="K1234" t="s">
        <v>30</v>
      </c>
      <c r="L1234" t="s">
        <v>1568</v>
      </c>
      <c r="M1234" t="s">
        <v>32</v>
      </c>
      <c r="N1234" t="s">
        <v>51</v>
      </c>
      <c r="O1234" t="s">
        <v>1569</v>
      </c>
      <c r="P1234">
        <v>31.992000000000001</v>
      </c>
      <c r="Q1234">
        <v>1</v>
      </c>
      <c r="R1234">
        <v>4.7988</v>
      </c>
      <c r="S1234" s="3" t="s">
        <v>132</v>
      </c>
      <c r="T1234">
        <v>2017</v>
      </c>
      <c r="U1234" t="s">
        <v>180</v>
      </c>
      <c r="V1234" s="2">
        <v>0.15</v>
      </c>
    </row>
    <row r="1235" spans="1:22" x14ac:dyDescent="0.25">
      <c r="A1235" t="s">
        <v>3309</v>
      </c>
      <c r="B1235" s="1">
        <v>42867</v>
      </c>
      <c r="C1235" s="1">
        <v>42869</v>
      </c>
      <c r="D1235" t="s">
        <v>40</v>
      </c>
      <c r="E1235" t="s">
        <v>3310</v>
      </c>
      <c r="F1235" t="s">
        <v>3311</v>
      </c>
      <c r="G1235" t="s">
        <v>26</v>
      </c>
      <c r="H1235" t="s">
        <v>27</v>
      </c>
      <c r="I1235" t="s">
        <v>3312</v>
      </c>
      <c r="J1235" t="s">
        <v>794</v>
      </c>
      <c r="K1235" t="s">
        <v>95</v>
      </c>
      <c r="L1235" t="s">
        <v>2328</v>
      </c>
      <c r="M1235" t="s">
        <v>32</v>
      </c>
      <c r="N1235" t="s">
        <v>51</v>
      </c>
      <c r="O1235" t="s">
        <v>2329</v>
      </c>
      <c r="P1235">
        <v>87.4</v>
      </c>
      <c r="Q1235">
        <v>5</v>
      </c>
      <c r="R1235">
        <v>34.96</v>
      </c>
      <c r="S1235" s="3" t="s">
        <v>65</v>
      </c>
      <c r="T1235">
        <v>2017</v>
      </c>
      <c r="U1235" t="s">
        <v>527</v>
      </c>
      <c r="V1235" s="2">
        <v>0.4</v>
      </c>
    </row>
    <row r="1236" spans="1:22" x14ac:dyDescent="0.25">
      <c r="A1236" t="s">
        <v>3313</v>
      </c>
      <c r="B1236" s="1">
        <v>42329</v>
      </c>
      <c r="C1236" s="1">
        <v>42331</v>
      </c>
      <c r="D1236" t="s">
        <v>40</v>
      </c>
      <c r="E1236" t="s">
        <v>3314</v>
      </c>
      <c r="F1236" t="s">
        <v>3315</v>
      </c>
      <c r="G1236" t="s">
        <v>26</v>
      </c>
      <c r="H1236" t="s">
        <v>27</v>
      </c>
      <c r="I1236" t="s">
        <v>2429</v>
      </c>
      <c r="J1236" t="s">
        <v>669</v>
      </c>
      <c r="K1236" t="s">
        <v>62</v>
      </c>
      <c r="L1236" t="s">
        <v>3316</v>
      </c>
      <c r="M1236" t="s">
        <v>32</v>
      </c>
      <c r="N1236" t="s">
        <v>215</v>
      </c>
      <c r="O1236" t="s">
        <v>3317</v>
      </c>
      <c r="P1236">
        <v>83.9</v>
      </c>
      <c r="Q1236">
        <v>2</v>
      </c>
      <c r="R1236">
        <v>22.652999999999999</v>
      </c>
      <c r="S1236" s="3" t="s">
        <v>65</v>
      </c>
      <c r="T1236">
        <v>2015</v>
      </c>
      <c r="U1236" t="s">
        <v>118</v>
      </c>
      <c r="V1236" s="2">
        <v>0.27</v>
      </c>
    </row>
    <row r="1237" spans="1:22" x14ac:dyDescent="0.25">
      <c r="A1237" t="s">
        <v>3313</v>
      </c>
      <c r="B1237" s="1">
        <v>42329</v>
      </c>
      <c r="C1237" s="1">
        <v>42331</v>
      </c>
      <c r="D1237" t="s">
        <v>40</v>
      </c>
      <c r="E1237" t="s">
        <v>3314</v>
      </c>
      <c r="F1237" t="s">
        <v>3315</v>
      </c>
      <c r="G1237" t="s">
        <v>26</v>
      </c>
      <c r="H1237" t="s">
        <v>27</v>
      </c>
      <c r="I1237" t="s">
        <v>2429</v>
      </c>
      <c r="J1237" t="s">
        <v>669</v>
      </c>
      <c r="K1237" t="s">
        <v>62</v>
      </c>
      <c r="L1237" t="s">
        <v>2258</v>
      </c>
      <c r="M1237" t="s">
        <v>32</v>
      </c>
      <c r="N1237" t="s">
        <v>51</v>
      </c>
      <c r="O1237" t="s">
        <v>2259</v>
      </c>
      <c r="P1237">
        <v>393.54</v>
      </c>
      <c r="Q1237">
        <v>3</v>
      </c>
      <c r="R1237">
        <v>165.2868</v>
      </c>
      <c r="S1237" s="3" t="s">
        <v>65</v>
      </c>
      <c r="T1237">
        <v>2015</v>
      </c>
      <c r="U1237" t="s">
        <v>118</v>
      </c>
      <c r="V1237" s="2">
        <v>0.42</v>
      </c>
    </row>
    <row r="1238" spans="1:22" x14ac:dyDescent="0.25">
      <c r="A1238" t="s">
        <v>3318</v>
      </c>
      <c r="B1238" s="1">
        <v>42804</v>
      </c>
      <c r="C1238" s="1">
        <v>42809</v>
      </c>
      <c r="D1238" t="s">
        <v>40</v>
      </c>
      <c r="E1238" t="s">
        <v>3319</v>
      </c>
      <c r="F1238" t="s">
        <v>3320</v>
      </c>
      <c r="G1238" t="s">
        <v>59</v>
      </c>
      <c r="H1238" t="s">
        <v>27</v>
      </c>
      <c r="I1238" t="s">
        <v>43</v>
      </c>
      <c r="J1238" t="s">
        <v>29</v>
      </c>
      <c r="K1238" t="s">
        <v>30</v>
      </c>
      <c r="L1238" t="s">
        <v>1405</v>
      </c>
      <c r="M1238" t="s">
        <v>32</v>
      </c>
      <c r="N1238" t="s">
        <v>51</v>
      </c>
      <c r="O1238" t="s">
        <v>1406</v>
      </c>
      <c r="P1238">
        <v>111.96</v>
      </c>
      <c r="Q1238">
        <v>4</v>
      </c>
      <c r="R1238">
        <v>21.272400000000001</v>
      </c>
      <c r="S1238" s="3" t="s">
        <v>35</v>
      </c>
      <c r="T1238">
        <v>2017</v>
      </c>
      <c r="U1238" t="s">
        <v>89</v>
      </c>
      <c r="V1238" s="2">
        <v>0.19</v>
      </c>
    </row>
    <row r="1239" spans="1:22" x14ac:dyDescent="0.25">
      <c r="A1239" t="s">
        <v>3321</v>
      </c>
      <c r="B1239" s="1">
        <v>42608</v>
      </c>
      <c r="C1239" s="1">
        <v>42612</v>
      </c>
      <c r="D1239" t="s">
        <v>23</v>
      </c>
      <c r="E1239" t="s">
        <v>3267</v>
      </c>
      <c r="F1239" t="s">
        <v>3268</v>
      </c>
      <c r="G1239" t="s">
        <v>70</v>
      </c>
      <c r="H1239" t="s">
        <v>27</v>
      </c>
      <c r="I1239" t="s">
        <v>184</v>
      </c>
      <c r="J1239" t="s">
        <v>185</v>
      </c>
      <c r="K1239" t="s">
        <v>62</v>
      </c>
      <c r="L1239" t="s">
        <v>1364</v>
      </c>
      <c r="M1239" t="s">
        <v>32</v>
      </c>
      <c r="N1239" t="s">
        <v>51</v>
      </c>
      <c r="O1239" t="s">
        <v>1365</v>
      </c>
      <c r="P1239">
        <v>47.97</v>
      </c>
      <c r="Q1239">
        <v>3</v>
      </c>
      <c r="R1239">
        <v>14.870699999999999</v>
      </c>
      <c r="S1239" s="3" t="s">
        <v>53</v>
      </c>
      <c r="T1239">
        <v>2016</v>
      </c>
      <c r="U1239" t="s">
        <v>46</v>
      </c>
      <c r="V1239" s="2">
        <v>0.31</v>
      </c>
    </row>
    <row r="1240" spans="1:22" x14ac:dyDescent="0.25">
      <c r="A1240" t="s">
        <v>3322</v>
      </c>
      <c r="B1240" s="1">
        <v>42178</v>
      </c>
      <c r="C1240" s="1">
        <v>42183</v>
      </c>
      <c r="D1240" t="s">
        <v>23</v>
      </c>
      <c r="E1240" t="s">
        <v>1003</v>
      </c>
      <c r="F1240" t="s">
        <v>1004</v>
      </c>
      <c r="G1240" t="s">
        <v>26</v>
      </c>
      <c r="H1240" t="s">
        <v>27</v>
      </c>
      <c r="I1240" t="s">
        <v>1256</v>
      </c>
      <c r="J1240" t="s">
        <v>29</v>
      </c>
      <c r="K1240" t="s">
        <v>30</v>
      </c>
      <c r="L1240" t="s">
        <v>1580</v>
      </c>
      <c r="M1240" t="s">
        <v>32</v>
      </c>
      <c r="N1240" t="s">
        <v>33</v>
      </c>
      <c r="O1240" t="s">
        <v>1581</v>
      </c>
      <c r="P1240">
        <v>217.584</v>
      </c>
      <c r="Q1240">
        <v>2</v>
      </c>
      <c r="R1240">
        <v>19.038599999999999</v>
      </c>
      <c r="S1240" s="3" t="s">
        <v>35</v>
      </c>
      <c r="T1240">
        <v>2015</v>
      </c>
      <c r="U1240" t="s">
        <v>36</v>
      </c>
      <c r="V1240" s="2">
        <v>8.7499999999999994E-2</v>
      </c>
    </row>
    <row r="1241" spans="1:22" x14ac:dyDescent="0.25">
      <c r="A1241" t="s">
        <v>3322</v>
      </c>
      <c r="B1241" s="1">
        <v>42178</v>
      </c>
      <c r="C1241" s="1">
        <v>42183</v>
      </c>
      <c r="D1241" t="s">
        <v>23</v>
      </c>
      <c r="E1241" t="s">
        <v>1003</v>
      </c>
      <c r="F1241" t="s">
        <v>1004</v>
      </c>
      <c r="G1241" t="s">
        <v>26</v>
      </c>
      <c r="H1241" t="s">
        <v>27</v>
      </c>
      <c r="I1241" t="s">
        <v>1256</v>
      </c>
      <c r="J1241" t="s">
        <v>29</v>
      </c>
      <c r="K1241" t="s">
        <v>30</v>
      </c>
      <c r="L1241" t="s">
        <v>217</v>
      </c>
      <c r="M1241" t="s">
        <v>32</v>
      </c>
      <c r="N1241" t="s">
        <v>33</v>
      </c>
      <c r="O1241" t="s">
        <v>218</v>
      </c>
      <c r="P1241">
        <v>143.976</v>
      </c>
      <c r="Q1241">
        <v>3</v>
      </c>
      <c r="R1241">
        <v>8.9984999999999999</v>
      </c>
      <c r="S1241" s="3" t="s">
        <v>35</v>
      </c>
      <c r="T1241">
        <v>2015</v>
      </c>
      <c r="U1241" t="s">
        <v>36</v>
      </c>
      <c r="V1241" s="2">
        <v>6.25E-2</v>
      </c>
    </row>
    <row r="1242" spans="1:22" x14ac:dyDescent="0.25">
      <c r="A1242" t="s">
        <v>3323</v>
      </c>
      <c r="B1242" s="1">
        <v>42623</v>
      </c>
      <c r="C1242" s="1">
        <v>42628</v>
      </c>
      <c r="D1242" t="s">
        <v>23</v>
      </c>
      <c r="E1242" t="s">
        <v>3013</v>
      </c>
      <c r="F1242" t="s">
        <v>3014</v>
      </c>
      <c r="G1242" t="s">
        <v>59</v>
      </c>
      <c r="H1242" t="s">
        <v>27</v>
      </c>
      <c r="I1242" t="s">
        <v>2391</v>
      </c>
      <c r="J1242" t="s">
        <v>288</v>
      </c>
      <c r="K1242" t="s">
        <v>155</v>
      </c>
      <c r="L1242" t="s">
        <v>1111</v>
      </c>
      <c r="M1242" t="s">
        <v>32</v>
      </c>
      <c r="N1242" t="s">
        <v>33</v>
      </c>
      <c r="O1242" t="s">
        <v>1112</v>
      </c>
      <c r="P1242">
        <v>519.67999999999995</v>
      </c>
      <c r="Q1242">
        <v>7</v>
      </c>
      <c r="R1242">
        <v>58.463999999999999</v>
      </c>
      <c r="S1242" s="3" t="s">
        <v>35</v>
      </c>
      <c r="T1242">
        <v>2016</v>
      </c>
      <c r="U1242" t="s">
        <v>81</v>
      </c>
      <c r="V1242" s="2">
        <v>0.1125</v>
      </c>
    </row>
    <row r="1243" spans="1:22" x14ac:dyDescent="0.25">
      <c r="A1243" t="s">
        <v>3324</v>
      </c>
      <c r="B1243" s="1">
        <v>43083</v>
      </c>
      <c r="C1243" s="1">
        <v>43083</v>
      </c>
      <c r="D1243" t="s">
        <v>677</v>
      </c>
      <c r="E1243" t="s">
        <v>855</v>
      </c>
      <c r="F1243" t="s">
        <v>856</v>
      </c>
      <c r="G1243" t="s">
        <v>26</v>
      </c>
      <c r="H1243" t="s">
        <v>27</v>
      </c>
      <c r="I1243" t="s">
        <v>3325</v>
      </c>
      <c r="J1243" t="s">
        <v>78</v>
      </c>
      <c r="K1243" t="s">
        <v>62</v>
      </c>
      <c r="L1243" t="s">
        <v>1161</v>
      </c>
      <c r="M1243" t="s">
        <v>32</v>
      </c>
      <c r="N1243" t="s">
        <v>51</v>
      </c>
      <c r="O1243" t="s">
        <v>1162</v>
      </c>
      <c r="P1243">
        <v>39.264000000000003</v>
      </c>
      <c r="Q1243">
        <v>3</v>
      </c>
      <c r="R1243">
        <v>-4.9080000000000004</v>
      </c>
      <c r="S1243" s="3" t="s">
        <v>683</v>
      </c>
      <c r="T1243">
        <v>2017</v>
      </c>
      <c r="U1243" t="s">
        <v>66</v>
      </c>
      <c r="V1243" s="2">
        <v>-0.125</v>
      </c>
    </row>
    <row r="1244" spans="1:22" x14ac:dyDescent="0.25">
      <c r="A1244" t="s">
        <v>3326</v>
      </c>
      <c r="B1244" s="1">
        <v>42997</v>
      </c>
      <c r="C1244" s="1">
        <v>43002</v>
      </c>
      <c r="D1244" t="s">
        <v>23</v>
      </c>
      <c r="E1244" t="s">
        <v>3327</v>
      </c>
      <c r="F1244" t="s">
        <v>3328</v>
      </c>
      <c r="G1244" t="s">
        <v>59</v>
      </c>
      <c r="H1244" t="s">
        <v>27</v>
      </c>
      <c r="I1244" t="s">
        <v>28</v>
      </c>
      <c r="J1244" t="s">
        <v>29</v>
      </c>
      <c r="K1244" t="s">
        <v>30</v>
      </c>
      <c r="L1244" t="s">
        <v>759</v>
      </c>
      <c r="M1244" t="s">
        <v>32</v>
      </c>
      <c r="N1244" t="s">
        <v>51</v>
      </c>
      <c r="O1244" t="s">
        <v>760</v>
      </c>
      <c r="P1244">
        <v>149.94999999999999</v>
      </c>
      <c r="Q1244">
        <v>5</v>
      </c>
      <c r="R1244">
        <v>31.4895</v>
      </c>
      <c r="S1244" s="3" t="s">
        <v>35</v>
      </c>
      <c r="T1244">
        <v>2017</v>
      </c>
      <c r="U1244" t="s">
        <v>81</v>
      </c>
      <c r="V1244" s="2">
        <v>0.21</v>
      </c>
    </row>
    <row r="1245" spans="1:22" x14ac:dyDescent="0.25">
      <c r="A1245" t="s">
        <v>3329</v>
      </c>
      <c r="B1245" s="1">
        <v>42902</v>
      </c>
      <c r="C1245" s="1">
        <v>42904</v>
      </c>
      <c r="D1245" t="s">
        <v>40</v>
      </c>
      <c r="E1245" t="s">
        <v>1003</v>
      </c>
      <c r="F1245" t="s">
        <v>1004</v>
      </c>
      <c r="G1245" t="s">
        <v>26</v>
      </c>
      <c r="H1245" t="s">
        <v>27</v>
      </c>
      <c r="I1245" t="s">
        <v>281</v>
      </c>
      <c r="J1245" t="s">
        <v>177</v>
      </c>
      <c r="K1245" t="s">
        <v>95</v>
      </c>
      <c r="L1245" t="s">
        <v>710</v>
      </c>
      <c r="M1245" t="s">
        <v>32</v>
      </c>
      <c r="N1245" t="s">
        <v>51</v>
      </c>
      <c r="O1245" t="s">
        <v>711</v>
      </c>
      <c r="P1245">
        <v>479.952</v>
      </c>
      <c r="Q1245">
        <v>6</v>
      </c>
      <c r="R1245">
        <v>107.9892</v>
      </c>
      <c r="S1245" s="3" t="s">
        <v>65</v>
      </c>
      <c r="T1245">
        <v>2017</v>
      </c>
      <c r="U1245" t="s">
        <v>36</v>
      </c>
      <c r="V1245" s="2">
        <v>0.22500000000000001</v>
      </c>
    </row>
    <row r="1246" spans="1:22" x14ac:dyDescent="0.25">
      <c r="A1246" t="s">
        <v>3330</v>
      </c>
      <c r="B1246" s="1">
        <v>43052</v>
      </c>
      <c r="C1246" s="1">
        <v>43055</v>
      </c>
      <c r="D1246" t="s">
        <v>56</v>
      </c>
      <c r="E1246" t="s">
        <v>3331</v>
      </c>
      <c r="F1246" t="s">
        <v>3332</v>
      </c>
      <c r="G1246" t="s">
        <v>59</v>
      </c>
      <c r="H1246" t="s">
        <v>27</v>
      </c>
      <c r="I1246" t="s">
        <v>103</v>
      </c>
      <c r="J1246" t="s">
        <v>104</v>
      </c>
      <c r="K1246" t="s">
        <v>95</v>
      </c>
      <c r="L1246" t="s">
        <v>2000</v>
      </c>
      <c r="M1246" t="s">
        <v>32</v>
      </c>
      <c r="N1246" t="s">
        <v>33</v>
      </c>
      <c r="O1246" t="s">
        <v>2001</v>
      </c>
      <c r="P1246">
        <v>629.95000000000005</v>
      </c>
      <c r="Q1246">
        <v>5</v>
      </c>
      <c r="R1246">
        <v>163.78700000000001</v>
      </c>
      <c r="S1246" s="3" t="s">
        <v>172</v>
      </c>
      <c r="T1246">
        <v>2017</v>
      </c>
      <c r="U1246" t="s">
        <v>118</v>
      </c>
      <c r="V1246" s="2">
        <v>0.26</v>
      </c>
    </row>
    <row r="1247" spans="1:22" x14ac:dyDescent="0.25">
      <c r="A1247" t="s">
        <v>3333</v>
      </c>
      <c r="B1247" s="1">
        <v>43080</v>
      </c>
      <c r="C1247" s="1">
        <v>43084</v>
      </c>
      <c r="D1247" t="s">
        <v>23</v>
      </c>
      <c r="E1247" t="s">
        <v>776</v>
      </c>
      <c r="F1247" t="s">
        <v>777</v>
      </c>
      <c r="G1247" t="s">
        <v>26</v>
      </c>
      <c r="H1247" t="s">
        <v>27</v>
      </c>
      <c r="I1247" t="s">
        <v>103</v>
      </c>
      <c r="J1247" t="s">
        <v>104</v>
      </c>
      <c r="K1247" t="s">
        <v>95</v>
      </c>
      <c r="L1247" t="s">
        <v>2819</v>
      </c>
      <c r="M1247" t="s">
        <v>32</v>
      </c>
      <c r="N1247" t="s">
        <v>33</v>
      </c>
      <c r="O1247" t="s">
        <v>2820</v>
      </c>
      <c r="P1247">
        <v>116.98</v>
      </c>
      <c r="Q1247">
        <v>2</v>
      </c>
      <c r="R1247">
        <v>29.245000000000001</v>
      </c>
      <c r="S1247" s="3" t="s">
        <v>53</v>
      </c>
      <c r="T1247">
        <v>2017</v>
      </c>
      <c r="U1247" t="s">
        <v>66</v>
      </c>
      <c r="V1247" s="2">
        <v>0.25</v>
      </c>
    </row>
    <row r="1248" spans="1:22" x14ac:dyDescent="0.25">
      <c r="A1248" t="s">
        <v>3334</v>
      </c>
      <c r="B1248" s="1">
        <v>42993</v>
      </c>
      <c r="C1248" s="1">
        <v>42997</v>
      </c>
      <c r="D1248" t="s">
        <v>23</v>
      </c>
      <c r="E1248" t="s">
        <v>3335</v>
      </c>
      <c r="F1248" t="s">
        <v>3336</v>
      </c>
      <c r="G1248" t="s">
        <v>59</v>
      </c>
      <c r="H1248" t="s">
        <v>27</v>
      </c>
      <c r="I1248" t="s">
        <v>1040</v>
      </c>
      <c r="J1248" t="s">
        <v>794</v>
      </c>
      <c r="K1248" t="s">
        <v>95</v>
      </c>
      <c r="L1248" t="s">
        <v>966</v>
      </c>
      <c r="M1248" t="s">
        <v>32</v>
      </c>
      <c r="N1248" t="s">
        <v>33</v>
      </c>
      <c r="O1248" t="s">
        <v>967</v>
      </c>
      <c r="P1248">
        <v>395.94</v>
      </c>
      <c r="Q1248">
        <v>6</v>
      </c>
      <c r="R1248">
        <v>102.9444</v>
      </c>
      <c r="S1248" s="3" t="s">
        <v>53</v>
      </c>
      <c r="T1248">
        <v>2017</v>
      </c>
      <c r="U1248" t="s">
        <v>81</v>
      </c>
      <c r="V1248" s="2">
        <v>0.26</v>
      </c>
    </row>
    <row r="1249" spans="1:22" x14ac:dyDescent="0.25">
      <c r="A1249" t="s">
        <v>3337</v>
      </c>
      <c r="B1249" s="1">
        <v>42615</v>
      </c>
      <c r="C1249" s="1">
        <v>42621</v>
      </c>
      <c r="D1249" t="s">
        <v>23</v>
      </c>
      <c r="E1249" t="s">
        <v>552</v>
      </c>
      <c r="F1249" t="s">
        <v>553</v>
      </c>
      <c r="G1249" t="s">
        <v>26</v>
      </c>
      <c r="H1249" t="s">
        <v>27</v>
      </c>
      <c r="I1249" t="s">
        <v>140</v>
      </c>
      <c r="J1249" t="s">
        <v>78</v>
      </c>
      <c r="K1249" t="s">
        <v>62</v>
      </c>
      <c r="L1249" t="s">
        <v>3338</v>
      </c>
      <c r="M1249" t="s">
        <v>32</v>
      </c>
      <c r="N1249" t="s">
        <v>215</v>
      </c>
      <c r="O1249" t="s">
        <v>3339</v>
      </c>
      <c r="P1249">
        <v>1362.9</v>
      </c>
      <c r="Q1249">
        <v>3</v>
      </c>
      <c r="R1249">
        <v>-19.47</v>
      </c>
      <c r="S1249" s="3" t="s">
        <v>107</v>
      </c>
      <c r="T1249">
        <v>2016</v>
      </c>
      <c r="U1249" t="s">
        <v>81</v>
      </c>
      <c r="V1249" s="2">
        <v>-1.4285714285714299E-2</v>
      </c>
    </row>
    <row r="1250" spans="1:22" x14ac:dyDescent="0.25">
      <c r="A1250" t="s">
        <v>3340</v>
      </c>
      <c r="B1250" s="1">
        <v>42763</v>
      </c>
      <c r="C1250" s="1">
        <v>42767</v>
      </c>
      <c r="D1250" t="s">
        <v>23</v>
      </c>
      <c r="E1250" t="s">
        <v>3341</v>
      </c>
      <c r="F1250" t="s">
        <v>3342</v>
      </c>
      <c r="G1250" t="s">
        <v>70</v>
      </c>
      <c r="H1250" t="s">
        <v>27</v>
      </c>
      <c r="I1250" t="s">
        <v>103</v>
      </c>
      <c r="J1250" t="s">
        <v>104</v>
      </c>
      <c r="K1250" t="s">
        <v>95</v>
      </c>
      <c r="L1250" t="s">
        <v>1573</v>
      </c>
      <c r="M1250" t="s">
        <v>32</v>
      </c>
      <c r="N1250" t="s">
        <v>51</v>
      </c>
      <c r="O1250" t="s">
        <v>1574</v>
      </c>
      <c r="P1250">
        <v>449.91</v>
      </c>
      <c r="Q1250">
        <v>9</v>
      </c>
      <c r="R1250">
        <v>157.46850000000001</v>
      </c>
      <c r="S1250" s="3" t="s">
        <v>53</v>
      </c>
      <c r="T1250">
        <v>2017</v>
      </c>
      <c r="U1250" t="s">
        <v>54</v>
      </c>
      <c r="V1250" s="2">
        <v>0.35</v>
      </c>
    </row>
    <row r="1251" spans="1:22" x14ac:dyDescent="0.25">
      <c r="A1251" t="s">
        <v>3343</v>
      </c>
      <c r="B1251" s="1">
        <v>42324</v>
      </c>
      <c r="C1251" s="1">
        <v>42328</v>
      </c>
      <c r="D1251" t="s">
        <v>23</v>
      </c>
      <c r="E1251" t="s">
        <v>3160</v>
      </c>
      <c r="F1251" t="s">
        <v>3161</v>
      </c>
      <c r="G1251" t="s">
        <v>59</v>
      </c>
      <c r="H1251" t="s">
        <v>27</v>
      </c>
      <c r="I1251" t="s">
        <v>140</v>
      </c>
      <c r="J1251" t="s">
        <v>78</v>
      </c>
      <c r="K1251" t="s">
        <v>62</v>
      </c>
      <c r="L1251" t="s">
        <v>1652</v>
      </c>
      <c r="M1251" t="s">
        <v>32</v>
      </c>
      <c r="N1251" t="s">
        <v>33</v>
      </c>
      <c r="O1251" t="s">
        <v>1653</v>
      </c>
      <c r="P1251">
        <v>239.976</v>
      </c>
      <c r="Q1251">
        <v>3</v>
      </c>
      <c r="R1251">
        <v>26.997299999999999</v>
      </c>
      <c r="S1251" s="3" t="s">
        <v>53</v>
      </c>
      <c r="T1251">
        <v>2015</v>
      </c>
      <c r="U1251" t="s">
        <v>118</v>
      </c>
      <c r="V1251" s="2">
        <v>0.1125</v>
      </c>
    </row>
    <row r="1252" spans="1:22" x14ac:dyDescent="0.25">
      <c r="A1252" t="s">
        <v>3344</v>
      </c>
      <c r="B1252" s="1">
        <v>42729</v>
      </c>
      <c r="C1252" s="1">
        <v>42736</v>
      </c>
      <c r="D1252" t="s">
        <v>23</v>
      </c>
      <c r="E1252" t="s">
        <v>1127</v>
      </c>
      <c r="F1252" t="s">
        <v>1128</v>
      </c>
      <c r="G1252" t="s">
        <v>59</v>
      </c>
      <c r="H1252" t="s">
        <v>27</v>
      </c>
      <c r="I1252" t="s">
        <v>893</v>
      </c>
      <c r="J1252" t="s">
        <v>123</v>
      </c>
      <c r="K1252" t="s">
        <v>30</v>
      </c>
      <c r="L1252" t="s">
        <v>1857</v>
      </c>
      <c r="M1252" t="s">
        <v>32</v>
      </c>
      <c r="N1252" t="s">
        <v>215</v>
      </c>
      <c r="O1252" t="s">
        <v>1858</v>
      </c>
      <c r="P1252">
        <v>269.97000000000003</v>
      </c>
      <c r="Q1252">
        <v>2</v>
      </c>
      <c r="R1252">
        <v>-386.95699999999999</v>
      </c>
      <c r="S1252" s="3" t="s">
        <v>132</v>
      </c>
      <c r="T1252">
        <v>2016</v>
      </c>
      <c r="U1252" t="s">
        <v>66</v>
      </c>
      <c r="V1252" s="2">
        <v>-1.43333333333333</v>
      </c>
    </row>
    <row r="1253" spans="1:22" x14ac:dyDescent="0.25">
      <c r="A1253" t="s">
        <v>3344</v>
      </c>
      <c r="B1253" s="1">
        <v>42729</v>
      </c>
      <c r="C1253" s="1">
        <v>42736</v>
      </c>
      <c r="D1253" t="s">
        <v>23</v>
      </c>
      <c r="E1253" t="s">
        <v>1127</v>
      </c>
      <c r="F1253" t="s">
        <v>1128</v>
      </c>
      <c r="G1253" t="s">
        <v>59</v>
      </c>
      <c r="H1253" t="s">
        <v>27</v>
      </c>
      <c r="I1253" t="s">
        <v>893</v>
      </c>
      <c r="J1253" t="s">
        <v>123</v>
      </c>
      <c r="K1253" t="s">
        <v>30</v>
      </c>
      <c r="L1253" t="s">
        <v>1518</v>
      </c>
      <c r="M1253" t="s">
        <v>32</v>
      </c>
      <c r="N1253" t="s">
        <v>51</v>
      </c>
      <c r="O1253" t="s">
        <v>1519</v>
      </c>
      <c r="P1253">
        <v>45.12</v>
      </c>
      <c r="Q1253">
        <v>3</v>
      </c>
      <c r="R1253">
        <v>-7.8959999999999999</v>
      </c>
      <c r="S1253" s="3" t="s">
        <v>132</v>
      </c>
      <c r="T1253">
        <v>2016</v>
      </c>
      <c r="U1253" t="s">
        <v>66</v>
      </c>
      <c r="V1253" s="2">
        <v>-0.17499999999999999</v>
      </c>
    </row>
    <row r="1254" spans="1:22" x14ac:dyDescent="0.25">
      <c r="A1254" t="s">
        <v>3344</v>
      </c>
      <c r="B1254" s="1">
        <v>42729</v>
      </c>
      <c r="C1254" s="1">
        <v>42736</v>
      </c>
      <c r="D1254" t="s">
        <v>23</v>
      </c>
      <c r="E1254" t="s">
        <v>1127</v>
      </c>
      <c r="F1254" t="s">
        <v>1128</v>
      </c>
      <c r="G1254" t="s">
        <v>59</v>
      </c>
      <c r="H1254" t="s">
        <v>27</v>
      </c>
      <c r="I1254" t="s">
        <v>893</v>
      </c>
      <c r="J1254" t="s">
        <v>123</v>
      </c>
      <c r="K1254" t="s">
        <v>30</v>
      </c>
      <c r="L1254" t="s">
        <v>883</v>
      </c>
      <c r="M1254" t="s">
        <v>32</v>
      </c>
      <c r="N1254" t="s">
        <v>51</v>
      </c>
      <c r="O1254" t="s">
        <v>884</v>
      </c>
      <c r="P1254">
        <v>100.8</v>
      </c>
      <c r="Q1254">
        <v>2</v>
      </c>
      <c r="R1254">
        <v>21.42</v>
      </c>
      <c r="S1254" s="3" t="s">
        <v>132</v>
      </c>
      <c r="T1254">
        <v>2016</v>
      </c>
      <c r="U1254" t="s">
        <v>66</v>
      </c>
      <c r="V1254" s="2">
        <v>0.21249999999999999</v>
      </c>
    </row>
    <row r="1255" spans="1:22" x14ac:dyDescent="0.25">
      <c r="A1255" t="s">
        <v>3345</v>
      </c>
      <c r="B1255" s="1">
        <v>41917</v>
      </c>
      <c r="C1255" s="1">
        <v>41918</v>
      </c>
      <c r="D1255" t="s">
        <v>56</v>
      </c>
      <c r="E1255" t="s">
        <v>437</v>
      </c>
      <c r="F1255" t="s">
        <v>438</v>
      </c>
      <c r="G1255" t="s">
        <v>26</v>
      </c>
      <c r="H1255" t="s">
        <v>27</v>
      </c>
      <c r="I1255" t="s">
        <v>1572</v>
      </c>
      <c r="J1255" t="s">
        <v>29</v>
      </c>
      <c r="K1255" t="s">
        <v>30</v>
      </c>
      <c r="L1255" t="s">
        <v>1573</v>
      </c>
      <c r="M1255" t="s">
        <v>32</v>
      </c>
      <c r="N1255" t="s">
        <v>51</v>
      </c>
      <c r="O1255" t="s">
        <v>1574</v>
      </c>
      <c r="P1255">
        <v>99.98</v>
      </c>
      <c r="Q1255">
        <v>2</v>
      </c>
      <c r="R1255">
        <v>34.993000000000002</v>
      </c>
      <c r="S1255" s="3" t="s">
        <v>112</v>
      </c>
      <c r="T1255">
        <v>2014</v>
      </c>
      <c r="U1255" t="s">
        <v>133</v>
      </c>
      <c r="V1255" s="2">
        <v>0.35</v>
      </c>
    </row>
    <row r="1256" spans="1:22" x14ac:dyDescent="0.25">
      <c r="A1256" t="s">
        <v>3346</v>
      </c>
      <c r="B1256" s="1">
        <v>42992</v>
      </c>
      <c r="C1256" s="1">
        <v>42993</v>
      </c>
      <c r="D1256" t="s">
        <v>56</v>
      </c>
      <c r="E1256" t="s">
        <v>3347</v>
      </c>
      <c r="F1256" t="s">
        <v>3348</v>
      </c>
      <c r="G1256" t="s">
        <v>26</v>
      </c>
      <c r="H1256" t="s">
        <v>27</v>
      </c>
      <c r="I1256" t="s">
        <v>206</v>
      </c>
      <c r="J1256" t="s">
        <v>207</v>
      </c>
      <c r="K1256" t="s">
        <v>95</v>
      </c>
      <c r="L1256" t="s">
        <v>3316</v>
      </c>
      <c r="M1256" t="s">
        <v>32</v>
      </c>
      <c r="N1256" t="s">
        <v>215</v>
      </c>
      <c r="O1256" t="s">
        <v>3317</v>
      </c>
      <c r="P1256">
        <v>12.585000000000001</v>
      </c>
      <c r="Q1256">
        <v>1</v>
      </c>
      <c r="R1256">
        <v>-18.038499999999999</v>
      </c>
      <c r="S1256" s="3" t="s">
        <v>112</v>
      </c>
      <c r="T1256">
        <v>2017</v>
      </c>
      <c r="U1256" t="s">
        <v>81</v>
      </c>
      <c r="V1256" s="2">
        <v>-1.43333333333333</v>
      </c>
    </row>
    <row r="1257" spans="1:22" x14ac:dyDescent="0.25">
      <c r="A1257" t="s">
        <v>3346</v>
      </c>
      <c r="B1257" s="1">
        <v>42992</v>
      </c>
      <c r="C1257" s="1">
        <v>42993</v>
      </c>
      <c r="D1257" t="s">
        <v>56</v>
      </c>
      <c r="E1257" t="s">
        <v>3347</v>
      </c>
      <c r="F1257" t="s">
        <v>3348</v>
      </c>
      <c r="G1257" t="s">
        <v>26</v>
      </c>
      <c r="H1257" t="s">
        <v>27</v>
      </c>
      <c r="I1257" t="s">
        <v>206</v>
      </c>
      <c r="J1257" t="s">
        <v>207</v>
      </c>
      <c r="K1257" t="s">
        <v>95</v>
      </c>
      <c r="L1257" t="s">
        <v>417</v>
      </c>
      <c r="M1257" t="s">
        <v>32</v>
      </c>
      <c r="N1257" t="s">
        <v>215</v>
      </c>
      <c r="O1257" t="s">
        <v>418</v>
      </c>
      <c r="P1257">
        <v>241.17</v>
      </c>
      <c r="Q1257">
        <v>2</v>
      </c>
      <c r="R1257">
        <v>-168.81899999999999</v>
      </c>
      <c r="S1257" s="3" t="s">
        <v>112</v>
      </c>
      <c r="T1257">
        <v>2017</v>
      </c>
      <c r="U1257" t="s">
        <v>81</v>
      </c>
      <c r="V1257" s="2">
        <v>-0.7</v>
      </c>
    </row>
    <row r="1258" spans="1:22" x14ac:dyDescent="0.25">
      <c r="A1258" t="s">
        <v>3349</v>
      </c>
      <c r="B1258" s="1">
        <v>42645</v>
      </c>
      <c r="C1258" s="1">
        <v>42652</v>
      </c>
      <c r="D1258" t="s">
        <v>23</v>
      </c>
      <c r="E1258" t="s">
        <v>3350</v>
      </c>
      <c r="F1258" t="s">
        <v>3351</v>
      </c>
      <c r="G1258" t="s">
        <v>59</v>
      </c>
      <c r="H1258" t="s">
        <v>27</v>
      </c>
      <c r="I1258" t="s">
        <v>2507</v>
      </c>
      <c r="J1258" t="s">
        <v>669</v>
      </c>
      <c r="K1258" t="s">
        <v>62</v>
      </c>
      <c r="L1258" t="s">
        <v>1869</v>
      </c>
      <c r="M1258" t="s">
        <v>32</v>
      </c>
      <c r="N1258" t="s">
        <v>381</v>
      </c>
      <c r="O1258" t="s">
        <v>1870</v>
      </c>
      <c r="P1258">
        <v>17499.95</v>
      </c>
      <c r="Q1258">
        <v>5</v>
      </c>
      <c r="R1258">
        <v>8399.9760000000006</v>
      </c>
      <c r="S1258" s="3" t="s">
        <v>132</v>
      </c>
      <c r="T1258">
        <v>2016</v>
      </c>
      <c r="U1258" t="s">
        <v>133</v>
      </c>
      <c r="V1258" s="2">
        <v>0.48</v>
      </c>
    </row>
    <row r="1259" spans="1:22" x14ac:dyDescent="0.25">
      <c r="A1259" t="s">
        <v>3352</v>
      </c>
      <c r="B1259" s="1">
        <v>42728</v>
      </c>
      <c r="C1259" s="1">
        <v>42731</v>
      </c>
      <c r="D1259" t="s">
        <v>40</v>
      </c>
      <c r="E1259" t="s">
        <v>3353</v>
      </c>
      <c r="F1259" t="s">
        <v>3354</v>
      </c>
      <c r="G1259" t="s">
        <v>59</v>
      </c>
      <c r="H1259" t="s">
        <v>27</v>
      </c>
      <c r="I1259" t="s">
        <v>103</v>
      </c>
      <c r="J1259" t="s">
        <v>104</v>
      </c>
      <c r="K1259" t="s">
        <v>95</v>
      </c>
      <c r="L1259" t="s">
        <v>1191</v>
      </c>
      <c r="M1259" t="s">
        <v>32</v>
      </c>
      <c r="N1259" t="s">
        <v>33</v>
      </c>
      <c r="O1259" t="s">
        <v>1192</v>
      </c>
      <c r="P1259">
        <v>197.97</v>
      </c>
      <c r="Q1259">
        <v>3</v>
      </c>
      <c r="R1259">
        <v>53.451900000000002</v>
      </c>
      <c r="S1259" s="3" t="s">
        <v>172</v>
      </c>
      <c r="T1259">
        <v>2016</v>
      </c>
      <c r="U1259" t="s">
        <v>66</v>
      </c>
      <c r="V1259" s="2">
        <v>0.27</v>
      </c>
    </row>
    <row r="1260" spans="1:22" x14ac:dyDescent="0.25">
      <c r="A1260" t="s">
        <v>3355</v>
      </c>
      <c r="B1260" s="1">
        <v>42694</v>
      </c>
      <c r="C1260" s="1">
        <v>42698</v>
      </c>
      <c r="D1260" t="s">
        <v>23</v>
      </c>
      <c r="E1260" t="s">
        <v>2785</v>
      </c>
      <c r="F1260" t="s">
        <v>2786</v>
      </c>
      <c r="G1260" t="s">
        <v>59</v>
      </c>
      <c r="H1260" t="s">
        <v>27</v>
      </c>
      <c r="I1260" t="s">
        <v>3356</v>
      </c>
      <c r="J1260" t="s">
        <v>29</v>
      </c>
      <c r="K1260" t="s">
        <v>30</v>
      </c>
      <c r="L1260" t="s">
        <v>3157</v>
      </c>
      <c r="M1260" t="s">
        <v>32</v>
      </c>
      <c r="N1260" t="s">
        <v>51</v>
      </c>
      <c r="O1260" t="s">
        <v>3158</v>
      </c>
      <c r="P1260">
        <v>27.88</v>
      </c>
      <c r="Q1260">
        <v>2</v>
      </c>
      <c r="R1260">
        <v>3.9032</v>
      </c>
      <c r="S1260" s="3" t="s">
        <v>53</v>
      </c>
      <c r="T1260">
        <v>2016</v>
      </c>
      <c r="U1260" t="s">
        <v>118</v>
      </c>
      <c r="V1260" s="2">
        <v>0.14000000000000001</v>
      </c>
    </row>
    <row r="1261" spans="1:22" x14ac:dyDescent="0.25">
      <c r="A1261" t="s">
        <v>3357</v>
      </c>
      <c r="B1261" s="1">
        <v>42771</v>
      </c>
      <c r="C1261" s="1">
        <v>42775</v>
      </c>
      <c r="D1261" t="s">
        <v>23</v>
      </c>
      <c r="E1261" t="s">
        <v>3246</v>
      </c>
      <c r="F1261" t="s">
        <v>3247</v>
      </c>
      <c r="G1261" t="s">
        <v>59</v>
      </c>
      <c r="H1261" t="s">
        <v>27</v>
      </c>
      <c r="I1261" t="s">
        <v>3358</v>
      </c>
      <c r="J1261" t="s">
        <v>29</v>
      </c>
      <c r="K1261" t="s">
        <v>30</v>
      </c>
      <c r="L1261" t="s">
        <v>1111</v>
      </c>
      <c r="M1261" t="s">
        <v>32</v>
      </c>
      <c r="N1261" t="s">
        <v>33</v>
      </c>
      <c r="O1261" t="s">
        <v>1112</v>
      </c>
      <c r="P1261">
        <v>371.2</v>
      </c>
      <c r="Q1261">
        <v>5</v>
      </c>
      <c r="R1261">
        <v>41.76</v>
      </c>
      <c r="S1261" s="3" t="s">
        <v>53</v>
      </c>
      <c r="T1261">
        <v>2017</v>
      </c>
      <c r="U1261" t="s">
        <v>180</v>
      </c>
      <c r="V1261" s="2">
        <v>0.1125</v>
      </c>
    </row>
    <row r="1262" spans="1:22" x14ac:dyDescent="0.25">
      <c r="A1262" t="s">
        <v>3359</v>
      </c>
      <c r="B1262" s="1">
        <v>42625</v>
      </c>
      <c r="C1262" s="1">
        <v>42630</v>
      </c>
      <c r="D1262" t="s">
        <v>23</v>
      </c>
      <c r="E1262" t="s">
        <v>827</v>
      </c>
      <c r="F1262" t="s">
        <v>828</v>
      </c>
      <c r="G1262" t="s">
        <v>59</v>
      </c>
      <c r="H1262" t="s">
        <v>27</v>
      </c>
      <c r="I1262" t="s">
        <v>946</v>
      </c>
      <c r="J1262" t="s">
        <v>693</v>
      </c>
      <c r="K1262" t="s">
        <v>155</v>
      </c>
      <c r="L1262" t="s">
        <v>2705</v>
      </c>
      <c r="M1262" t="s">
        <v>32</v>
      </c>
      <c r="N1262" t="s">
        <v>51</v>
      </c>
      <c r="O1262" t="s">
        <v>2706</v>
      </c>
      <c r="P1262">
        <v>20.7</v>
      </c>
      <c r="Q1262">
        <v>3</v>
      </c>
      <c r="R1262">
        <v>1.6559999999999999</v>
      </c>
      <c r="S1262" s="3" t="s">
        <v>35</v>
      </c>
      <c r="T1262">
        <v>2016</v>
      </c>
      <c r="U1262" t="s">
        <v>81</v>
      </c>
      <c r="V1262" s="2">
        <v>0.08</v>
      </c>
    </row>
    <row r="1263" spans="1:22" x14ac:dyDescent="0.25">
      <c r="A1263" t="s">
        <v>3360</v>
      </c>
      <c r="B1263" s="1">
        <v>42569</v>
      </c>
      <c r="C1263" s="1">
        <v>42573</v>
      </c>
      <c r="D1263" t="s">
        <v>23</v>
      </c>
      <c r="E1263" t="s">
        <v>197</v>
      </c>
      <c r="F1263" t="s">
        <v>198</v>
      </c>
      <c r="G1263" t="s">
        <v>26</v>
      </c>
      <c r="H1263" t="s">
        <v>27</v>
      </c>
      <c r="I1263" t="s">
        <v>893</v>
      </c>
      <c r="J1263" t="s">
        <v>123</v>
      </c>
      <c r="K1263" t="s">
        <v>30</v>
      </c>
      <c r="L1263" t="s">
        <v>507</v>
      </c>
      <c r="M1263" t="s">
        <v>32</v>
      </c>
      <c r="N1263" t="s">
        <v>33</v>
      </c>
      <c r="O1263" t="s">
        <v>508</v>
      </c>
      <c r="P1263">
        <v>55.991999999999997</v>
      </c>
      <c r="Q1263">
        <v>1</v>
      </c>
      <c r="R1263">
        <v>3.4994999999999998</v>
      </c>
      <c r="S1263" s="3" t="s">
        <v>53</v>
      </c>
      <c r="T1263">
        <v>2016</v>
      </c>
      <c r="U1263" t="s">
        <v>332</v>
      </c>
      <c r="V1263" s="2">
        <v>6.25E-2</v>
      </c>
    </row>
    <row r="1264" spans="1:22" x14ac:dyDescent="0.25">
      <c r="A1264" t="s">
        <v>3361</v>
      </c>
      <c r="B1264" s="1">
        <v>43092</v>
      </c>
      <c r="C1264" s="1">
        <v>43097</v>
      </c>
      <c r="D1264" t="s">
        <v>40</v>
      </c>
      <c r="E1264" t="s">
        <v>3362</v>
      </c>
      <c r="F1264" t="s">
        <v>3363</v>
      </c>
      <c r="G1264" t="s">
        <v>59</v>
      </c>
      <c r="H1264" t="s">
        <v>27</v>
      </c>
      <c r="I1264" t="s">
        <v>1631</v>
      </c>
      <c r="J1264" t="s">
        <v>1011</v>
      </c>
      <c r="K1264" t="s">
        <v>155</v>
      </c>
      <c r="L1264" t="s">
        <v>1891</v>
      </c>
      <c r="M1264" t="s">
        <v>32</v>
      </c>
      <c r="N1264" t="s">
        <v>33</v>
      </c>
      <c r="O1264" t="s">
        <v>1892</v>
      </c>
      <c r="P1264">
        <v>494.97</v>
      </c>
      <c r="Q1264">
        <v>3</v>
      </c>
      <c r="R1264">
        <v>148.49100000000001</v>
      </c>
      <c r="S1264" s="3" t="s">
        <v>35</v>
      </c>
      <c r="T1264">
        <v>2017</v>
      </c>
      <c r="U1264" t="s">
        <v>66</v>
      </c>
      <c r="V1264" s="2">
        <v>0.3</v>
      </c>
    </row>
    <row r="1265" spans="1:22" x14ac:dyDescent="0.25">
      <c r="A1265" t="s">
        <v>3364</v>
      </c>
      <c r="B1265" s="1">
        <v>42842</v>
      </c>
      <c r="C1265" s="1">
        <v>42847</v>
      </c>
      <c r="D1265" t="s">
        <v>23</v>
      </c>
      <c r="E1265" t="s">
        <v>3347</v>
      </c>
      <c r="F1265" t="s">
        <v>3348</v>
      </c>
      <c r="G1265" t="s">
        <v>26</v>
      </c>
      <c r="H1265" t="s">
        <v>27</v>
      </c>
      <c r="I1265" t="s">
        <v>28</v>
      </c>
      <c r="J1265" t="s">
        <v>29</v>
      </c>
      <c r="K1265" t="s">
        <v>30</v>
      </c>
      <c r="L1265" t="s">
        <v>726</v>
      </c>
      <c r="M1265" t="s">
        <v>32</v>
      </c>
      <c r="N1265" t="s">
        <v>51</v>
      </c>
      <c r="O1265" t="s">
        <v>727</v>
      </c>
      <c r="P1265">
        <v>274.89</v>
      </c>
      <c r="Q1265">
        <v>11</v>
      </c>
      <c r="R1265">
        <v>46.731299999999997</v>
      </c>
      <c r="S1265" s="3" t="s">
        <v>35</v>
      </c>
      <c r="T1265">
        <v>2017</v>
      </c>
      <c r="U1265" t="s">
        <v>291</v>
      </c>
      <c r="V1265" s="2">
        <v>0.17</v>
      </c>
    </row>
    <row r="1266" spans="1:22" x14ac:dyDescent="0.25">
      <c r="A1266" t="s">
        <v>3365</v>
      </c>
      <c r="B1266" s="1">
        <v>42603</v>
      </c>
      <c r="C1266" s="1">
        <v>42610</v>
      </c>
      <c r="D1266" t="s">
        <v>23</v>
      </c>
      <c r="E1266" t="s">
        <v>1488</v>
      </c>
      <c r="F1266" t="s">
        <v>1489</v>
      </c>
      <c r="G1266" t="s">
        <v>59</v>
      </c>
      <c r="H1266" t="s">
        <v>27</v>
      </c>
      <c r="I1266" t="s">
        <v>28</v>
      </c>
      <c r="J1266" t="s">
        <v>29</v>
      </c>
      <c r="K1266" t="s">
        <v>30</v>
      </c>
      <c r="L1266" t="s">
        <v>548</v>
      </c>
      <c r="M1266" t="s">
        <v>32</v>
      </c>
      <c r="N1266" t="s">
        <v>33</v>
      </c>
      <c r="O1266" t="s">
        <v>549</v>
      </c>
      <c r="P1266">
        <v>91.96</v>
      </c>
      <c r="Q1266">
        <v>5</v>
      </c>
      <c r="R1266">
        <v>-20.690999999999999</v>
      </c>
      <c r="S1266" s="3" t="s">
        <v>132</v>
      </c>
      <c r="T1266">
        <v>2016</v>
      </c>
      <c r="U1266" t="s">
        <v>46</v>
      </c>
      <c r="V1266" s="2">
        <v>-0.22500000000000001</v>
      </c>
    </row>
    <row r="1267" spans="1:22" x14ac:dyDescent="0.25">
      <c r="A1267" t="s">
        <v>3365</v>
      </c>
      <c r="B1267" s="1">
        <v>42603</v>
      </c>
      <c r="C1267" s="1">
        <v>42610</v>
      </c>
      <c r="D1267" t="s">
        <v>23</v>
      </c>
      <c r="E1267" t="s">
        <v>1488</v>
      </c>
      <c r="F1267" t="s">
        <v>1489</v>
      </c>
      <c r="G1267" t="s">
        <v>59</v>
      </c>
      <c r="H1267" t="s">
        <v>27</v>
      </c>
      <c r="I1267" t="s">
        <v>28</v>
      </c>
      <c r="J1267" t="s">
        <v>29</v>
      </c>
      <c r="K1267" t="s">
        <v>30</v>
      </c>
      <c r="L1267" t="s">
        <v>164</v>
      </c>
      <c r="M1267" t="s">
        <v>32</v>
      </c>
      <c r="N1267" t="s">
        <v>51</v>
      </c>
      <c r="O1267" t="s">
        <v>165</v>
      </c>
      <c r="P1267">
        <v>254.97</v>
      </c>
      <c r="Q1267">
        <v>3</v>
      </c>
      <c r="R1267">
        <v>91.789199999999994</v>
      </c>
      <c r="S1267" s="3" t="s">
        <v>132</v>
      </c>
      <c r="T1267">
        <v>2016</v>
      </c>
      <c r="U1267" t="s">
        <v>46</v>
      </c>
      <c r="V1267" s="2">
        <v>0.36</v>
      </c>
    </row>
    <row r="1268" spans="1:22" x14ac:dyDescent="0.25">
      <c r="A1268" t="s">
        <v>3365</v>
      </c>
      <c r="B1268" s="1">
        <v>42603</v>
      </c>
      <c r="C1268" s="1">
        <v>42610</v>
      </c>
      <c r="D1268" t="s">
        <v>23</v>
      </c>
      <c r="E1268" t="s">
        <v>1488</v>
      </c>
      <c r="F1268" t="s">
        <v>1489</v>
      </c>
      <c r="G1268" t="s">
        <v>59</v>
      </c>
      <c r="H1268" t="s">
        <v>27</v>
      </c>
      <c r="I1268" t="s">
        <v>28</v>
      </c>
      <c r="J1268" t="s">
        <v>29</v>
      </c>
      <c r="K1268" t="s">
        <v>30</v>
      </c>
      <c r="L1268" t="s">
        <v>1973</v>
      </c>
      <c r="M1268" t="s">
        <v>32</v>
      </c>
      <c r="N1268" t="s">
        <v>33</v>
      </c>
      <c r="O1268" t="s">
        <v>1974</v>
      </c>
      <c r="P1268">
        <v>31.984000000000002</v>
      </c>
      <c r="Q1268">
        <v>2</v>
      </c>
      <c r="R1268">
        <v>-7.9960000000000004</v>
      </c>
      <c r="S1268" s="3" t="s">
        <v>132</v>
      </c>
      <c r="T1268">
        <v>2016</v>
      </c>
      <c r="U1268" t="s">
        <v>46</v>
      </c>
      <c r="V1268" s="2">
        <v>-0.25</v>
      </c>
    </row>
    <row r="1269" spans="1:22" x14ac:dyDescent="0.25">
      <c r="A1269" t="s">
        <v>3366</v>
      </c>
      <c r="B1269" s="1">
        <v>41929</v>
      </c>
      <c r="C1269" s="1">
        <v>41934</v>
      </c>
      <c r="D1269" t="s">
        <v>40</v>
      </c>
      <c r="E1269" t="s">
        <v>337</v>
      </c>
      <c r="F1269" t="s">
        <v>338</v>
      </c>
      <c r="G1269" t="s">
        <v>26</v>
      </c>
      <c r="H1269" t="s">
        <v>27</v>
      </c>
      <c r="I1269" t="s">
        <v>3367</v>
      </c>
      <c r="J1269" t="s">
        <v>61</v>
      </c>
      <c r="K1269" t="s">
        <v>62</v>
      </c>
      <c r="L1269" t="s">
        <v>1155</v>
      </c>
      <c r="M1269" t="s">
        <v>32</v>
      </c>
      <c r="N1269" t="s">
        <v>51</v>
      </c>
      <c r="O1269" t="s">
        <v>1156</v>
      </c>
      <c r="P1269">
        <v>119.976</v>
      </c>
      <c r="Q1269">
        <v>3</v>
      </c>
      <c r="R1269">
        <v>-17.996400000000001</v>
      </c>
      <c r="S1269" s="3" t="s">
        <v>35</v>
      </c>
      <c r="T1269">
        <v>2014</v>
      </c>
      <c r="U1269" t="s">
        <v>133</v>
      </c>
      <c r="V1269" s="2">
        <v>-0.15</v>
      </c>
    </row>
    <row r="1270" spans="1:22" x14ac:dyDescent="0.25">
      <c r="A1270" t="s">
        <v>3368</v>
      </c>
      <c r="B1270" s="1">
        <v>42988</v>
      </c>
      <c r="C1270" s="1">
        <v>42995</v>
      </c>
      <c r="D1270" t="s">
        <v>23</v>
      </c>
      <c r="E1270" t="s">
        <v>3369</v>
      </c>
      <c r="F1270" t="s">
        <v>3370</v>
      </c>
      <c r="G1270" t="s">
        <v>26</v>
      </c>
      <c r="H1270" t="s">
        <v>27</v>
      </c>
      <c r="I1270" t="s">
        <v>946</v>
      </c>
      <c r="J1270" t="s">
        <v>177</v>
      </c>
      <c r="K1270" t="s">
        <v>95</v>
      </c>
      <c r="L1270" t="s">
        <v>156</v>
      </c>
      <c r="M1270" t="s">
        <v>32</v>
      </c>
      <c r="N1270" t="s">
        <v>51</v>
      </c>
      <c r="O1270" t="s">
        <v>157</v>
      </c>
      <c r="P1270">
        <v>37.055999999999997</v>
      </c>
      <c r="Q1270">
        <v>4</v>
      </c>
      <c r="R1270">
        <v>8.8008000000000006</v>
      </c>
      <c r="S1270" s="3" t="s">
        <v>132</v>
      </c>
      <c r="T1270">
        <v>2017</v>
      </c>
      <c r="U1270" t="s">
        <v>81</v>
      </c>
      <c r="V1270" s="2">
        <v>0.23749999999999999</v>
      </c>
    </row>
    <row r="1271" spans="1:22" x14ac:dyDescent="0.25">
      <c r="A1271" t="s">
        <v>3368</v>
      </c>
      <c r="B1271" s="1">
        <v>42988</v>
      </c>
      <c r="C1271" s="1">
        <v>42995</v>
      </c>
      <c r="D1271" t="s">
        <v>23</v>
      </c>
      <c r="E1271" t="s">
        <v>3369</v>
      </c>
      <c r="F1271" t="s">
        <v>3370</v>
      </c>
      <c r="G1271" t="s">
        <v>26</v>
      </c>
      <c r="H1271" t="s">
        <v>27</v>
      </c>
      <c r="I1271" t="s">
        <v>946</v>
      </c>
      <c r="J1271" t="s">
        <v>177</v>
      </c>
      <c r="K1271" t="s">
        <v>95</v>
      </c>
      <c r="L1271" t="s">
        <v>1231</v>
      </c>
      <c r="M1271" t="s">
        <v>32</v>
      </c>
      <c r="N1271" t="s">
        <v>33</v>
      </c>
      <c r="O1271" t="s">
        <v>1232</v>
      </c>
      <c r="P1271">
        <v>259.89600000000002</v>
      </c>
      <c r="Q1271">
        <v>2</v>
      </c>
      <c r="R1271">
        <v>-56.3108</v>
      </c>
      <c r="S1271" s="3" t="s">
        <v>132</v>
      </c>
      <c r="T1271">
        <v>2017</v>
      </c>
      <c r="U1271" t="s">
        <v>81</v>
      </c>
      <c r="V1271" s="2">
        <v>-0.21666666666666701</v>
      </c>
    </row>
    <row r="1272" spans="1:22" x14ac:dyDescent="0.25">
      <c r="A1272" t="s">
        <v>3371</v>
      </c>
      <c r="B1272" s="1">
        <v>42996</v>
      </c>
      <c r="C1272" s="1">
        <v>43000</v>
      </c>
      <c r="D1272" t="s">
        <v>23</v>
      </c>
      <c r="E1272" t="s">
        <v>1962</v>
      </c>
      <c r="F1272" t="s">
        <v>1963</v>
      </c>
      <c r="G1272" t="s">
        <v>59</v>
      </c>
      <c r="H1272" t="s">
        <v>27</v>
      </c>
      <c r="I1272" t="s">
        <v>176</v>
      </c>
      <c r="J1272" t="s">
        <v>1006</v>
      </c>
      <c r="K1272" t="s">
        <v>155</v>
      </c>
      <c r="L1272" t="s">
        <v>244</v>
      </c>
      <c r="M1272" t="s">
        <v>32</v>
      </c>
      <c r="N1272" t="s">
        <v>33</v>
      </c>
      <c r="O1272" t="s">
        <v>245</v>
      </c>
      <c r="P1272">
        <v>95.68</v>
      </c>
      <c r="Q1272">
        <v>8</v>
      </c>
      <c r="R1272">
        <v>26.790400000000002</v>
      </c>
      <c r="S1272" s="3" t="s">
        <v>53</v>
      </c>
      <c r="T1272">
        <v>2017</v>
      </c>
      <c r="U1272" t="s">
        <v>81</v>
      </c>
      <c r="V1272" s="2">
        <v>0.28000000000000003</v>
      </c>
    </row>
    <row r="1273" spans="1:22" x14ac:dyDescent="0.25">
      <c r="A1273" t="s">
        <v>3371</v>
      </c>
      <c r="B1273" s="1">
        <v>42996</v>
      </c>
      <c r="C1273" s="1">
        <v>43000</v>
      </c>
      <c r="D1273" t="s">
        <v>23</v>
      </c>
      <c r="E1273" t="s">
        <v>1962</v>
      </c>
      <c r="F1273" t="s">
        <v>1963</v>
      </c>
      <c r="G1273" t="s">
        <v>59</v>
      </c>
      <c r="H1273" t="s">
        <v>27</v>
      </c>
      <c r="I1273" t="s">
        <v>176</v>
      </c>
      <c r="J1273" t="s">
        <v>1006</v>
      </c>
      <c r="K1273" t="s">
        <v>155</v>
      </c>
      <c r="L1273" t="s">
        <v>105</v>
      </c>
      <c r="M1273" t="s">
        <v>32</v>
      </c>
      <c r="N1273" t="s">
        <v>33</v>
      </c>
      <c r="O1273" t="s">
        <v>106</v>
      </c>
      <c r="P1273">
        <v>411.98</v>
      </c>
      <c r="Q1273">
        <v>2</v>
      </c>
      <c r="R1273">
        <v>119.4742</v>
      </c>
      <c r="S1273" s="3" t="s">
        <v>53</v>
      </c>
      <c r="T1273">
        <v>2017</v>
      </c>
      <c r="U1273" t="s">
        <v>81</v>
      </c>
      <c r="V1273" s="2">
        <v>0.28999999999999998</v>
      </c>
    </row>
    <row r="1274" spans="1:22" x14ac:dyDescent="0.25">
      <c r="A1274" t="s">
        <v>3372</v>
      </c>
      <c r="B1274" s="1">
        <v>42254</v>
      </c>
      <c r="C1274" s="1">
        <v>42258</v>
      </c>
      <c r="D1274" t="s">
        <v>23</v>
      </c>
      <c r="E1274" t="s">
        <v>3373</v>
      </c>
      <c r="F1274" t="s">
        <v>3374</v>
      </c>
      <c r="G1274" t="s">
        <v>70</v>
      </c>
      <c r="H1274" t="s">
        <v>27</v>
      </c>
      <c r="I1274" t="s">
        <v>103</v>
      </c>
      <c r="J1274" t="s">
        <v>104</v>
      </c>
      <c r="K1274" t="s">
        <v>95</v>
      </c>
      <c r="L1274" t="s">
        <v>795</v>
      </c>
      <c r="M1274" t="s">
        <v>32</v>
      </c>
      <c r="N1274" t="s">
        <v>51</v>
      </c>
      <c r="O1274" t="s">
        <v>796</v>
      </c>
      <c r="P1274">
        <v>559.92999999999995</v>
      </c>
      <c r="Q1274">
        <v>7</v>
      </c>
      <c r="R1274">
        <v>167.97900000000001</v>
      </c>
      <c r="S1274" s="3" t="s">
        <v>53</v>
      </c>
      <c r="T1274">
        <v>2015</v>
      </c>
      <c r="U1274" t="s">
        <v>81</v>
      </c>
      <c r="V1274" s="2">
        <v>0.3</v>
      </c>
    </row>
    <row r="1275" spans="1:22" x14ac:dyDescent="0.25">
      <c r="A1275" t="s">
        <v>3375</v>
      </c>
      <c r="B1275" s="1">
        <v>42940</v>
      </c>
      <c r="C1275" s="1">
        <v>42940</v>
      </c>
      <c r="D1275" t="s">
        <v>677</v>
      </c>
      <c r="E1275" t="s">
        <v>1832</v>
      </c>
      <c r="F1275" t="s">
        <v>1833</v>
      </c>
      <c r="G1275" t="s">
        <v>59</v>
      </c>
      <c r="H1275" t="s">
        <v>27</v>
      </c>
      <c r="I1275" t="s">
        <v>3376</v>
      </c>
      <c r="J1275" t="s">
        <v>29</v>
      </c>
      <c r="K1275" t="s">
        <v>30</v>
      </c>
      <c r="L1275" t="s">
        <v>380</v>
      </c>
      <c r="M1275" t="s">
        <v>32</v>
      </c>
      <c r="N1275" t="s">
        <v>381</v>
      </c>
      <c r="O1275" t="s">
        <v>382</v>
      </c>
      <c r="P1275">
        <v>2399.96</v>
      </c>
      <c r="Q1275">
        <v>5</v>
      </c>
      <c r="R1275">
        <v>839.98599999999999</v>
      </c>
      <c r="S1275" s="3" t="s">
        <v>683</v>
      </c>
      <c r="T1275">
        <v>2017</v>
      </c>
      <c r="U1275" t="s">
        <v>332</v>
      </c>
      <c r="V1275" s="2">
        <v>0.35</v>
      </c>
    </row>
    <row r="1276" spans="1:22" x14ac:dyDescent="0.25">
      <c r="A1276" t="s">
        <v>3377</v>
      </c>
      <c r="B1276" s="1">
        <v>42640</v>
      </c>
      <c r="C1276" s="1">
        <v>42646</v>
      </c>
      <c r="D1276" t="s">
        <v>23</v>
      </c>
      <c r="E1276" t="s">
        <v>2866</v>
      </c>
      <c r="F1276" t="s">
        <v>2867</v>
      </c>
      <c r="G1276" t="s">
        <v>26</v>
      </c>
      <c r="H1276" t="s">
        <v>27</v>
      </c>
      <c r="I1276" t="s">
        <v>481</v>
      </c>
      <c r="J1276" t="s">
        <v>426</v>
      </c>
      <c r="K1276" t="s">
        <v>30</v>
      </c>
      <c r="L1276" t="s">
        <v>2822</v>
      </c>
      <c r="M1276" t="s">
        <v>32</v>
      </c>
      <c r="N1276" t="s">
        <v>33</v>
      </c>
      <c r="O1276" t="s">
        <v>2823</v>
      </c>
      <c r="P1276">
        <v>1001.5839999999999</v>
      </c>
      <c r="Q1276">
        <v>2</v>
      </c>
      <c r="R1276">
        <v>125.19799999999999</v>
      </c>
      <c r="S1276" s="3" t="s">
        <v>107</v>
      </c>
      <c r="T1276">
        <v>2016</v>
      </c>
      <c r="U1276" t="s">
        <v>81</v>
      </c>
      <c r="V1276" s="2">
        <v>0.125</v>
      </c>
    </row>
    <row r="1277" spans="1:22" x14ac:dyDescent="0.25">
      <c r="A1277" t="s">
        <v>3378</v>
      </c>
      <c r="B1277" s="1">
        <v>42857</v>
      </c>
      <c r="C1277" s="1">
        <v>42860</v>
      </c>
      <c r="D1277" t="s">
        <v>40</v>
      </c>
      <c r="E1277" t="s">
        <v>1698</v>
      </c>
      <c r="F1277" t="s">
        <v>1699</v>
      </c>
      <c r="G1277" t="s">
        <v>59</v>
      </c>
      <c r="H1277" t="s">
        <v>27</v>
      </c>
      <c r="I1277" t="s">
        <v>28</v>
      </c>
      <c r="J1277" t="s">
        <v>29</v>
      </c>
      <c r="K1277" t="s">
        <v>30</v>
      </c>
      <c r="L1277" t="s">
        <v>829</v>
      </c>
      <c r="M1277" t="s">
        <v>32</v>
      </c>
      <c r="N1277" t="s">
        <v>51</v>
      </c>
      <c r="O1277" t="s">
        <v>830</v>
      </c>
      <c r="P1277">
        <v>159.56</v>
      </c>
      <c r="Q1277">
        <v>4</v>
      </c>
      <c r="R1277">
        <v>59.037199999999999</v>
      </c>
      <c r="S1277" s="3" t="s">
        <v>172</v>
      </c>
      <c r="T1277">
        <v>2017</v>
      </c>
      <c r="U1277" t="s">
        <v>527</v>
      </c>
      <c r="V1277" s="2">
        <v>0.37</v>
      </c>
    </row>
    <row r="1278" spans="1:22" x14ac:dyDescent="0.25">
      <c r="A1278" t="s">
        <v>3379</v>
      </c>
      <c r="B1278" s="1">
        <v>42167</v>
      </c>
      <c r="C1278" s="1">
        <v>42171</v>
      </c>
      <c r="D1278" t="s">
        <v>23</v>
      </c>
      <c r="E1278" t="s">
        <v>274</v>
      </c>
      <c r="F1278" t="s">
        <v>275</v>
      </c>
      <c r="G1278" t="s">
        <v>26</v>
      </c>
      <c r="H1278" t="s">
        <v>27</v>
      </c>
      <c r="I1278" t="s">
        <v>3380</v>
      </c>
      <c r="J1278" t="s">
        <v>288</v>
      </c>
      <c r="K1278" t="s">
        <v>155</v>
      </c>
      <c r="L1278" t="s">
        <v>158</v>
      </c>
      <c r="M1278" t="s">
        <v>32</v>
      </c>
      <c r="N1278" t="s">
        <v>33</v>
      </c>
      <c r="O1278" t="s">
        <v>159</v>
      </c>
      <c r="P1278">
        <v>55.984000000000002</v>
      </c>
      <c r="Q1278">
        <v>2</v>
      </c>
      <c r="R1278">
        <v>4.1988000000000003</v>
      </c>
      <c r="S1278" s="3" t="s">
        <v>53</v>
      </c>
      <c r="T1278">
        <v>2015</v>
      </c>
      <c r="U1278" t="s">
        <v>36</v>
      </c>
      <c r="V1278" s="2">
        <v>7.4999999999999997E-2</v>
      </c>
    </row>
    <row r="1279" spans="1:22" x14ac:dyDescent="0.25">
      <c r="A1279" t="s">
        <v>3381</v>
      </c>
      <c r="B1279" s="1">
        <v>42544</v>
      </c>
      <c r="C1279" s="1">
        <v>42546</v>
      </c>
      <c r="D1279" t="s">
        <v>40</v>
      </c>
      <c r="E1279" t="s">
        <v>1586</v>
      </c>
      <c r="F1279" t="s">
        <v>1587</v>
      </c>
      <c r="G1279" t="s">
        <v>26</v>
      </c>
      <c r="H1279" t="s">
        <v>27</v>
      </c>
      <c r="I1279" t="s">
        <v>43</v>
      </c>
      <c r="J1279" t="s">
        <v>29</v>
      </c>
      <c r="K1279" t="s">
        <v>30</v>
      </c>
      <c r="L1279" t="s">
        <v>427</v>
      </c>
      <c r="M1279" t="s">
        <v>32</v>
      </c>
      <c r="N1279" t="s">
        <v>33</v>
      </c>
      <c r="O1279" t="s">
        <v>428</v>
      </c>
      <c r="P1279">
        <v>862.34400000000005</v>
      </c>
      <c r="Q1279">
        <v>7</v>
      </c>
      <c r="R1279">
        <v>97.0137</v>
      </c>
      <c r="S1279" s="3" t="s">
        <v>65</v>
      </c>
      <c r="T1279">
        <v>2016</v>
      </c>
      <c r="U1279" t="s">
        <v>36</v>
      </c>
      <c r="V1279" s="2">
        <v>0.1125</v>
      </c>
    </row>
    <row r="1280" spans="1:22" x14ac:dyDescent="0.25">
      <c r="A1280" t="s">
        <v>3382</v>
      </c>
      <c r="B1280" s="1">
        <v>41834</v>
      </c>
      <c r="C1280" s="1">
        <v>41838</v>
      </c>
      <c r="D1280" t="s">
        <v>23</v>
      </c>
      <c r="E1280" t="s">
        <v>2610</v>
      </c>
      <c r="F1280" t="s">
        <v>2611</v>
      </c>
      <c r="G1280" t="s">
        <v>26</v>
      </c>
      <c r="H1280" t="s">
        <v>27</v>
      </c>
      <c r="I1280" t="s">
        <v>206</v>
      </c>
      <c r="J1280" t="s">
        <v>207</v>
      </c>
      <c r="K1280" t="s">
        <v>95</v>
      </c>
      <c r="L1280" t="s">
        <v>3383</v>
      </c>
      <c r="M1280" t="s">
        <v>32</v>
      </c>
      <c r="N1280" t="s">
        <v>33</v>
      </c>
      <c r="O1280" t="s">
        <v>3384</v>
      </c>
      <c r="P1280">
        <v>13.494</v>
      </c>
      <c r="Q1280">
        <v>1</v>
      </c>
      <c r="R1280">
        <v>-2.2490000000000001</v>
      </c>
      <c r="S1280" s="3" t="s">
        <v>53</v>
      </c>
      <c r="T1280">
        <v>2014</v>
      </c>
      <c r="U1280" t="s">
        <v>332</v>
      </c>
      <c r="V1280" s="2">
        <v>-0.16666666666666699</v>
      </c>
    </row>
    <row r="1281" spans="1:22" x14ac:dyDescent="0.25">
      <c r="A1281" t="s">
        <v>3382</v>
      </c>
      <c r="B1281" s="1">
        <v>41834</v>
      </c>
      <c r="C1281" s="1">
        <v>41838</v>
      </c>
      <c r="D1281" t="s">
        <v>23</v>
      </c>
      <c r="E1281" t="s">
        <v>2610</v>
      </c>
      <c r="F1281" t="s">
        <v>2611</v>
      </c>
      <c r="G1281" t="s">
        <v>26</v>
      </c>
      <c r="H1281" t="s">
        <v>27</v>
      </c>
      <c r="I1281" t="s">
        <v>206</v>
      </c>
      <c r="J1281" t="s">
        <v>207</v>
      </c>
      <c r="K1281" t="s">
        <v>95</v>
      </c>
      <c r="L1281" t="s">
        <v>2915</v>
      </c>
      <c r="M1281" t="s">
        <v>32</v>
      </c>
      <c r="N1281" t="s">
        <v>33</v>
      </c>
      <c r="O1281" t="s">
        <v>2916</v>
      </c>
      <c r="P1281">
        <v>23.988</v>
      </c>
      <c r="Q1281">
        <v>2</v>
      </c>
      <c r="R1281">
        <v>-13.993</v>
      </c>
      <c r="S1281" s="3" t="s">
        <v>53</v>
      </c>
      <c r="T1281">
        <v>2014</v>
      </c>
      <c r="U1281" t="s">
        <v>332</v>
      </c>
      <c r="V1281" s="2">
        <v>-0.58333333333333304</v>
      </c>
    </row>
    <row r="1282" spans="1:22" x14ac:dyDescent="0.25">
      <c r="A1282" t="s">
        <v>3385</v>
      </c>
      <c r="B1282" s="1">
        <v>43069</v>
      </c>
      <c r="C1282" s="1">
        <v>43072</v>
      </c>
      <c r="D1282" t="s">
        <v>40</v>
      </c>
      <c r="E1282" t="s">
        <v>3004</v>
      </c>
      <c r="F1282" t="s">
        <v>3005</v>
      </c>
      <c r="G1282" t="s">
        <v>59</v>
      </c>
      <c r="H1282" t="s">
        <v>27</v>
      </c>
      <c r="I1282" t="s">
        <v>1274</v>
      </c>
      <c r="J1282" t="s">
        <v>61</v>
      </c>
      <c r="K1282" t="s">
        <v>62</v>
      </c>
      <c r="L1282" t="s">
        <v>141</v>
      </c>
      <c r="M1282" t="s">
        <v>32</v>
      </c>
      <c r="N1282" t="s">
        <v>51</v>
      </c>
      <c r="O1282" t="s">
        <v>142</v>
      </c>
      <c r="P1282">
        <v>95.975999999999999</v>
      </c>
      <c r="Q1282">
        <v>3</v>
      </c>
      <c r="R1282">
        <v>-10.7973</v>
      </c>
      <c r="S1282" s="3" t="s">
        <v>172</v>
      </c>
      <c r="T1282">
        <v>2017</v>
      </c>
      <c r="U1282" t="s">
        <v>118</v>
      </c>
      <c r="V1282" s="2">
        <v>-0.1125</v>
      </c>
    </row>
    <row r="1283" spans="1:22" x14ac:dyDescent="0.25">
      <c r="A1283" t="s">
        <v>3386</v>
      </c>
      <c r="B1283" s="1">
        <v>42679</v>
      </c>
      <c r="C1283" s="1">
        <v>42683</v>
      </c>
      <c r="D1283" t="s">
        <v>23</v>
      </c>
      <c r="E1283" t="s">
        <v>2307</v>
      </c>
      <c r="F1283" t="s">
        <v>2308</v>
      </c>
      <c r="G1283" t="s">
        <v>26</v>
      </c>
      <c r="H1283" t="s">
        <v>27</v>
      </c>
      <c r="I1283" t="s">
        <v>481</v>
      </c>
      <c r="J1283" t="s">
        <v>426</v>
      </c>
      <c r="K1283" t="s">
        <v>30</v>
      </c>
      <c r="L1283" t="s">
        <v>3387</v>
      </c>
      <c r="M1283" t="s">
        <v>32</v>
      </c>
      <c r="N1283" t="s">
        <v>51</v>
      </c>
      <c r="O1283" t="s">
        <v>3388</v>
      </c>
      <c r="P1283">
        <v>479.72</v>
      </c>
      <c r="Q1283">
        <v>4</v>
      </c>
      <c r="R1283">
        <v>52.769199999999998</v>
      </c>
      <c r="S1283" s="3" t="s">
        <v>53</v>
      </c>
      <c r="T1283">
        <v>2016</v>
      </c>
      <c r="U1283" t="s">
        <v>118</v>
      </c>
      <c r="V1283" s="2">
        <v>0.11</v>
      </c>
    </row>
    <row r="1284" spans="1:22" x14ac:dyDescent="0.25">
      <c r="A1284" t="s">
        <v>3389</v>
      </c>
      <c r="B1284" s="1">
        <v>42210</v>
      </c>
      <c r="C1284" s="1">
        <v>42215</v>
      </c>
      <c r="D1284" t="s">
        <v>23</v>
      </c>
      <c r="E1284" t="s">
        <v>2262</v>
      </c>
      <c r="F1284" t="s">
        <v>2263</v>
      </c>
      <c r="G1284" t="s">
        <v>26</v>
      </c>
      <c r="H1284" t="s">
        <v>27</v>
      </c>
      <c r="I1284" t="s">
        <v>28</v>
      </c>
      <c r="J1284" t="s">
        <v>29</v>
      </c>
      <c r="K1284" t="s">
        <v>30</v>
      </c>
      <c r="L1284" t="s">
        <v>3390</v>
      </c>
      <c r="M1284" t="s">
        <v>32</v>
      </c>
      <c r="N1284" t="s">
        <v>33</v>
      </c>
      <c r="O1284" t="s">
        <v>3391</v>
      </c>
      <c r="P1284">
        <v>623.96</v>
      </c>
      <c r="Q1284">
        <v>5</v>
      </c>
      <c r="R1284">
        <v>38.997500000000002</v>
      </c>
      <c r="S1284" s="3" t="s">
        <v>35</v>
      </c>
      <c r="T1284">
        <v>2015</v>
      </c>
      <c r="U1284" t="s">
        <v>332</v>
      </c>
      <c r="V1284" s="2">
        <v>6.25E-2</v>
      </c>
    </row>
    <row r="1285" spans="1:22" x14ac:dyDescent="0.25">
      <c r="A1285" t="s">
        <v>3392</v>
      </c>
      <c r="B1285" s="1">
        <v>42328</v>
      </c>
      <c r="C1285" s="1">
        <v>42332</v>
      </c>
      <c r="D1285" t="s">
        <v>23</v>
      </c>
      <c r="E1285" t="s">
        <v>362</v>
      </c>
      <c r="F1285" t="s">
        <v>363</v>
      </c>
      <c r="G1285" t="s">
        <v>59</v>
      </c>
      <c r="H1285" t="s">
        <v>27</v>
      </c>
      <c r="I1285" t="s">
        <v>262</v>
      </c>
      <c r="J1285" t="s">
        <v>61</v>
      </c>
      <c r="K1285" t="s">
        <v>62</v>
      </c>
      <c r="L1285" t="s">
        <v>3393</v>
      </c>
      <c r="M1285" t="s">
        <v>32</v>
      </c>
      <c r="N1285" t="s">
        <v>215</v>
      </c>
      <c r="O1285" t="s">
        <v>3394</v>
      </c>
      <c r="P1285">
        <v>479.988</v>
      </c>
      <c r="Q1285">
        <v>2</v>
      </c>
      <c r="R1285">
        <v>55.998600000000003</v>
      </c>
      <c r="S1285" s="3" t="s">
        <v>53</v>
      </c>
      <c r="T1285">
        <v>2015</v>
      </c>
      <c r="U1285" t="s">
        <v>118</v>
      </c>
      <c r="V1285" s="2">
        <v>0.116666666666667</v>
      </c>
    </row>
    <row r="1286" spans="1:22" x14ac:dyDescent="0.25">
      <c r="A1286" t="s">
        <v>3395</v>
      </c>
      <c r="B1286" s="1">
        <v>42279</v>
      </c>
      <c r="C1286" s="1">
        <v>42280</v>
      </c>
      <c r="D1286" t="s">
        <v>56</v>
      </c>
      <c r="E1286" t="s">
        <v>3396</v>
      </c>
      <c r="F1286" t="s">
        <v>3397</v>
      </c>
      <c r="G1286" t="s">
        <v>26</v>
      </c>
      <c r="H1286" t="s">
        <v>27</v>
      </c>
      <c r="I1286" t="s">
        <v>28</v>
      </c>
      <c r="J1286" t="s">
        <v>29</v>
      </c>
      <c r="K1286" t="s">
        <v>30</v>
      </c>
      <c r="L1286" t="s">
        <v>1824</v>
      </c>
      <c r="M1286" t="s">
        <v>32</v>
      </c>
      <c r="N1286" t="s">
        <v>33</v>
      </c>
      <c r="O1286" t="s">
        <v>1825</v>
      </c>
      <c r="P1286">
        <v>503.96</v>
      </c>
      <c r="Q1286">
        <v>5</v>
      </c>
      <c r="R1286">
        <v>50.396000000000001</v>
      </c>
      <c r="S1286" s="3" t="s">
        <v>112</v>
      </c>
      <c r="T1286">
        <v>2015</v>
      </c>
      <c r="U1286" t="s">
        <v>133</v>
      </c>
      <c r="V1286" s="2">
        <v>0.1</v>
      </c>
    </row>
    <row r="1287" spans="1:22" x14ac:dyDescent="0.25">
      <c r="A1287" t="s">
        <v>3398</v>
      </c>
      <c r="B1287" s="1">
        <v>42567</v>
      </c>
      <c r="C1287" s="1">
        <v>42571</v>
      </c>
      <c r="D1287" t="s">
        <v>40</v>
      </c>
      <c r="E1287" t="s">
        <v>384</v>
      </c>
      <c r="F1287" t="s">
        <v>385</v>
      </c>
      <c r="G1287" t="s">
        <v>59</v>
      </c>
      <c r="H1287" t="s">
        <v>27</v>
      </c>
      <c r="I1287" t="s">
        <v>1557</v>
      </c>
      <c r="J1287" t="s">
        <v>1851</v>
      </c>
      <c r="K1287" t="s">
        <v>155</v>
      </c>
      <c r="L1287" t="s">
        <v>1705</v>
      </c>
      <c r="M1287" t="s">
        <v>32</v>
      </c>
      <c r="N1287" t="s">
        <v>51</v>
      </c>
      <c r="O1287" t="s">
        <v>1706</v>
      </c>
      <c r="P1287">
        <v>75.98</v>
      </c>
      <c r="Q1287">
        <v>2</v>
      </c>
      <c r="R1287">
        <v>18.235199999999999</v>
      </c>
      <c r="S1287" s="3" t="s">
        <v>53</v>
      </c>
      <c r="T1287">
        <v>2016</v>
      </c>
      <c r="U1287" t="s">
        <v>332</v>
      </c>
      <c r="V1287" s="2">
        <v>0.24</v>
      </c>
    </row>
    <row r="1288" spans="1:22" x14ac:dyDescent="0.25">
      <c r="A1288" t="s">
        <v>3399</v>
      </c>
      <c r="B1288" s="1">
        <v>42293</v>
      </c>
      <c r="C1288" s="1">
        <v>42297</v>
      </c>
      <c r="D1288" t="s">
        <v>40</v>
      </c>
      <c r="E1288" t="s">
        <v>1718</v>
      </c>
      <c r="F1288" t="s">
        <v>1719</v>
      </c>
      <c r="G1288" t="s">
        <v>59</v>
      </c>
      <c r="H1288" t="s">
        <v>27</v>
      </c>
      <c r="I1288" t="s">
        <v>103</v>
      </c>
      <c r="J1288" t="s">
        <v>104</v>
      </c>
      <c r="K1288" t="s">
        <v>95</v>
      </c>
      <c r="L1288" t="s">
        <v>1082</v>
      </c>
      <c r="M1288" t="s">
        <v>32</v>
      </c>
      <c r="N1288" t="s">
        <v>33</v>
      </c>
      <c r="O1288" t="s">
        <v>1083</v>
      </c>
      <c r="P1288">
        <v>824.97</v>
      </c>
      <c r="Q1288">
        <v>3</v>
      </c>
      <c r="R1288">
        <v>214.4922</v>
      </c>
      <c r="S1288" s="3" t="s">
        <v>53</v>
      </c>
      <c r="T1288">
        <v>2015</v>
      </c>
      <c r="U1288" t="s">
        <v>133</v>
      </c>
      <c r="V1288" s="2">
        <v>0.26</v>
      </c>
    </row>
    <row r="1289" spans="1:22" x14ac:dyDescent="0.25">
      <c r="A1289" t="s">
        <v>3400</v>
      </c>
      <c r="B1289" s="1">
        <v>42997</v>
      </c>
      <c r="C1289" s="1">
        <v>43003</v>
      </c>
      <c r="D1289" t="s">
        <v>23</v>
      </c>
      <c r="E1289" t="s">
        <v>2458</v>
      </c>
      <c r="F1289" t="s">
        <v>2459</v>
      </c>
      <c r="G1289" t="s">
        <v>26</v>
      </c>
      <c r="H1289" t="s">
        <v>27</v>
      </c>
      <c r="I1289" t="s">
        <v>893</v>
      </c>
      <c r="J1289" t="s">
        <v>123</v>
      </c>
      <c r="K1289" t="s">
        <v>30</v>
      </c>
      <c r="L1289" t="s">
        <v>271</v>
      </c>
      <c r="M1289" t="s">
        <v>32</v>
      </c>
      <c r="N1289" t="s">
        <v>51</v>
      </c>
      <c r="O1289" t="s">
        <v>272</v>
      </c>
      <c r="P1289">
        <v>89.584000000000003</v>
      </c>
      <c r="Q1289">
        <v>2</v>
      </c>
      <c r="R1289">
        <v>4.4791999999999996</v>
      </c>
      <c r="S1289" s="3" t="s">
        <v>107</v>
      </c>
      <c r="T1289">
        <v>2017</v>
      </c>
      <c r="U1289" t="s">
        <v>81</v>
      </c>
      <c r="V1289" s="2">
        <v>0.05</v>
      </c>
    </row>
    <row r="1290" spans="1:22" x14ac:dyDescent="0.25">
      <c r="A1290" t="s">
        <v>3400</v>
      </c>
      <c r="B1290" s="1">
        <v>42997</v>
      </c>
      <c r="C1290" s="1">
        <v>43003</v>
      </c>
      <c r="D1290" t="s">
        <v>23</v>
      </c>
      <c r="E1290" t="s">
        <v>2458</v>
      </c>
      <c r="F1290" t="s">
        <v>2459</v>
      </c>
      <c r="G1290" t="s">
        <v>26</v>
      </c>
      <c r="H1290" t="s">
        <v>27</v>
      </c>
      <c r="I1290" t="s">
        <v>893</v>
      </c>
      <c r="J1290" t="s">
        <v>123</v>
      </c>
      <c r="K1290" t="s">
        <v>30</v>
      </c>
      <c r="L1290" t="s">
        <v>2228</v>
      </c>
      <c r="M1290" t="s">
        <v>32</v>
      </c>
      <c r="N1290" t="s">
        <v>33</v>
      </c>
      <c r="O1290" t="s">
        <v>2229</v>
      </c>
      <c r="P1290">
        <v>471.92</v>
      </c>
      <c r="Q1290">
        <v>2</v>
      </c>
      <c r="R1290">
        <v>29.495000000000001</v>
      </c>
      <c r="S1290" s="3" t="s">
        <v>107</v>
      </c>
      <c r="T1290">
        <v>2017</v>
      </c>
      <c r="U1290" t="s">
        <v>81</v>
      </c>
      <c r="V1290" s="2">
        <v>6.25E-2</v>
      </c>
    </row>
    <row r="1291" spans="1:22" x14ac:dyDescent="0.25">
      <c r="A1291" t="s">
        <v>3401</v>
      </c>
      <c r="B1291" s="1">
        <v>42699</v>
      </c>
      <c r="C1291" s="1">
        <v>42702</v>
      </c>
      <c r="D1291" t="s">
        <v>56</v>
      </c>
      <c r="E1291" t="s">
        <v>1251</v>
      </c>
      <c r="F1291" t="s">
        <v>1252</v>
      </c>
      <c r="G1291" t="s">
        <v>26</v>
      </c>
      <c r="H1291" t="s">
        <v>27</v>
      </c>
      <c r="I1291" t="s">
        <v>1010</v>
      </c>
      <c r="J1291" t="s">
        <v>1011</v>
      </c>
      <c r="K1291" t="s">
        <v>155</v>
      </c>
      <c r="L1291" t="s">
        <v>1202</v>
      </c>
      <c r="M1291" t="s">
        <v>32</v>
      </c>
      <c r="N1291" t="s">
        <v>33</v>
      </c>
      <c r="O1291" t="s">
        <v>1203</v>
      </c>
      <c r="P1291">
        <v>59.98</v>
      </c>
      <c r="Q1291">
        <v>2</v>
      </c>
      <c r="R1291">
        <v>17.994</v>
      </c>
      <c r="S1291" s="3" t="s">
        <v>172</v>
      </c>
      <c r="T1291">
        <v>2016</v>
      </c>
      <c r="U1291" t="s">
        <v>118</v>
      </c>
      <c r="V1291" s="2">
        <v>0.3</v>
      </c>
    </row>
    <row r="1292" spans="1:22" x14ac:dyDescent="0.25">
      <c r="A1292" t="s">
        <v>3402</v>
      </c>
      <c r="B1292" s="1">
        <v>42614</v>
      </c>
      <c r="C1292" s="1">
        <v>42618</v>
      </c>
      <c r="D1292" t="s">
        <v>23</v>
      </c>
      <c r="E1292" t="s">
        <v>891</v>
      </c>
      <c r="F1292" t="s">
        <v>892</v>
      </c>
      <c r="G1292" t="s">
        <v>26</v>
      </c>
      <c r="H1292" t="s">
        <v>27</v>
      </c>
      <c r="I1292" t="s">
        <v>851</v>
      </c>
      <c r="J1292" t="s">
        <v>256</v>
      </c>
      <c r="K1292" t="s">
        <v>62</v>
      </c>
      <c r="L1292" t="s">
        <v>472</v>
      </c>
      <c r="M1292" t="s">
        <v>32</v>
      </c>
      <c r="N1292" t="s">
        <v>33</v>
      </c>
      <c r="O1292" t="s">
        <v>473</v>
      </c>
      <c r="P1292">
        <v>8.7799999999999994</v>
      </c>
      <c r="Q1292">
        <v>1</v>
      </c>
      <c r="R1292">
        <v>2.2827999999999999</v>
      </c>
      <c r="S1292" s="3" t="s">
        <v>53</v>
      </c>
      <c r="T1292">
        <v>2016</v>
      </c>
      <c r="U1292" t="s">
        <v>81</v>
      </c>
      <c r="V1292" s="2">
        <v>0.26</v>
      </c>
    </row>
    <row r="1293" spans="1:22" x14ac:dyDescent="0.25">
      <c r="A1293" t="s">
        <v>3403</v>
      </c>
      <c r="B1293" s="1">
        <v>42316</v>
      </c>
      <c r="C1293" s="1">
        <v>42321</v>
      </c>
      <c r="D1293" t="s">
        <v>40</v>
      </c>
      <c r="E1293" t="s">
        <v>1624</v>
      </c>
      <c r="F1293" t="s">
        <v>1625</v>
      </c>
      <c r="G1293" t="s">
        <v>26</v>
      </c>
      <c r="H1293" t="s">
        <v>27</v>
      </c>
      <c r="I1293" t="s">
        <v>3404</v>
      </c>
      <c r="J1293" t="s">
        <v>693</v>
      </c>
      <c r="K1293" t="s">
        <v>155</v>
      </c>
      <c r="L1293" t="s">
        <v>1897</v>
      </c>
      <c r="M1293" t="s">
        <v>32</v>
      </c>
      <c r="N1293" t="s">
        <v>33</v>
      </c>
      <c r="O1293" t="s">
        <v>1898</v>
      </c>
      <c r="P1293">
        <v>226.2</v>
      </c>
      <c r="Q1293">
        <v>5</v>
      </c>
      <c r="R1293">
        <v>58.811999999999998</v>
      </c>
      <c r="S1293" s="3" t="s">
        <v>35</v>
      </c>
      <c r="T1293">
        <v>2015</v>
      </c>
      <c r="U1293" t="s">
        <v>118</v>
      </c>
      <c r="V1293" s="2">
        <v>0.26</v>
      </c>
    </row>
    <row r="1294" spans="1:22" x14ac:dyDescent="0.25">
      <c r="A1294" t="s">
        <v>3405</v>
      </c>
      <c r="B1294" s="1">
        <v>41709</v>
      </c>
      <c r="C1294" s="1">
        <v>41711</v>
      </c>
      <c r="D1294" t="s">
        <v>40</v>
      </c>
      <c r="E1294" t="s">
        <v>3406</v>
      </c>
      <c r="F1294" t="s">
        <v>3407</v>
      </c>
      <c r="G1294" t="s">
        <v>59</v>
      </c>
      <c r="H1294" t="s">
        <v>27</v>
      </c>
      <c r="I1294" t="s">
        <v>2225</v>
      </c>
      <c r="J1294" t="s">
        <v>804</v>
      </c>
      <c r="K1294" t="s">
        <v>155</v>
      </c>
      <c r="L1294" t="s">
        <v>824</v>
      </c>
      <c r="M1294" t="s">
        <v>32</v>
      </c>
      <c r="N1294" t="s">
        <v>51</v>
      </c>
      <c r="O1294" t="s">
        <v>825</v>
      </c>
      <c r="P1294">
        <v>32.96</v>
      </c>
      <c r="Q1294">
        <v>2</v>
      </c>
      <c r="R1294">
        <v>14.172800000000001</v>
      </c>
      <c r="S1294" s="3" t="s">
        <v>65</v>
      </c>
      <c r="T1294">
        <v>2014</v>
      </c>
      <c r="U1294" t="s">
        <v>89</v>
      </c>
      <c r="V1294" s="2">
        <v>0.43</v>
      </c>
    </row>
    <row r="1295" spans="1:22" x14ac:dyDescent="0.25">
      <c r="A1295" t="s">
        <v>3405</v>
      </c>
      <c r="B1295" s="1">
        <v>41709</v>
      </c>
      <c r="C1295" s="1">
        <v>41711</v>
      </c>
      <c r="D1295" t="s">
        <v>40</v>
      </c>
      <c r="E1295" t="s">
        <v>3406</v>
      </c>
      <c r="F1295" t="s">
        <v>3407</v>
      </c>
      <c r="G1295" t="s">
        <v>59</v>
      </c>
      <c r="H1295" t="s">
        <v>27</v>
      </c>
      <c r="I1295" t="s">
        <v>2225</v>
      </c>
      <c r="J1295" t="s">
        <v>804</v>
      </c>
      <c r="K1295" t="s">
        <v>155</v>
      </c>
      <c r="L1295" t="s">
        <v>556</v>
      </c>
      <c r="M1295" t="s">
        <v>32</v>
      </c>
      <c r="N1295" t="s">
        <v>33</v>
      </c>
      <c r="O1295" t="s">
        <v>557</v>
      </c>
      <c r="P1295">
        <v>587.97</v>
      </c>
      <c r="Q1295">
        <v>3</v>
      </c>
      <c r="R1295">
        <v>164.63159999999999</v>
      </c>
      <c r="S1295" s="3" t="s">
        <v>65</v>
      </c>
      <c r="T1295">
        <v>2014</v>
      </c>
      <c r="U1295" t="s">
        <v>89</v>
      </c>
      <c r="V1295" s="2">
        <v>0.28000000000000003</v>
      </c>
    </row>
    <row r="1296" spans="1:22" x14ac:dyDescent="0.25">
      <c r="A1296" t="s">
        <v>3408</v>
      </c>
      <c r="B1296" s="1">
        <v>41874</v>
      </c>
      <c r="C1296" s="1">
        <v>41878</v>
      </c>
      <c r="D1296" t="s">
        <v>23</v>
      </c>
      <c r="E1296" t="s">
        <v>1015</v>
      </c>
      <c r="F1296" t="s">
        <v>1016</v>
      </c>
      <c r="G1296" t="s">
        <v>26</v>
      </c>
      <c r="H1296" t="s">
        <v>27</v>
      </c>
      <c r="I1296" t="s">
        <v>588</v>
      </c>
      <c r="J1296" t="s">
        <v>147</v>
      </c>
      <c r="K1296" t="s">
        <v>30</v>
      </c>
      <c r="L1296" t="s">
        <v>492</v>
      </c>
      <c r="M1296" t="s">
        <v>32</v>
      </c>
      <c r="N1296" t="s">
        <v>33</v>
      </c>
      <c r="O1296" t="s">
        <v>493</v>
      </c>
      <c r="P1296">
        <v>143.63999999999999</v>
      </c>
      <c r="Q1296">
        <v>9</v>
      </c>
      <c r="R1296">
        <v>10.773</v>
      </c>
      <c r="S1296" s="3" t="s">
        <v>53</v>
      </c>
      <c r="T1296">
        <v>2014</v>
      </c>
      <c r="U1296" t="s">
        <v>46</v>
      </c>
      <c r="V1296" s="2">
        <v>7.4999999999999997E-2</v>
      </c>
    </row>
    <row r="1297" spans="1:22" x14ac:dyDescent="0.25">
      <c r="A1297" t="s">
        <v>3409</v>
      </c>
      <c r="B1297" s="1">
        <v>42772</v>
      </c>
      <c r="C1297" s="1">
        <v>42778</v>
      </c>
      <c r="D1297" t="s">
        <v>23</v>
      </c>
      <c r="E1297" t="s">
        <v>3410</v>
      </c>
      <c r="F1297" t="s">
        <v>3411</v>
      </c>
      <c r="G1297" t="s">
        <v>59</v>
      </c>
      <c r="H1297" t="s">
        <v>27</v>
      </c>
      <c r="I1297" t="s">
        <v>103</v>
      </c>
      <c r="J1297" t="s">
        <v>104</v>
      </c>
      <c r="K1297" t="s">
        <v>95</v>
      </c>
      <c r="L1297" t="s">
        <v>631</v>
      </c>
      <c r="M1297" t="s">
        <v>32</v>
      </c>
      <c r="N1297" t="s">
        <v>33</v>
      </c>
      <c r="O1297" t="s">
        <v>632</v>
      </c>
      <c r="P1297">
        <v>227.46</v>
      </c>
      <c r="Q1297">
        <v>6</v>
      </c>
      <c r="R1297">
        <v>65.963399999999993</v>
      </c>
      <c r="S1297" s="3" t="s">
        <v>107</v>
      </c>
      <c r="T1297">
        <v>2017</v>
      </c>
      <c r="U1297" t="s">
        <v>180</v>
      </c>
      <c r="V1297" s="2">
        <v>0.28999999999999998</v>
      </c>
    </row>
    <row r="1298" spans="1:22" x14ac:dyDescent="0.25">
      <c r="A1298" t="s">
        <v>3412</v>
      </c>
      <c r="B1298" s="1">
        <v>42685</v>
      </c>
      <c r="C1298" s="1">
        <v>42690</v>
      </c>
      <c r="D1298" t="s">
        <v>23</v>
      </c>
      <c r="E1298" t="s">
        <v>1936</v>
      </c>
      <c r="F1298" t="s">
        <v>1937</v>
      </c>
      <c r="G1298" t="s">
        <v>59</v>
      </c>
      <c r="H1298" t="s">
        <v>27</v>
      </c>
      <c r="I1298" t="s">
        <v>103</v>
      </c>
      <c r="J1298" t="s">
        <v>104</v>
      </c>
      <c r="K1298" t="s">
        <v>95</v>
      </c>
      <c r="L1298" t="s">
        <v>2256</v>
      </c>
      <c r="M1298" t="s">
        <v>32</v>
      </c>
      <c r="N1298" t="s">
        <v>51</v>
      </c>
      <c r="O1298" t="s">
        <v>2257</v>
      </c>
      <c r="P1298">
        <v>36</v>
      </c>
      <c r="Q1298">
        <v>2</v>
      </c>
      <c r="R1298">
        <v>6.48</v>
      </c>
      <c r="S1298" s="3" t="s">
        <v>35</v>
      </c>
      <c r="T1298">
        <v>2016</v>
      </c>
      <c r="U1298" t="s">
        <v>118</v>
      </c>
      <c r="V1298" s="2">
        <v>0.18</v>
      </c>
    </row>
    <row r="1299" spans="1:22" x14ac:dyDescent="0.25">
      <c r="A1299" t="s">
        <v>3413</v>
      </c>
      <c r="B1299" s="1">
        <v>41761</v>
      </c>
      <c r="C1299" s="1">
        <v>41763</v>
      </c>
      <c r="D1299" t="s">
        <v>40</v>
      </c>
      <c r="E1299" t="s">
        <v>3414</v>
      </c>
      <c r="F1299" t="s">
        <v>3415</v>
      </c>
      <c r="G1299" t="s">
        <v>26</v>
      </c>
      <c r="H1299" t="s">
        <v>27</v>
      </c>
      <c r="I1299" t="s">
        <v>2086</v>
      </c>
      <c r="J1299" t="s">
        <v>288</v>
      </c>
      <c r="K1299" t="s">
        <v>155</v>
      </c>
      <c r="L1299" t="s">
        <v>1025</v>
      </c>
      <c r="M1299" t="s">
        <v>32</v>
      </c>
      <c r="N1299" t="s">
        <v>381</v>
      </c>
      <c r="O1299" t="s">
        <v>1026</v>
      </c>
      <c r="P1299">
        <v>479.98399999999998</v>
      </c>
      <c r="Q1299">
        <v>2</v>
      </c>
      <c r="R1299">
        <v>89.997</v>
      </c>
      <c r="S1299" s="3" t="s">
        <v>65</v>
      </c>
      <c r="T1299">
        <v>2014</v>
      </c>
      <c r="U1299" t="s">
        <v>527</v>
      </c>
      <c r="V1299" s="2">
        <v>0.1875</v>
      </c>
    </row>
    <row r="1300" spans="1:22" x14ac:dyDescent="0.25">
      <c r="A1300" t="s">
        <v>3416</v>
      </c>
      <c r="B1300" s="1">
        <v>42934</v>
      </c>
      <c r="C1300" s="1">
        <v>42939</v>
      </c>
      <c r="D1300" t="s">
        <v>23</v>
      </c>
      <c r="E1300" t="s">
        <v>1817</v>
      </c>
      <c r="F1300" t="s">
        <v>1818</v>
      </c>
      <c r="G1300" t="s">
        <v>26</v>
      </c>
      <c r="H1300" t="s">
        <v>27</v>
      </c>
      <c r="I1300" t="s">
        <v>206</v>
      </c>
      <c r="J1300" t="s">
        <v>207</v>
      </c>
      <c r="K1300" t="s">
        <v>95</v>
      </c>
      <c r="L1300" t="s">
        <v>2691</v>
      </c>
      <c r="M1300" t="s">
        <v>32</v>
      </c>
      <c r="N1300" t="s">
        <v>381</v>
      </c>
      <c r="O1300" t="s">
        <v>2692</v>
      </c>
      <c r="P1300">
        <v>599.97</v>
      </c>
      <c r="Q1300">
        <v>5</v>
      </c>
      <c r="R1300">
        <v>69.996499999999997</v>
      </c>
      <c r="S1300" s="3" t="s">
        <v>35</v>
      </c>
      <c r="T1300">
        <v>2017</v>
      </c>
      <c r="U1300" t="s">
        <v>332</v>
      </c>
      <c r="V1300" s="2">
        <v>0.116666666666667</v>
      </c>
    </row>
    <row r="1301" spans="1:22" x14ac:dyDescent="0.25">
      <c r="A1301" t="s">
        <v>3417</v>
      </c>
      <c r="B1301" s="1">
        <v>41737</v>
      </c>
      <c r="C1301" s="1">
        <v>41741</v>
      </c>
      <c r="D1301" t="s">
        <v>23</v>
      </c>
      <c r="E1301" t="s">
        <v>355</v>
      </c>
      <c r="F1301" t="s">
        <v>356</v>
      </c>
      <c r="G1301" t="s">
        <v>70</v>
      </c>
      <c r="H1301" t="s">
        <v>27</v>
      </c>
      <c r="I1301" t="s">
        <v>839</v>
      </c>
      <c r="J1301" t="s">
        <v>29</v>
      </c>
      <c r="K1301" t="s">
        <v>30</v>
      </c>
      <c r="L1301" t="s">
        <v>365</v>
      </c>
      <c r="M1301" t="s">
        <v>32</v>
      </c>
      <c r="N1301" t="s">
        <v>51</v>
      </c>
      <c r="O1301" t="s">
        <v>366</v>
      </c>
      <c r="P1301">
        <v>399.96</v>
      </c>
      <c r="Q1301">
        <v>4</v>
      </c>
      <c r="R1301">
        <v>139.98599999999999</v>
      </c>
      <c r="S1301" s="3" t="s">
        <v>53</v>
      </c>
      <c r="T1301">
        <v>2014</v>
      </c>
      <c r="U1301" t="s">
        <v>291</v>
      </c>
      <c r="V1301" s="2">
        <v>0.35</v>
      </c>
    </row>
    <row r="1302" spans="1:22" x14ac:dyDescent="0.25">
      <c r="A1302" t="s">
        <v>3418</v>
      </c>
      <c r="B1302" s="1">
        <v>42715</v>
      </c>
      <c r="C1302" s="1">
        <v>42715</v>
      </c>
      <c r="D1302" t="s">
        <v>677</v>
      </c>
      <c r="E1302" t="s">
        <v>1604</v>
      </c>
      <c r="F1302" t="s">
        <v>1605</v>
      </c>
      <c r="G1302" t="s">
        <v>26</v>
      </c>
      <c r="H1302" t="s">
        <v>27</v>
      </c>
      <c r="I1302" t="s">
        <v>1989</v>
      </c>
      <c r="J1302" t="s">
        <v>29</v>
      </c>
      <c r="K1302" t="s">
        <v>30</v>
      </c>
      <c r="L1302" t="s">
        <v>759</v>
      </c>
      <c r="M1302" t="s">
        <v>32</v>
      </c>
      <c r="N1302" t="s">
        <v>51</v>
      </c>
      <c r="O1302" t="s">
        <v>760</v>
      </c>
      <c r="P1302">
        <v>119.96</v>
      </c>
      <c r="Q1302">
        <v>4</v>
      </c>
      <c r="R1302">
        <v>25.191600000000001</v>
      </c>
      <c r="S1302" s="3" t="s">
        <v>683</v>
      </c>
      <c r="T1302">
        <v>2016</v>
      </c>
      <c r="U1302" t="s">
        <v>66</v>
      </c>
      <c r="V1302" s="2">
        <v>0.21</v>
      </c>
    </row>
    <row r="1303" spans="1:22" x14ac:dyDescent="0.25">
      <c r="A1303" t="s">
        <v>3419</v>
      </c>
      <c r="B1303" s="1">
        <v>42615</v>
      </c>
      <c r="C1303" s="1">
        <v>42619</v>
      </c>
      <c r="D1303" t="s">
        <v>23</v>
      </c>
      <c r="E1303" t="s">
        <v>2949</v>
      </c>
      <c r="F1303" t="s">
        <v>2950</v>
      </c>
      <c r="G1303" t="s">
        <v>26</v>
      </c>
      <c r="H1303" t="s">
        <v>27</v>
      </c>
      <c r="I1303" t="s">
        <v>153</v>
      </c>
      <c r="J1303" t="s">
        <v>154</v>
      </c>
      <c r="K1303" t="s">
        <v>155</v>
      </c>
      <c r="L1303" t="s">
        <v>841</v>
      </c>
      <c r="M1303" t="s">
        <v>32</v>
      </c>
      <c r="N1303" t="s">
        <v>51</v>
      </c>
      <c r="O1303" t="s">
        <v>1306</v>
      </c>
      <c r="P1303">
        <v>1012.68</v>
      </c>
      <c r="Q1303">
        <v>3</v>
      </c>
      <c r="R1303">
        <v>303.80399999999997</v>
      </c>
      <c r="S1303" s="3" t="s">
        <v>53</v>
      </c>
      <c r="T1303">
        <v>2016</v>
      </c>
      <c r="U1303" t="s">
        <v>81</v>
      </c>
      <c r="V1303" s="2">
        <v>0.3</v>
      </c>
    </row>
    <row r="1304" spans="1:22" x14ac:dyDescent="0.25">
      <c r="A1304" t="s">
        <v>3420</v>
      </c>
      <c r="B1304" s="1">
        <v>42937</v>
      </c>
      <c r="C1304" s="1">
        <v>42941</v>
      </c>
      <c r="D1304" t="s">
        <v>40</v>
      </c>
      <c r="E1304" t="s">
        <v>651</v>
      </c>
      <c r="F1304" t="s">
        <v>652</v>
      </c>
      <c r="G1304" t="s">
        <v>59</v>
      </c>
      <c r="H1304" t="s">
        <v>27</v>
      </c>
      <c r="I1304" t="s">
        <v>839</v>
      </c>
      <c r="J1304" t="s">
        <v>29</v>
      </c>
      <c r="K1304" t="s">
        <v>30</v>
      </c>
      <c r="L1304" t="s">
        <v>1137</v>
      </c>
      <c r="M1304" t="s">
        <v>32</v>
      </c>
      <c r="N1304" t="s">
        <v>33</v>
      </c>
      <c r="O1304" t="s">
        <v>1138</v>
      </c>
      <c r="P1304">
        <v>1626.192</v>
      </c>
      <c r="Q1304">
        <v>9</v>
      </c>
      <c r="R1304">
        <v>121.9644</v>
      </c>
      <c r="S1304" s="3" t="s">
        <v>53</v>
      </c>
      <c r="T1304">
        <v>2017</v>
      </c>
      <c r="U1304" t="s">
        <v>332</v>
      </c>
      <c r="V1304" s="2">
        <v>7.4999999999999997E-2</v>
      </c>
    </row>
    <row r="1305" spans="1:22" x14ac:dyDescent="0.25">
      <c r="A1305" t="s">
        <v>3421</v>
      </c>
      <c r="B1305" s="1">
        <v>42901</v>
      </c>
      <c r="C1305" s="1">
        <v>42905</v>
      </c>
      <c r="D1305" t="s">
        <v>40</v>
      </c>
      <c r="E1305" t="s">
        <v>490</v>
      </c>
      <c r="F1305" t="s">
        <v>491</v>
      </c>
      <c r="G1305" t="s">
        <v>59</v>
      </c>
      <c r="H1305" t="s">
        <v>27</v>
      </c>
      <c r="I1305" t="s">
        <v>28</v>
      </c>
      <c r="J1305" t="s">
        <v>29</v>
      </c>
      <c r="K1305" t="s">
        <v>30</v>
      </c>
      <c r="L1305" t="s">
        <v>1485</v>
      </c>
      <c r="M1305" t="s">
        <v>32</v>
      </c>
      <c r="N1305" t="s">
        <v>33</v>
      </c>
      <c r="O1305" t="s">
        <v>1486</v>
      </c>
      <c r="P1305">
        <v>119.96</v>
      </c>
      <c r="Q1305">
        <v>1</v>
      </c>
      <c r="R1305">
        <v>7.4974999999999996</v>
      </c>
      <c r="S1305" s="3" t="s">
        <v>53</v>
      </c>
      <c r="T1305">
        <v>2017</v>
      </c>
      <c r="U1305" t="s">
        <v>36</v>
      </c>
      <c r="V1305" s="2">
        <v>6.25E-2</v>
      </c>
    </row>
    <row r="1306" spans="1:22" x14ac:dyDescent="0.25">
      <c r="A1306" t="s">
        <v>3422</v>
      </c>
      <c r="B1306" s="1">
        <v>42044</v>
      </c>
      <c r="C1306" s="1">
        <v>42048</v>
      </c>
      <c r="D1306" t="s">
        <v>40</v>
      </c>
      <c r="E1306" t="s">
        <v>2688</v>
      </c>
      <c r="F1306" t="s">
        <v>2689</v>
      </c>
      <c r="G1306" t="s">
        <v>26</v>
      </c>
      <c r="H1306" t="s">
        <v>27</v>
      </c>
      <c r="I1306" t="s">
        <v>222</v>
      </c>
      <c r="J1306" t="s">
        <v>78</v>
      </c>
      <c r="K1306" t="s">
        <v>62</v>
      </c>
      <c r="L1306" t="s">
        <v>365</v>
      </c>
      <c r="M1306" t="s">
        <v>32</v>
      </c>
      <c r="N1306" t="s">
        <v>51</v>
      </c>
      <c r="O1306" t="s">
        <v>366</v>
      </c>
      <c r="P1306">
        <v>479.952</v>
      </c>
      <c r="Q1306">
        <v>6</v>
      </c>
      <c r="R1306">
        <v>89.991</v>
      </c>
      <c r="S1306" s="3" t="s">
        <v>53</v>
      </c>
      <c r="T1306">
        <v>2015</v>
      </c>
      <c r="U1306" t="s">
        <v>180</v>
      </c>
      <c r="V1306" s="2">
        <v>0.1875</v>
      </c>
    </row>
    <row r="1307" spans="1:22" x14ac:dyDescent="0.25">
      <c r="A1307" t="s">
        <v>3423</v>
      </c>
      <c r="B1307" s="1">
        <v>42905</v>
      </c>
      <c r="C1307" s="1">
        <v>42907</v>
      </c>
      <c r="D1307" t="s">
        <v>40</v>
      </c>
      <c r="E1307" t="s">
        <v>3424</v>
      </c>
      <c r="F1307" t="s">
        <v>3425</v>
      </c>
      <c r="G1307" t="s">
        <v>59</v>
      </c>
      <c r="H1307" t="s">
        <v>27</v>
      </c>
      <c r="I1307" t="s">
        <v>1458</v>
      </c>
      <c r="J1307" t="s">
        <v>177</v>
      </c>
      <c r="K1307" t="s">
        <v>95</v>
      </c>
      <c r="L1307" t="s">
        <v>2493</v>
      </c>
      <c r="M1307" t="s">
        <v>32</v>
      </c>
      <c r="N1307" t="s">
        <v>51</v>
      </c>
      <c r="O1307" t="s">
        <v>2494</v>
      </c>
      <c r="P1307">
        <v>122.328</v>
      </c>
      <c r="Q1307">
        <v>9</v>
      </c>
      <c r="R1307">
        <v>1.5290999999999999</v>
      </c>
      <c r="S1307" s="3" t="s">
        <v>65</v>
      </c>
      <c r="T1307">
        <v>2017</v>
      </c>
      <c r="U1307" t="s">
        <v>36</v>
      </c>
      <c r="V1307" s="2">
        <v>1.2500000000000001E-2</v>
      </c>
    </row>
    <row r="1308" spans="1:22" x14ac:dyDescent="0.25">
      <c r="A1308" t="s">
        <v>3426</v>
      </c>
      <c r="B1308" s="1">
        <v>42479</v>
      </c>
      <c r="C1308" s="1">
        <v>42486</v>
      </c>
      <c r="D1308" t="s">
        <v>23</v>
      </c>
      <c r="E1308" t="s">
        <v>114</v>
      </c>
      <c r="F1308" t="s">
        <v>115</v>
      </c>
      <c r="G1308" t="s">
        <v>26</v>
      </c>
      <c r="H1308" t="s">
        <v>27</v>
      </c>
      <c r="I1308" t="s">
        <v>103</v>
      </c>
      <c r="J1308" t="s">
        <v>104</v>
      </c>
      <c r="K1308" t="s">
        <v>95</v>
      </c>
      <c r="L1308" t="s">
        <v>860</v>
      </c>
      <c r="M1308" t="s">
        <v>32</v>
      </c>
      <c r="N1308" t="s">
        <v>33</v>
      </c>
      <c r="O1308" t="s">
        <v>861</v>
      </c>
      <c r="P1308">
        <v>25.98</v>
      </c>
      <c r="Q1308">
        <v>2</v>
      </c>
      <c r="R1308">
        <v>0.77939999999999998</v>
      </c>
      <c r="S1308" s="3" t="s">
        <v>132</v>
      </c>
      <c r="T1308">
        <v>2016</v>
      </c>
      <c r="U1308" t="s">
        <v>291</v>
      </c>
      <c r="V1308" s="2">
        <v>0.03</v>
      </c>
    </row>
    <row r="1309" spans="1:22" x14ac:dyDescent="0.25">
      <c r="A1309" t="s">
        <v>3427</v>
      </c>
      <c r="B1309" s="1">
        <v>42476</v>
      </c>
      <c r="C1309" s="1">
        <v>42482</v>
      </c>
      <c r="D1309" t="s">
        <v>23</v>
      </c>
      <c r="E1309" t="s">
        <v>3428</v>
      </c>
      <c r="F1309" t="s">
        <v>3429</v>
      </c>
      <c r="G1309" t="s">
        <v>26</v>
      </c>
      <c r="H1309" t="s">
        <v>27</v>
      </c>
      <c r="I1309" t="s">
        <v>3430</v>
      </c>
      <c r="J1309" t="s">
        <v>2319</v>
      </c>
      <c r="K1309" t="s">
        <v>155</v>
      </c>
      <c r="L1309" t="s">
        <v>1105</v>
      </c>
      <c r="M1309" t="s">
        <v>32</v>
      </c>
      <c r="N1309" t="s">
        <v>51</v>
      </c>
      <c r="O1309" t="s">
        <v>1106</v>
      </c>
      <c r="P1309">
        <v>35.167999999999999</v>
      </c>
      <c r="Q1309">
        <v>4</v>
      </c>
      <c r="R1309">
        <v>8.3523999999999994</v>
      </c>
      <c r="S1309" s="3" t="s">
        <v>107</v>
      </c>
      <c r="T1309">
        <v>2016</v>
      </c>
      <c r="U1309" t="s">
        <v>291</v>
      </c>
      <c r="V1309" s="2">
        <v>0.23749999999999999</v>
      </c>
    </row>
    <row r="1310" spans="1:22" x14ac:dyDescent="0.25">
      <c r="A1310" t="s">
        <v>3431</v>
      </c>
      <c r="B1310" s="1">
        <v>43065</v>
      </c>
      <c r="C1310" s="1">
        <v>43070</v>
      </c>
      <c r="D1310" t="s">
        <v>23</v>
      </c>
      <c r="E1310" t="s">
        <v>1383</v>
      </c>
      <c r="F1310" t="s">
        <v>1384</v>
      </c>
      <c r="G1310" t="s">
        <v>70</v>
      </c>
      <c r="H1310" t="s">
        <v>27</v>
      </c>
      <c r="I1310" t="s">
        <v>2225</v>
      </c>
      <c r="J1310" t="s">
        <v>669</v>
      </c>
      <c r="K1310" t="s">
        <v>62</v>
      </c>
      <c r="L1310" t="s">
        <v>1426</v>
      </c>
      <c r="M1310" t="s">
        <v>32</v>
      </c>
      <c r="N1310" t="s">
        <v>33</v>
      </c>
      <c r="O1310" t="s">
        <v>1427</v>
      </c>
      <c r="P1310">
        <v>1879.96</v>
      </c>
      <c r="Q1310">
        <v>4</v>
      </c>
      <c r="R1310">
        <v>545.1884</v>
      </c>
      <c r="S1310" s="3" t="s">
        <v>35</v>
      </c>
      <c r="T1310">
        <v>2017</v>
      </c>
      <c r="U1310" t="s">
        <v>118</v>
      </c>
      <c r="V1310" s="2">
        <v>0.28999999999999998</v>
      </c>
    </row>
    <row r="1311" spans="1:22" x14ac:dyDescent="0.25">
      <c r="A1311" t="s">
        <v>3431</v>
      </c>
      <c r="B1311" s="1">
        <v>43065</v>
      </c>
      <c r="C1311" s="1">
        <v>43070</v>
      </c>
      <c r="D1311" t="s">
        <v>23</v>
      </c>
      <c r="E1311" t="s">
        <v>1383</v>
      </c>
      <c r="F1311" t="s">
        <v>1384</v>
      </c>
      <c r="G1311" t="s">
        <v>70</v>
      </c>
      <c r="H1311" t="s">
        <v>27</v>
      </c>
      <c r="I1311" t="s">
        <v>2225</v>
      </c>
      <c r="J1311" t="s">
        <v>669</v>
      </c>
      <c r="K1311" t="s">
        <v>62</v>
      </c>
      <c r="L1311" t="s">
        <v>987</v>
      </c>
      <c r="M1311" t="s">
        <v>32</v>
      </c>
      <c r="N1311" t="s">
        <v>33</v>
      </c>
      <c r="O1311" t="s">
        <v>988</v>
      </c>
      <c r="P1311">
        <v>89.98</v>
      </c>
      <c r="Q1311">
        <v>2</v>
      </c>
      <c r="R1311">
        <v>43.190399999999997</v>
      </c>
      <c r="S1311" s="3" t="s">
        <v>35</v>
      </c>
      <c r="T1311">
        <v>2017</v>
      </c>
      <c r="U1311" t="s">
        <v>118</v>
      </c>
      <c r="V1311" s="2">
        <v>0.48</v>
      </c>
    </row>
    <row r="1312" spans="1:22" x14ac:dyDescent="0.25">
      <c r="A1312" t="s">
        <v>3432</v>
      </c>
      <c r="B1312" s="1">
        <v>42985</v>
      </c>
      <c r="C1312" s="1">
        <v>42985</v>
      </c>
      <c r="D1312" t="s">
        <v>677</v>
      </c>
      <c r="E1312" t="s">
        <v>3025</v>
      </c>
      <c r="F1312" t="s">
        <v>3026</v>
      </c>
      <c r="G1312" t="s">
        <v>26</v>
      </c>
      <c r="H1312" t="s">
        <v>27</v>
      </c>
      <c r="I1312" t="s">
        <v>3433</v>
      </c>
      <c r="J1312" t="s">
        <v>532</v>
      </c>
      <c r="K1312" t="s">
        <v>62</v>
      </c>
      <c r="L1312" t="s">
        <v>876</v>
      </c>
      <c r="M1312" t="s">
        <v>32</v>
      </c>
      <c r="N1312" t="s">
        <v>51</v>
      </c>
      <c r="O1312" t="s">
        <v>877</v>
      </c>
      <c r="P1312">
        <v>113.52</v>
      </c>
      <c r="Q1312">
        <v>4</v>
      </c>
      <c r="R1312">
        <v>46.543199999999999</v>
      </c>
      <c r="S1312" s="3" t="s">
        <v>683</v>
      </c>
      <c r="T1312">
        <v>2017</v>
      </c>
      <c r="U1312" t="s">
        <v>81</v>
      </c>
      <c r="V1312" s="2">
        <v>0.41</v>
      </c>
    </row>
    <row r="1313" spans="1:22" x14ac:dyDescent="0.25">
      <c r="A1313" t="s">
        <v>3434</v>
      </c>
      <c r="B1313" s="1">
        <v>42805</v>
      </c>
      <c r="C1313" s="1">
        <v>42810</v>
      </c>
      <c r="D1313" t="s">
        <v>23</v>
      </c>
      <c r="E1313" t="s">
        <v>3435</v>
      </c>
      <c r="F1313" t="s">
        <v>3436</v>
      </c>
      <c r="G1313" t="s">
        <v>70</v>
      </c>
      <c r="H1313" t="s">
        <v>27</v>
      </c>
      <c r="I1313" t="s">
        <v>206</v>
      </c>
      <c r="J1313" t="s">
        <v>207</v>
      </c>
      <c r="K1313" t="s">
        <v>95</v>
      </c>
      <c r="L1313" t="s">
        <v>1819</v>
      </c>
      <c r="M1313" t="s">
        <v>32</v>
      </c>
      <c r="N1313" t="s">
        <v>33</v>
      </c>
      <c r="O1313" t="s">
        <v>1820</v>
      </c>
      <c r="P1313">
        <v>776.85</v>
      </c>
      <c r="Q1313">
        <v>5</v>
      </c>
      <c r="R1313">
        <v>-181.26499999999999</v>
      </c>
      <c r="S1313" s="3" t="s">
        <v>35</v>
      </c>
      <c r="T1313">
        <v>2017</v>
      </c>
      <c r="U1313" t="s">
        <v>89</v>
      </c>
      <c r="V1313" s="2">
        <v>-0.233333333333333</v>
      </c>
    </row>
    <row r="1314" spans="1:22" x14ac:dyDescent="0.25">
      <c r="A1314" t="s">
        <v>3437</v>
      </c>
      <c r="B1314" s="1">
        <v>42181</v>
      </c>
      <c r="C1314" s="1">
        <v>42185</v>
      </c>
      <c r="D1314" t="s">
        <v>23</v>
      </c>
      <c r="E1314" t="s">
        <v>1164</v>
      </c>
      <c r="F1314" t="s">
        <v>1165</v>
      </c>
      <c r="G1314" t="s">
        <v>26</v>
      </c>
      <c r="H1314" t="s">
        <v>27</v>
      </c>
      <c r="I1314" t="s">
        <v>71</v>
      </c>
      <c r="J1314" t="s">
        <v>61</v>
      </c>
      <c r="K1314" t="s">
        <v>62</v>
      </c>
      <c r="L1314" t="s">
        <v>1593</v>
      </c>
      <c r="M1314" t="s">
        <v>32</v>
      </c>
      <c r="N1314" t="s">
        <v>33</v>
      </c>
      <c r="O1314" t="s">
        <v>1594</v>
      </c>
      <c r="P1314">
        <v>971.88</v>
      </c>
      <c r="Q1314">
        <v>3</v>
      </c>
      <c r="R1314">
        <v>109.3365</v>
      </c>
      <c r="S1314" s="3" t="s">
        <v>53</v>
      </c>
      <c r="T1314">
        <v>2015</v>
      </c>
      <c r="U1314" t="s">
        <v>36</v>
      </c>
      <c r="V1314" s="2">
        <v>0.1125</v>
      </c>
    </row>
    <row r="1315" spans="1:22" x14ac:dyDescent="0.25">
      <c r="A1315" t="s">
        <v>3438</v>
      </c>
      <c r="B1315" s="1">
        <v>42137</v>
      </c>
      <c r="C1315" s="1">
        <v>42142</v>
      </c>
      <c r="D1315" t="s">
        <v>40</v>
      </c>
      <c r="E1315" t="s">
        <v>1063</v>
      </c>
      <c r="F1315" t="s">
        <v>1064</v>
      </c>
      <c r="G1315" t="s">
        <v>70</v>
      </c>
      <c r="H1315" t="s">
        <v>27</v>
      </c>
      <c r="I1315" t="s">
        <v>140</v>
      </c>
      <c r="J1315" t="s">
        <v>78</v>
      </c>
      <c r="K1315" t="s">
        <v>62</v>
      </c>
      <c r="L1315" t="s">
        <v>1049</v>
      </c>
      <c r="M1315" t="s">
        <v>32</v>
      </c>
      <c r="N1315" t="s">
        <v>33</v>
      </c>
      <c r="O1315" t="s">
        <v>1050</v>
      </c>
      <c r="P1315">
        <v>222.38399999999999</v>
      </c>
      <c r="Q1315">
        <v>2</v>
      </c>
      <c r="R1315">
        <v>16.678799999999999</v>
      </c>
      <c r="S1315" s="3" t="s">
        <v>35</v>
      </c>
      <c r="T1315">
        <v>2015</v>
      </c>
      <c r="U1315" t="s">
        <v>527</v>
      </c>
      <c r="V1315" s="2">
        <v>7.4999999999999997E-2</v>
      </c>
    </row>
    <row r="1316" spans="1:22" x14ac:dyDescent="0.25">
      <c r="A1316" t="s">
        <v>3439</v>
      </c>
      <c r="B1316" s="1">
        <v>42850</v>
      </c>
      <c r="C1316" s="1">
        <v>42852</v>
      </c>
      <c r="D1316" t="s">
        <v>40</v>
      </c>
      <c r="E1316" t="s">
        <v>1731</v>
      </c>
      <c r="F1316" t="s">
        <v>1732</v>
      </c>
      <c r="G1316" t="s">
        <v>26</v>
      </c>
      <c r="H1316" t="s">
        <v>27</v>
      </c>
      <c r="I1316" t="s">
        <v>43</v>
      </c>
      <c r="J1316" t="s">
        <v>29</v>
      </c>
      <c r="K1316" t="s">
        <v>30</v>
      </c>
      <c r="L1316" t="s">
        <v>434</v>
      </c>
      <c r="M1316" t="s">
        <v>32</v>
      </c>
      <c r="N1316" t="s">
        <v>51</v>
      </c>
      <c r="O1316" t="s">
        <v>435</v>
      </c>
      <c r="P1316">
        <v>107.97</v>
      </c>
      <c r="Q1316">
        <v>3</v>
      </c>
      <c r="R1316">
        <v>22.6737</v>
      </c>
      <c r="S1316" s="3" t="s">
        <v>65</v>
      </c>
      <c r="T1316">
        <v>2017</v>
      </c>
      <c r="U1316" t="s">
        <v>291</v>
      </c>
      <c r="V1316" s="2">
        <v>0.21</v>
      </c>
    </row>
    <row r="1317" spans="1:22" x14ac:dyDescent="0.25">
      <c r="A1317" t="s">
        <v>3440</v>
      </c>
      <c r="B1317" s="1">
        <v>42820</v>
      </c>
      <c r="C1317" s="1">
        <v>42824</v>
      </c>
      <c r="D1317" t="s">
        <v>23</v>
      </c>
      <c r="E1317" t="s">
        <v>2571</v>
      </c>
      <c r="F1317" t="s">
        <v>2572</v>
      </c>
      <c r="G1317" t="s">
        <v>59</v>
      </c>
      <c r="H1317" t="s">
        <v>27</v>
      </c>
      <c r="I1317" t="s">
        <v>71</v>
      </c>
      <c r="J1317" t="s">
        <v>61</v>
      </c>
      <c r="K1317" t="s">
        <v>62</v>
      </c>
      <c r="L1317" t="s">
        <v>434</v>
      </c>
      <c r="M1317" t="s">
        <v>32</v>
      </c>
      <c r="N1317" t="s">
        <v>51</v>
      </c>
      <c r="O1317" t="s">
        <v>435</v>
      </c>
      <c r="P1317">
        <v>143.96</v>
      </c>
      <c r="Q1317">
        <v>5</v>
      </c>
      <c r="R1317">
        <v>1.7995000000000001</v>
      </c>
      <c r="S1317" s="3" t="s">
        <v>53</v>
      </c>
      <c r="T1317">
        <v>2017</v>
      </c>
      <c r="U1317" t="s">
        <v>89</v>
      </c>
      <c r="V1317" s="2">
        <v>1.2500000000000001E-2</v>
      </c>
    </row>
    <row r="1318" spans="1:22" x14ac:dyDescent="0.25">
      <c r="A1318" t="s">
        <v>3440</v>
      </c>
      <c r="B1318" s="1">
        <v>42820</v>
      </c>
      <c r="C1318" s="1">
        <v>42824</v>
      </c>
      <c r="D1318" t="s">
        <v>23</v>
      </c>
      <c r="E1318" t="s">
        <v>2571</v>
      </c>
      <c r="F1318" t="s">
        <v>2572</v>
      </c>
      <c r="G1318" t="s">
        <v>59</v>
      </c>
      <c r="H1318" t="s">
        <v>27</v>
      </c>
      <c r="I1318" t="s">
        <v>71</v>
      </c>
      <c r="J1318" t="s">
        <v>61</v>
      </c>
      <c r="K1318" t="s">
        <v>62</v>
      </c>
      <c r="L1318" t="s">
        <v>429</v>
      </c>
      <c r="M1318" t="s">
        <v>32</v>
      </c>
      <c r="N1318" t="s">
        <v>381</v>
      </c>
      <c r="O1318" t="s">
        <v>430</v>
      </c>
      <c r="P1318">
        <v>2399.96</v>
      </c>
      <c r="Q1318">
        <v>5</v>
      </c>
      <c r="R1318">
        <v>569.9905</v>
      </c>
      <c r="S1318" s="3" t="s">
        <v>53</v>
      </c>
      <c r="T1318">
        <v>2017</v>
      </c>
      <c r="U1318" t="s">
        <v>89</v>
      </c>
      <c r="V1318" s="2">
        <v>0.23749999999999999</v>
      </c>
    </row>
    <row r="1319" spans="1:22" x14ac:dyDescent="0.25">
      <c r="A1319" t="s">
        <v>3441</v>
      </c>
      <c r="B1319" s="1">
        <v>42688</v>
      </c>
      <c r="C1319" s="1">
        <v>42692</v>
      </c>
      <c r="D1319" t="s">
        <v>23</v>
      </c>
      <c r="E1319" t="s">
        <v>3442</v>
      </c>
      <c r="F1319" t="s">
        <v>3443</v>
      </c>
      <c r="G1319" t="s">
        <v>26</v>
      </c>
      <c r="H1319" t="s">
        <v>27</v>
      </c>
      <c r="I1319" t="s">
        <v>2568</v>
      </c>
      <c r="J1319" t="s">
        <v>1035</v>
      </c>
      <c r="K1319" t="s">
        <v>95</v>
      </c>
      <c r="L1319" t="s">
        <v>2129</v>
      </c>
      <c r="M1319" t="s">
        <v>32</v>
      </c>
      <c r="N1319" t="s">
        <v>33</v>
      </c>
      <c r="O1319" t="s">
        <v>2130</v>
      </c>
      <c r="P1319">
        <v>89.97</v>
      </c>
      <c r="Q1319">
        <v>3</v>
      </c>
      <c r="R1319">
        <v>25.191600000000001</v>
      </c>
      <c r="S1319" s="3" t="s">
        <v>53</v>
      </c>
      <c r="T1319">
        <v>2016</v>
      </c>
      <c r="U1319" t="s">
        <v>118</v>
      </c>
      <c r="V1319" s="2">
        <v>0.28000000000000003</v>
      </c>
    </row>
    <row r="1320" spans="1:22" x14ac:dyDescent="0.25">
      <c r="A1320" t="s">
        <v>3444</v>
      </c>
      <c r="B1320" s="1">
        <v>42731</v>
      </c>
      <c r="C1320" s="1">
        <v>42734</v>
      </c>
      <c r="D1320" t="s">
        <v>40</v>
      </c>
      <c r="E1320" t="s">
        <v>1671</v>
      </c>
      <c r="F1320" t="s">
        <v>1672</v>
      </c>
      <c r="G1320" t="s">
        <v>26</v>
      </c>
      <c r="H1320" t="s">
        <v>27</v>
      </c>
      <c r="I1320" t="s">
        <v>2300</v>
      </c>
      <c r="J1320" t="s">
        <v>177</v>
      </c>
      <c r="K1320" t="s">
        <v>95</v>
      </c>
      <c r="L1320" t="s">
        <v>1301</v>
      </c>
      <c r="M1320" t="s">
        <v>32</v>
      </c>
      <c r="N1320" t="s">
        <v>51</v>
      </c>
      <c r="O1320" t="s">
        <v>1302</v>
      </c>
      <c r="P1320">
        <v>40</v>
      </c>
      <c r="Q1320">
        <v>2</v>
      </c>
      <c r="R1320">
        <v>0.5</v>
      </c>
      <c r="S1320" s="3" t="s">
        <v>172</v>
      </c>
      <c r="T1320">
        <v>2016</v>
      </c>
      <c r="U1320" t="s">
        <v>66</v>
      </c>
      <c r="V1320" s="2">
        <v>1.2500000000000001E-2</v>
      </c>
    </row>
    <row r="1321" spans="1:22" x14ac:dyDescent="0.25">
      <c r="A1321" t="s">
        <v>3445</v>
      </c>
      <c r="B1321" s="1">
        <v>42686</v>
      </c>
      <c r="C1321" s="1">
        <v>42689</v>
      </c>
      <c r="D1321" t="s">
        <v>56</v>
      </c>
      <c r="E1321" t="s">
        <v>1466</v>
      </c>
      <c r="F1321" t="s">
        <v>1467</v>
      </c>
      <c r="G1321" t="s">
        <v>70</v>
      </c>
      <c r="H1321" t="s">
        <v>27</v>
      </c>
      <c r="I1321" t="s">
        <v>300</v>
      </c>
      <c r="J1321" t="s">
        <v>29</v>
      </c>
      <c r="K1321" t="s">
        <v>30</v>
      </c>
      <c r="L1321" t="s">
        <v>2097</v>
      </c>
      <c r="M1321" t="s">
        <v>32</v>
      </c>
      <c r="N1321" t="s">
        <v>33</v>
      </c>
      <c r="O1321" t="s">
        <v>2098</v>
      </c>
      <c r="P1321">
        <v>203.976</v>
      </c>
      <c r="Q1321">
        <v>3</v>
      </c>
      <c r="R1321">
        <v>25.497</v>
      </c>
      <c r="S1321" s="3" t="s">
        <v>172</v>
      </c>
      <c r="T1321">
        <v>2016</v>
      </c>
      <c r="U1321" t="s">
        <v>118</v>
      </c>
      <c r="V1321" s="2">
        <v>0.125</v>
      </c>
    </row>
    <row r="1322" spans="1:22" x14ac:dyDescent="0.25">
      <c r="A1322" t="s">
        <v>3446</v>
      </c>
      <c r="B1322" s="1">
        <v>42227</v>
      </c>
      <c r="C1322" s="1">
        <v>42231</v>
      </c>
      <c r="D1322" t="s">
        <v>23</v>
      </c>
      <c r="E1322" t="s">
        <v>464</v>
      </c>
      <c r="F1322" t="s">
        <v>465</v>
      </c>
      <c r="G1322" t="s">
        <v>70</v>
      </c>
      <c r="H1322" t="s">
        <v>27</v>
      </c>
      <c r="I1322" t="s">
        <v>103</v>
      </c>
      <c r="J1322" t="s">
        <v>104</v>
      </c>
      <c r="K1322" t="s">
        <v>95</v>
      </c>
      <c r="L1322" t="s">
        <v>375</v>
      </c>
      <c r="M1322" t="s">
        <v>32</v>
      </c>
      <c r="N1322" t="s">
        <v>33</v>
      </c>
      <c r="O1322" t="s">
        <v>376</v>
      </c>
      <c r="P1322">
        <v>138</v>
      </c>
      <c r="Q1322">
        <v>2</v>
      </c>
      <c r="R1322">
        <v>34.5</v>
      </c>
      <c r="S1322" s="3" t="s">
        <v>53</v>
      </c>
      <c r="T1322">
        <v>2015</v>
      </c>
      <c r="U1322" t="s">
        <v>46</v>
      </c>
      <c r="V1322" s="2">
        <v>0.25</v>
      </c>
    </row>
    <row r="1323" spans="1:22" x14ac:dyDescent="0.25">
      <c r="A1323" t="s">
        <v>3447</v>
      </c>
      <c r="B1323" s="1">
        <v>42701</v>
      </c>
      <c r="C1323" s="1">
        <v>42707</v>
      </c>
      <c r="D1323" t="s">
        <v>23</v>
      </c>
      <c r="E1323" t="s">
        <v>2113</v>
      </c>
      <c r="F1323" t="s">
        <v>2114</v>
      </c>
      <c r="G1323" t="s">
        <v>26</v>
      </c>
      <c r="H1323" t="s">
        <v>27</v>
      </c>
      <c r="I1323" t="s">
        <v>2391</v>
      </c>
      <c r="J1323" t="s">
        <v>288</v>
      </c>
      <c r="K1323" t="s">
        <v>155</v>
      </c>
      <c r="L1323" t="s">
        <v>1665</v>
      </c>
      <c r="M1323" t="s">
        <v>32</v>
      </c>
      <c r="N1323" t="s">
        <v>33</v>
      </c>
      <c r="O1323" t="s">
        <v>1666</v>
      </c>
      <c r="P1323">
        <v>116.76</v>
      </c>
      <c r="Q1323">
        <v>1</v>
      </c>
      <c r="R1323">
        <v>14.595000000000001</v>
      </c>
      <c r="S1323" s="3" t="s">
        <v>107</v>
      </c>
      <c r="T1323">
        <v>2016</v>
      </c>
      <c r="U1323" t="s">
        <v>118</v>
      </c>
      <c r="V1323" s="2">
        <v>0.125</v>
      </c>
    </row>
    <row r="1324" spans="1:22" x14ac:dyDescent="0.25">
      <c r="A1324" t="s">
        <v>3448</v>
      </c>
      <c r="B1324" s="1">
        <v>43010</v>
      </c>
      <c r="C1324" s="1">
        <v>43014</v>
      </c>
      <c r="D1324" t="s">
        <v>23</v>
      </c>
      <c r="E1324" t="s">
        <v>1135</v>
      </c>
      <c r="F1324" t="s">
        <v>1136</v>
      </c>
      <c r="G1324" t="s">
        <v>26</v>
      </c>
      <c r="H1324" t="s">
        <v>27</v>
      </c>
      <c r="I1324" t="s">
        <v>43</v>
      </c>
      <c r="J1324" t="s">
        <v>29</v>
      </c>
      <c r="K1324" t="s">
        <v>30</v>
      </c>
      <c r="L1324" t="s">
        <v>3316</v>
      </c>
      <c r="M1324" t="s">
        <v>32</v>
      </c>
      <c r="N1324" t="s">
        <v>215</v>
      </c>
      <c r="O1324" t="s">
        <v>3317</v>
      </c>
      <c r="P1324">
        <v>369.16</v>
      </c>
      <c r="Q1324">
        <v>11</v>
      </c>
      <c r="R1324">
        <v>32.301499999999997</v>
      </c>
      <c r="S1324" s="3" t="s">
        <v>53</v>
      </c>
      <c r="T1324">
        <v>2017</v>
      </c>
      <c r="U1324" t="s">
        <v>133</v>
      </c>
      <c r="V1324" s="2">
        <v>8.7499999999999994E-2</v>
      </c>
    </row>
    <row r="1325" spans="1:22" x14ac:dyDescent="0.25">
      <c r="A1325" t="s">
        <v>3449</v>
      </c>
      <c r="B1325" s="1">
        <v>42127</v>
      </c>
      <c r="C1325" s="1">
        <v>42130</v>
      </c>
      <c r="D1325" t="s">
        <v>56</v>
      </c>
      <c r="E1325" t="s">
        <v>144</v>
      </c>
      <c r="F1325" t="s">
        <v>145</v>
      </c>
      <c r="G1325" t="s">
        <v>26</v>
      </c>
      <c r="H1325" t="s">
        <v>27</v>
      </c>
      <c r="I1325" t="s">
        <v>43</v>
      </c>
      <c r="J1325" t="s">
        <v>29</v>
      </c>
      <c r="K1325" t="s">
        <v>30</v>
      </c>
      <c r="L1325" t="s">
        <v>164</v>
      </c>
      <c r="M1325" t="s">
        <v>32</v>
      </c>
      <c r="N1325" t="s">
        <v>51</v>
      </c>
      <c r="O1325" t="s">
        <v>165</v>
      </c>
      <c r="P1325">
        <v>339.96</v>
      </c>
      <c r="Q1325">
        <v>4</v>
      </c>
      <c r="R1325">
        <v>122.3856</v>
      </c>
      <c r="S1325" s="3" t="s">
        <v>172</v>
      </c>
      <c r="T1325">
        <v>2015</v>
      </c>
      <c r="U1325" t="s">
        <v>527</v>
      </c>
      <c r="V1325" s="2">
        <v>0.36</v>
      </c>
    </row>
    <row r="1326" spans="1:22" x14ac:dyDescent="0.25">
      <c r="A1326" t="s">
        <v>3450</v>
      </c>
      <c r="B1326" s="1">
        <v>42762</v>
      </c>
      <c r="C1326" s="1">
        <v>42766</v>
      </c>
      <c r="D1326" t="s">
        <v>23</v>
      </c>
      <c r="E1326" t="s">
        <v>3451</v>
      </c>
      <c r="F1326" t="s">
        <v>3452</v>
      </c>
      <c r="G1326" t="s">
        <v>26</v>
      </c>
      <c r="H1326" t="s">
        <v>27</v>
      </c>
      <c r="I1326" t="s">
        <v>103</v>
      </c>
      <c r="J1326" t="s">
        <v>104</v>
      </c>
      <c r="K1326" t="s">
        <v>95</v>
      </c>
      <c r="L1326" t="s">
        <v>2671</v>
      </c>
      <c r="M1326" t="s">
        <v>32</v>
      </c>
      <c r="N1326" t="s">
        <v>33</v>
      </c>
      <c r="O1326" t="s">
        <v>2672</v>
      </c>
      <c r="P1326">
        <v>137.94</v>
      </c>
      <c r="Q1326">
        <v>3</v>
      </c>
      <c r="R1326">
        <v>35.864400000000003</v>
      </c>
      <c r="S1326" s="3" t="s">
        <v>53</v>
      </c>
      <c r="T1326">
        <v>2017</v>
      </c>
      <c r="U1326" t="s">
        <v>54</v>
      </c>
      <c r="V1326" s="2">
        <v>0.26</v>
      </c>
    </row>
    <row r="1327" spans="1:22" x14ac:dyDescent="0.25">
      <c r="A1327" t="s">
        <v>3453</v>
      </c>
      <c r="B1327" s="1">
        <v>42980</v>
      </c>
      <c r="C1327" s="1">
        <v>42984</v>
      </c>
      <c r="D1327" t="s">
        <v>23</v>
      </c>
      <c r="E1327" t="s">
        <v>1272</v>
      </c>
      <c r="F1327" t="s">
        <v>1273</v>
      </c>
      <c r="G1327" t="s">
        <v>26</v>
      </c>
      <c r="H1327" t="s">
        <v>27</v>
      </c>
      <c r="I1327" t="s">
        <v>140</v>
      </c>
      <c r="J1327" t="s">
        <v>78</v>
      </c>
      <c r="K1327" t="s">
        <v>62</v>
      </c>
      <c r="L1327" t="s">
        <v>800</v>
      </c>
      <c r="M1327" t="s">
        <v>32</v>
      </c>
      <c r="N1327" t="s">
        <v>51</v>
      </c>
      <c r="O1327" t="s">
        <v>801</v>
      </c>
      <c r="P1327">
        <v>40.68</v>
      </c>
      <c r="Q1327">
        <v>3</v>
      </c>
      <c r="R1327">
        <v>-7.1189999999999998</v>
      </c>
      <c r="S1327" s="3" t="s">
        <v>53</v>
      </c>
      <c r="T1327">
        <v>2017</v>
      </c>
      <c r="U1327" t="s">
        <v>81</v>
      </c>
      <c r="V1327" s="2">
        <v>-0.17499999999999999</v>
      </c>
    </row>
    <row r="1328" spans="1:22" x14ac:dyDescent="0.25">
      <c r="A1328" t="s">
        <v>3454</v>
      </c>
      <c r="B1328" s="1">
        <v>42565</v>
      </c>
      <c r="C1328" s="1">
        <v>42569</v>
      </c>
      <c r="D1328" t="s">
        <v>23</v>
      </c>
      <c r="E1328" t="s">
        <v>469</v>
      </c>
      <c r="F1328" t="s">
        <v>470</v>
      </c>
      <c r="G1328" t="s">
        <v>26</v>
      </c>
      <c r="H1328" t="s">
        <v>27</v>
      </c>
      <c r="I1328" t="s">
        <v>43</v>
      </c>
      <c r="J1328" t="s">
        <v>29</v>
      </c>
      <c r="K1328" t="s">
        <v>30</v>
      </c>
      <c r="L1328" t="s">
        <v>79</v>
      </c>
      <c r="M1328" t="s">
        <v>32</v>
      </c>
      <c r="N1328" t="s">
        <v>33</v>
      </c>
      <c r="O1328" t="s">
        <v>80</v>
      </c>
      <c r="P1328">
        <v>110.376</v>
      </c>
      <c r="Q1328">
        <v>3</v>
      </c>
      <c r="R1328">
        <v>12.417299999999999</v>
      </c>
      <c r="S1328" s="3" t="s">
        <v>53</v>
      </c>
      <c r="T1328">
        <v>2016</v>
      </c>
      <c r="U1328" t="s">
        <v>332</v>
      </c>
      <c r="V1328" s="2">
        <v>0.1125</v>
      </c>
    </row>
    <row r="1329" spans="1:22" x14ac:dyDescent="0.25">
      <c r="A1329" t="s">
        <v>3455</v>
      </c>
      <c r="B1329" s="1">
        <v>42790</v>
      </c>
      <c r="C1329" s="1">
        <v>42794</v>
      </c>
      <c r="D1329" t="s">
        <v>23</v>
      </c>
      <c r="E1329" t="s">
        <v>565</v>
      </c>
      <c r="F1329" t="s">
        <v>566</v>
      </c>
      <c r="G1329" t="s">
        <v>59</v>
      </c>
      <c r="H1329" t="s">
        <v>27</v>
      </c>
      <c r="I1329" t="s">
        <v>206</v>
      </c>
      <c r="J1329" t="s">
        <v>207</v>
      </c>
      <c r="K1329" t="s">
        <v>95</v>
      </c>
      <c r="L1329" t="s">
        <v>922</v>
      </c>
      <c r="M1329" t="s">
        <v>32</v>
      </c>
      <c r="N1329" t="s">
        <v>51</v>
      </c>
      <c r="O1329" t="s">
        <v>923</v>
      </c>
      <c r="P1329">
        <v>1319.8</v>
      </c>
      <c r="Q1329">
        <v>5</v>
      </c>
      <c r="R1329">
        <v>214.4675</v>
      </c>
      <c r="S1329" s="3" t="s">
        <v>53</v>
      </c>
      <c r="T1329">
        <v>2017</v>
      </c>
      <c r="U1329" t="s">
        <v>180</v>
      </c>
      <c r="V1329" s="2">
        <v>0.16250000000000001</v>
      </c>
    </row>
    <row r="1330" spans="1:22" x14ac:dyDescent="0.25">
      <c r="A1330" t="s">
        <v>3456</v>
      </c>
      <c r="B1330" s="1">
        <v>42561</v>
      </c>
      <c r="C1330" s="1">
        <v>42561</v>
      </c>
      <c r="D1330" t="s">
        <v>677</v>
      </c>
      <c r="E1330" t="s">
        <v>1507</v>
      </c>
      <c r="F1330" t="s">
        <v>1508</v>
      </c>
      <c r="G1330" t="s">
        <v>59</v>
      </c>
      <c r="H1330" t="s">
        <v>27</v>
      </c>
      <c r="I1330" t="s">
        <v>206</v>
      </c>
      <c r="J1330" t="s">
        <v>207</v>
      </c>
      <c r="K1330" t="s">
        <v>95</v>
      </c>
      <c r="L1330" t="s">
        <v>3457</v>
      </c>
      <c r="M1330" t="s">
        <v>32</v>
      </c>
      <c r="N1330" t="s">
        <v>215</v>
      </c>
      <c r="O1330" t="s">
        <v>3458</v>
      </c>
      <c r="P1330">
        <v>341.99099999999999</v>
      </c>
      <c r="Q1330">
        <v>3</v>
      </c>
      <c r="R1330">
        <v>-319.19159999999999</v>
      </c>
      <c r="S1330" s="3" t="s">
        <v>683</v>
      </c>
      <c r="T1330">
        <v>2016</v>
      </c>
      <c r="U1330" t="s">
        <v>332</v>
      </c>
      <c r="V1330" s="2">
        <v>-0.93333333333333302</v>
      </c>
    </row>
    <row r="1331" spans="1:22" x14ac:dyDescent="0.25">
      <c r="A1331" t="s">
        <v>3459</v>
      </c>
      <c r="B1331" s="1">
        <v>42159</v>
      </c>
      <c r="C1331" s="1">
        <v>42164</v>
      </c>
      <c r="D1331" t="s">
        <v>40</v>
      </c>
      <c r="E1331" t="s">
        <v>3460</v>
      </c>
      <c r="F1331" t="s">
        <v>3461</v>
      </c>
      <c r="G1331" t="s">
        <v>26</v>
      </c>
      <c r="H1331" t="s">
        <v>27</v>
      </c>
      <c r="I1331" t="s">
        <v>28</v>
      </c>
      <c r="J1331" t="s">
        <v>29</v>
      </c>
      <c r="K1331" t="s">
        <v>30</v>
      </c>
      <c r="L1331" t="s">
        <v>2376</v>
      </c>
      <c r="M1331" t="s">
        <v>32</v>
      </c>
      <c r="N1331" t="s">
        <v>51</v>
      </c>
      <c r="O1331" t="s">
        <v>2377</v>
      </c>
      <c r="P1331">
        <v>119.98</v>
      </c>
      <c r="Q1331">
        <v>2</v>
      </c>
      <c r="R1331">
        <v>35.994</v>
      </c>
      <c r="S1331" s="3" t="s">
        <v>35</v>
      </c>
      <c r="T1331">
        <v>2015</v>
      </c>
      <c r="U1331" t="s">
        <v>36</v>
      </c>
      <c r="V1331" s="2">
        <v>0.3</v>
      </c>
    </row>
    <row r="1332" spans="1:22" x14ac:dyDescent="0.25">
      <c r="A1332" t="s">
        <v>3459</v>
      </c>
      <c r="B1332" s="1">
        <v>42159</v>
      </c>
      <c r="C1332" s="1">
        <v>42164</v>
      </c>
      <c r="D1332" t="s">
        <v>40</v>
      </c>
      <c r="E1332" t="s">
        <v>3460</v>
      </c>
      <c r="F1332" t="s">
        <v>3461</v>
      </c>
      <c r="G1332" t="s">
        <v>26</v>
      </c>
      <c r="H1332" t="s">
        <v>27</v>
      </c>
      <c r="I1332" t="s">
        <v>28</v>
      </c>
      <c r="J1332" t="s">
        <v>29</v>
      </c>
      <c r="K1332" t="s">
        <v>30</v>
      </c>
      <c r="L1332" t="s">
        <v>2955</v>
      </c>
      <c r="M1332" t="s">
        <v>32</v>
      </c>
      <c r="N1332" t="s">
        <v>51</v>
      </c>
      <c r="O1332" t="s">
        <v>2956</v>
      </c>
      <c r="P1332">
        <v>989.97</v>
      </c>
      <c r="Q1332">
        <v>3</v>
      </c>
      <c r="R1332">
        <v>395.988</v>
      </c>
      <c r="S1332" s="3" t="s">
        <v>35</v>
      </c>
      <c r="T1332">
        <v>2015</v>
      </c>
      <c r="U1332" t="s">
        <v>36</v>
      </c>
      <c r="V1332" s="2">
        <v>0.4</v>
      </c>
    </row>
    <row r="1333" spans="1:22" x14ac:dyDescent="0.25">
      <c r="A1333" t="s">
        <v>3462</v>
      </c>
      <c r="B1333" s="1">
        <v>42520</v>
      </c>
      <c r="C1333" s="1">
        <v>42525</v>
      </c>
      <c r="D1333" t="s">
        <v>23</v>
      </c>
      <c r="E1333" t="s">
        <v>2019</v>
      </c>
      <c r="F1333" t="s">
        <v>2020</v>
      </c>
      <c r="G1333" t="s">
        <v>70</v>
      </c>
      <c r="H1333" t="s">
        <v>27</v>
      </c>
      <c r="I1333" t="s">
        <v>3463</v>
      </c>
      <c r="J1333" t="s">
        <v>185</v>
      </c>
      <c r="K1333" t="s">
        <v>62</v>
      </c>
      <c r="L1333" t="s">
        <v>1290</v>
      </c>
      <c r="M1333" t="s">
        <v>32</v>
      </c>
      <c r="N1333" t="s">
        <v>33</v>
      </c>
      <c r="O1333" t="s">
        <v>1291</v>
      </c>
      <c r="P1333">
        <v>125.99</v>
      </c>
      <c r="Q1333">
        <v>1</v>
      </c>
      <c r="R1333">
        <v>35.277200000000001</v>
      </c>
      <c r="S1333" s="3" t="s">
        <v>35</v>
      </c>
      <c r="T1333">
        <v>2016</v>
      </c>
      <c r="U1333" t="s">
        <v>527</v>
      </c>
      <c r="V1333" s="2">
        <v>0.28000000000000003</v>
      </c>
    </row>
    <row r="1334" spans="1:22" x14ac:dyDescent="0.25">
      <c r="A1334" t="s">
        <v>3464</v>
      </c>
      <c r="B1334" s="1">
        <v>43030</v>
      </c>
      <c r="C1334" s="1">
        <v>43036</v>
      </c>
      <c r="D1334" t="s">
        <v>23</v>
      </c>
      <c r="E1334" t="s">
        <v>1288</v>
      </c>
      <c r="F1334" t="s">
        <v>1289</v>
      </c>
      <c r="G1334" t="s">
        <v>59</v>
      </c>
      <c r="H1334" t="s">
        <v>27</v>
      </c>
      <c r="I1334" t="s">
        <v>206</v>
      </c>
      <c r="J1334" t="s">
        <v>207</v>
      </c>
      <c r="K1334" t="s">
        <v>95</v>
      </c>
      <c r="L1334" t="s">
        <v>98</v>
      </c>
      <c r="M1334" t="s">
        <v>32</v>
      </c>
      <c r="N1334" t="s">
        <v>33</v>
      </c>
      <c r="O1334" t="s">
        <v>99</v>
      </c>
      <c r="P1334">
        <v>32.700000000000003</v>
      </c>
      <c r="Q1334">
        <v>5</v>
      </c>
      <c r="R1334">
        <v>-6.54</v>
      </c>
      <c r="S1334" s="3" t="s">
        <v>107</v>
      </c>
      <c r="T1334">
        <v>2017</v>
      </c>
      <c r="U1334" t="s">
        <v>133</v>
      </c>
      <c r="V1334" s="2">
        <v>-0.2</v>
      </c>
    </row>
    <row r="1335" spans="1:22" x14ac:dyDescent="0.25">
      <c r="A1335" t="s">
        <v>3465</v>
      </c>
      <c r="B1335" s="1">
        <v>42321</v>
      </c>
      <c r="C1335" s="1">
        <v>42325</v>
      </c>
      <c r="D1335" t="s">
        <v>23</v>
      </c>
      <c r="E1335" t="s">
        <v>1633</v>
      </c>
      <c r="F1335" t="s">
        <v>1634</v>
      </c>
      <c r="G1335" t="s">
        <v>70</v>
      </c>
      <c r="H1335" t="s">
        <v>27</v>
      </c>
      <c r="I1335" t="s">
        <v>3466</v>
      </c>
      <c r="J1335" t="s">
        <v>539</v>
      </c>
      <c r="K1335" t="s">
        <v>30</v>
      </c>
      <c r="L1335" t="s">
        <v>2097</v>
      </c>
      <c r="M1335" t="s">
        <v>32</v>
      </c>
      <c r="N1335" t="s">
        <v>33</v>
      </c>
      <c r="O1335" t="s">
        <v>2098</v>
      </c>
      <c r="P1335">
        <v>339.96</v>
      </c>
      <c r="Q1335">
        <v>5</v>
      </c>
      <c r="R1335">
        <v>42.494999999999997</v>
      </c>
      <c r="S1335" s="3" t="s">
        <v>53</v>
      </c>
      <c r="T1335">
        <v>2015</v>
      </c>
      <c r="U1335" t="s">
        <v>118</v>
      </c>
      <c r="V1335" s="2">
        <v>0.125</v>
      </c>
    </row>
    <row r="1336" spans="1:22" x14ac:dyDescent="0.25">
      <c r="A1336" t="s">
        <v>3467</v>
      </c>
      <c r="B1336" s="1">
        <v>41945</v>
      </c>
      <c r="C1336" s="1">
        <v>41949</v>
      </c>
      <c r="D1336" t="s">
        <v>23</v>
      </c>
      <c r="E1336" t="s">
        <v>2423</v>
      </c>
      <c r="F1336" t="s">
        <v>2424</v>
      </c>
      <c r="G1336" t="s">
        <v>70</v>
      </c>
      <c r="H1336" t="s">
        <v>27</v>
      </c>
      <c r="I1336" t="s">
        <v>2391</v>
      </c>
      <c r="J1336" t="s">
        <v>288</v>
      </c>
      <c r="K1336" t="s">
        <v>155</v>
      </c>
      <c r="L1336" t="s">
        <v>1756</v>
      </c>
      <c r="M1336" t="s">
        <v>32</v>
      </c>
      <c r="N1336" t="s">
        <v>51</v>
      </c>
      <c r="O1336" t="s">
        <v>1757</v>
      </c>
      <c r="P1336">
        <v>799.92</v>
      </c>
      <c r="Q1336">
        <v>10</v>
      </c>
      <c r="R1336">
        <v>239.976</v>
      </c>
      <c r="S1336" s="3" t="s">
        <v>53</v>
      </c>
      <c r="T1336">
        <v>2014</v>
      </c>
      <c r="U1336" t="s">
        <v>118</v>
      </c>
      <c r="V1336" s="2">
        <v>0.3</v>
      </c>
    </row>
    <row r="1337" spans="1:22" x14ac:dyDescent="0.25">
      <c r="A1337" t="s">
        <v>3468</v>
      </c>
      <c r="B1337" s="1">
        <v>42570</v>
      </c>
      <c r="C1337" s="1">
        <v>42572</v>
      </c>
      <c r="D1337" t="s">
        <v>56</v>
      </c>
      <c r="E1337" t="s">
        <v>2797</v>
      </c>
      <c r="F1337" t="s">
        <v>2798</v>
      </c>
      <c r="G1337" t="s">
        <v>70</v>
      </c>
      <c r="H1337" t="s">
        <v>27</v>
      </c>
      <c r="I1337" t="s">
        <v>43</v>
      </c>
      <c r="J1337" t="s">
        <v>29</v>
      </c>
      <c r="K1337" t="s">
        <v>30</v>
      </c>
      <c r="L1337" t="s">
        <v>3383</v>
      </c>
      <c r="M1337" t="s">
        <v>32</v>
      </c>
      <c r="N1337" t="s">
        <v>33</v>
      </c>
      <c r="O1337" t="s">
        <v>3384</v>
      </c>
      <c r="P1337">
        <v>35.984000000000002</v>
      </c>
      <c r="Q1337">
        <v>2</v>
      </c>
      <c r="R1337">
        <v>4.4980000000000002</v>
      </c>
      <c r="S1337" s="3" t="s">
        <v>65</v>
      </c>
      <c r="T1337">
        <v>2016</v>
      </c>
      <c r="U1337" t="s">
        <v>332</v>
      </c>
      <c r="V1337" s="2">
        <v>0.125</v>
      </c>
    </row>
    <row r="1338" spans="1:22" x14ac:dyDescent="0.25">
      <c r="A1338" t="s">
        <v>3468</v>
      </c>
      <c r="B1338" s="1">
        <v>42570</v>
      </c>
      <c r="C1338" s="1">
        <v>42572</v>
      </c>
      <c r="D1338" t="s">
        <v>56</v>
      </c>
      <c r="E1338" t="s">
        <v>2797</v>
      </c>
      <c r="F1338" t="s">
        <v>2798</v>
      </c>
      <c r="G1338" t="s">
        <v>70</v>
      </c>
      <c r="H1338" t="s">
        <v>27</v>
      </c>
      <c r="I1338" t="s">
        <v>43</v>
      </c>
      <c r="J1338" t="s">
        <v>29</v>
      </c>
      <c r="K1338" t="s">
        <v>30</v>
      </c>
      <c r="L1338" t="s">
        <v>1702</v>
      </c>
      <c r="M1338" t="s">
        <v>32</v>
      </c>
      <c r="N1338" t="s">
        <v>51</v>
      </c>
      <c r="O1338" t="s">
        <v>1703</v>
      </c>
      <c r="P1338">
        <v>389.97</v>
      </c>
      <c r="Q1338">
        <v>3</v>
      </c>
      <c r="R1338">
        <v>132.5898</v>
      </c>
      <c r="S1338" s="3" t="s">
        <v>65</v>
      </c>
      <c r="T1338">
        <v>2016</v>
      </c>
      <c r="U1338" t="s">
        <v>332</v>
      </c>
      <c r="V1338" s="2">
        <v>0.34</v>
      </c>
    </row>
    <row r="1339" spans="1:22" x14ac:dyDescent="0.25">
      <c r="A1339" t="s">
        <v>3469</v>
      </c>
      <c r="B1339" s="1">
        <v>42504</v>
      </c>
      <c r="C1339" s="1">
        <v>42504</v>
      </c>
      <c r="D1339" t="s">
        <v>677</v>
      </c>
      <c r="E1339" t="s">
        <v>662</v>
      </c>
      <c r="F1339" t="s">
        <v>663</v>
      </c>
      <c r="G1339" t="s">
        <v>59</v>
      </c>
      <c r="H1339" t="s">
        <v>27</v>
      </c>
      <c r="I1339" t="s">
        <v>3470</v>
      </c>
      <c r="J1339" t="s">
        <v>123</v>
      </c>
      <c r="K1339" t="s">
        <v>30</v>
      </c>
      <c r="L1339" t="s">
        <v>289</v>
      </c>
      <c r="M1339" t="s">
        <v>32</v>
      </c>
      <c r="N1339" t="s">
        <v>51</v>
      </c>
      <c r="O1339" t="s">
        <v>550</v>
      </c>
      <c r="P1339">
        <v>185.52799999999999</v>
      </c>
      <c r="Q1339">
        <v>7</v>
      </c>
      <c r="R1339">
        <v>48.701099999999997</v>
      </c>
      <c r="S1339" s="3" t="s">
        <v>683</v>
      </c>
      <c r="T1339">
        <v>2016</v>
      </c>
      <c r="U1339" t="s">
        <v>527</v>
      </c>
      <c r="V1339" s="2">
        <v>0.26250000000000001</v>
      </c>
    </row>
    <row r="1340" spans="1:22" x14ac:dyDescent="0.25">
      <c r="A1340" t="s">
        <v>3471</v>
      </c>
      <c r="B1340" s="1">
        <v>43024</v>
      </c>
      <c r="C1340" s="1">
        <v>43029</v>
      </c>
      <c r="D1340" t="s">
        <v>23</v>
      </c>
      <c r="E1340" t="s">
        <v>2870</v>
      </c>
      <c r="F1340" t="s">
        <v>2871</v>
      </c>
      <c r="G1340" t="s">
        <v>70</v>
      </c>
      <c r="H1340" t="s">
        <v>27</v>
      </c>
      <c r="I1340" t="s">
        <v>3470</v>
      </c>
      <c r="J1340" t="s">
        <v>123</v>
      </c>
      <c r="K1340" t="s">
        <v>30</v>
      </c>
      <c r="L1340" t="s">
        <v>282</v>
      </c>
      <c r="M1340" t="s">
        <v>32</v>
      </c>
      <c r="N1340" t="s">
        <v>215</v>
      </c>
      <c r="O1340" t="s">
        <v>283</v>
      </c>
      <c r="P1340">
        <v>599.98500000000001</v>
      </c>
      <c r="Q1340">
        <v>5</v>
      </c>
      <c r="R1340">
        <v>-479.988</v>
      </c>
      <c r="S1340" s="3" t="s">
        <v>35</v>
      </c>
      <c r="T1340">
        <v>2017</v>
      </c>
      <c r="U1340" t="s">
        <v>133</v>
      </c>
      <c r="V1340" s="2">
        <v>-0.8</v>
      </c>
    </row>
    <row r="1341" spans="1:22" x14ac:dyDescent="0.25">
      <c r="A1341" t="s">
        <v>3472</v>
      </c>
      <c r="B1341" s="1">
        <v>43022</v>
      </c>
      <c r="C1341" s="1">
        <v>43027</v>
      </c>
      <c r="D1341" t="s">
        <v>23</v>
      </c>
      <c r="E1341" t="s">
        <v>2854</v>
      </c>
      <c r="F1341" t="s">
        <v>2855</v>
      </c>
      <c r="G1341" t="s">
        <v>26</v>
      </c>
      <c r="H1341" t="s">
        <v>27</v>
      </c>
      <c r="I1341" t="s">
        <v>43</v>
      </c>
      <c r="J1341" t="s">
        <v>29</v>
      </c>
      <c r="K1341" t="s">
        <v>30</v>
      </c>
      <c r="L1341" t="s">
        <v>674</v>
      </c>
      <c r="M1341" t="s">
        <v>32</v>
      </c>
      <c r="N1341" t="s">
        <v>51</v>
      </c>
      <c r="O1341" t="s">
        <v>675</v>
      </c>
      <c r="P1341">
        <v>46.36</v>
      </c>
      <c r="Q1341">
        <v>4</v>
      </c>
      <c r="R1341">
        <v>15.2988</v>
      </c>
      <c r="S1341" s="3" t="s">
        <v>35</v>
      </c>
      <c r="T1341">
        <v>2017</v>
      </c>
      <c r="U1341" t="s">
        <v>133</v>
      </c>
      <c r="V1341" s="2">
        <v>0.33</v>
      </c>
    </row>
    <row r="1342" spans="1:22" x14ac:dyDescent="0.25">
      <c r="A1342" t="s">
        <v>3473</v>
      </c>
      <c r="B1342" s="1">
        <v>42541</v>
      </c>
      <c r="C1342" s="1">
        <v>42546</v>
      </c>
      <c r="D1342" t="s">
        <v>23</v>
      </c>
      <c r="E1342" t="s">
        <v>2591</v>
      </c>
      <c r="F1342" t="s">
        <v>2592</v>
      </c>
      <c r="G1342" t="s">
        <v>59</v>
      </c>
      <c r="H1342" t="s">
        <v>27</v>
      </c>
      <c r="I1342" t="s">
        <v>1541</v>
      </c>
      <c r="J1342" t="s">
        <v>200</v>
      </c>
      <c r="K1342" t="s">
        <v>62</v>
      </c>
      <c r="L1342" t="s">
        <v>2705</v>
      </c>
      <c r="M1342" t="s">
        <v>32</v>
      </c>
      <c r="N1342" t="s">
        <v>51</v>
      </c>
      <c r="O1342" t="s">
        <v>2706</v>
      </c>
      <c r="P1342">
        <v>6.9</v>
      </c>
      <c r="Q1342">
        <v>1</v>
      </c>
      <c r="R1342">
        <v>0.55200000000000005</v>
      </c>
      <c r="S1342" s="3" t="s">
        <v>35</v>
      </c>
      <c r="T1342">
        <v>2016</v>
      </c>
      <c r="U1342" t="s">
        <v>36</v>
      </c>
      <c r="V1342" s="2">
        <v>0.08</v>
      </c>
    </row>
    <row r="1343" spans="1:22" x14ac:dyDescent="0.25">
      <c r="A1343" t="s">
        <v>3474</v>
      </c>
      <c r="B1343" s="1">
        <v>41884</v>
      </c>
      <c r="C1343" s="1">
        <v>41889</v>
      </c>
      <c r="D1343" t="s">
        <v>23</v>
      </c>
      <c r="E1343" t="s">
        <v>349</v>
      </c>
      <c r="F1343" t="s">
        <v>350</v>
      </c>
      <c r="G1343" t="s">
        <v>59</v>
      </c>
      <c r="H1343" t="s">
        <v>27</v>
      </c>
      <c r="I1343" t="s">
        <v>71</v>
      </c>
      <c r="J1343" t="s">
        <v>61</v>
      </c>
      <c r="K1343" t="s">
        <v>62</v>
      </c>
      <c r="L1343" t="s">
        <v>1872</v>
      </c>
      <c r="M1343" t="s">
        <v>32</v>
      </c>
      <c r="N1343" t="s">
        <v>215</v>
      </c>
      <c r="O1343" t="s">
        <v>1873</v>
      </c>
      <c r="P1343">
        <v>559.71</v>
      </c>
      <c r="Q1343">
        <v>3</v>
      </c>
      <c r="R1343">
        <v>-121.2705</v>
      </c>
      <c r="S1343" s="3" t="s">
        <v>35</v>
      </c>
      <c r="T1343">
        <v>2014</v>
      </c>
      <c r="U1343" t="s">
        <v>81</v>
      </c>
      <c r="V1343" s="2">
        <v>-0.21666666666666701</v>
      </c>
    </row>
    <row r="1344" spans="1:22" x14ac:dyDescent="0.25">
      <c r="A1344" t="s">
        <v>3475</v>
      </c>
      <c r="B1344" s="1">
        <v>43073</v>
      </c>
      <c r="C1344" s="1">
        <v>43078</v>
      </c>
      <c r="D1344" t="s">
        <v>23</v>
      </c>
      <c r="E1344" t="s">
        <v>602</v>
      </c>
      <c r="F1344" t="s">
        <v>603</v>
      </c>
      <c r="G1344" t="s">
        <v>26</v>
      </c>
      <c r="H1344" t="s">
        <v>27</v>
      </c>
      <c r="I1344" t="s">
        <v>3430</v>
      </c>
      <c r="J1344" t="s">
        <v>2319</v>
      </c>
      <c r="K1344" t="s">
        <v>155</v>
      </c>
      <c r="L1344" t="s">
        <v>3476</v>
      </c>
      <c r="M1344" t="s">
        <v>32</v>
      </c>
      <c r="N1344" t="s">
        <v>215</v>
      </c>
      <c r="O1344" t="s">
        <v>3339</v>
      </c>
      <c r="P1344">
        <v>649</v>
      </c>
      <c r="Q1344">
        <v>2</v>
      </c>
      <c r="R1344">
        <v>-272.58</v>
      </c>
      <c r="S1344" s="3" t="s">
        <v>35</v>
      </c>
      <c r="T1344">
        <v>2017</v>
      </c>
      <c r="U1344" t="s">
        <v>66</v>
      </c>
      <c r="V1344" s="2">
        <v>-0.42</v>
      </c>
    </row>
    <row r="1345" spans="1:22" x14ac:dyDescent="0.25">
      <c r="A1345" t="s">
        <v>3477</v>
      </c>
      <c r="B1345" s="1">
        <v>42679</v>
      </c>
      <c r="C1345" s="1">
        <v>42681</v>
      </c>
      <c r="D1345" t="s">
        <v>40</v>
      </c>
      <c r="E1345" t="s">
        <v>546</v>
      </c>
      <c r="F1345" t="s">
        <v>547</v>
      </c>
      <c r="G1345" t="s">
        <v>26</v>
      </c>
      <c r="H1345" t="s">
        <v>27</v>
      </c>
      <c r="I1345" t="s">
        <v>3478</v>
      </c>
      <c r="J1345" t="s">
        <v>29</v>
      </c>
      <c r="K1345" t="s">
        <v>30</v>
      </c>
      <c r="L1345" t="s">
        <v>2256</v>
      </c>
      <c r="M1345" t="s">
        <v>32</v>
      </c>
      <c r="N1345" t="s">
        <v>51</v>
      </c>
      <c r="O1345" t="s">
        <v>2257</v>
      </c>
      <c r="P1345">
        <v>72</v>
      </c>
      <c r="Q1345">
        <v>4</v>
      </c>
      <c r="R1345">
        <v>12.96</v>
      </c>
      <c r="S1345" s="3" t="s">
        <v>65</v>
      </c>
      <c r="T1345">
        <v>2016</v>
      </c>
      <c r="U1345" t="s">
        <v>118</v>
      </c>
      <c r="V1345" s="2">
        <v>0.18</v>
      </c>
    </row>
    <row r="1346" spans="1:22" x14ac:dyDescent="0.25">
      <c r="A1346" t="s">
        <v>3479</v>
      </c>
      <c r="B1346" s="1">
        <v>42518</v>
      </c>
      <c r="C1346" s="1">
        <v>42523</v>
      </c>
      <c r="D1346" t="s">
        <v>23</v>
      </c>
      <c r="E1346" t="s">
        <v>3373</v>
      </c>
      <c r="F1346" t="s">
        <v>3374</v>
      </c>
      <c r="G1346" t="s">
        <v>70</v>
      </c>
      <c r="H1346" t="s">
        <v>27</v>
      </c>
      <c r="I1346" t="s">
        <v>3480</v>
      </c>
      <c r="J1346" t="s">
        <v>78</v>
      </c>
      <c r="K1346" t="s">
        <v>62</v>
      </c>
      <c r="L1346" t="s">
        <v>1385</v>
      </c>
      <c r="M1346" t="s">
        <v>32</v>
      </c>
      <c r="N1346" t="s">
        <v>33</v>
      </c>
      <c r="O1346" t="s">
        <v>1386</v>
      </c>
      <c r="P1346">
        <v>286.39999999999998</v>
      </c>
      <c r="Q1346">
        <v>1</v>
      </c>
      <c r="R1346">
        <v>25.06</v>
      </c>
      <c r="S1346" s="3" t="s">
        <v>35</v>
      </c>
      <c r="T1346">
        <v>2016</v>
      </c>
      <c r="U1346" t="s">
        <v>527</v>
      </c>
      <c r="V1346" s="2">
        <v>8.7499999999999994E-2</v>
      </c>
    </row>
    <row r="1347" spans="1:22" x14ac:dyDescent="0.25">
      <c r="A1347" t="s">
        <v>3481</v>
      </c>
      <c r="B1347" s="1">
        <v>43065</v>
      </c>
      <c r="C1347" s="1">
        <v>43068</v>
      </c>
      <c r="D1347" t="s">
        <v>40</v>
      </c>
      <c r="E1347" t="s">
        <v>3067</v>
      </c>
      <c r="F1347" t="s">
        <v>3068</v>
      </c>
      <c r="G1347" t="s">
        <v>26</v>
      </c>
      <c r="H1347" t="s">
        <v>27</v>
      </c>
      <c r="I1347" t="s">
        <v>103</v>
      </c>
      <c r="J1347" t="s">
        <v>104</v>
      </c>
      <c r="K1347" t="s">
        <v>95</v>
      </c>
      <c r="L1347" t="s">
        <v>1168</v>
      </c>
      <c r="M1347" t="s">
        <v>32</v>
      </c>
      <c r="N1347" t="s">
        <v>33</v>
      </c>
      <c r="O1347" t="s">
        <v>1853</v>
      </c>
      <c r="P1347">
        <v>979.95</v>
      </c>
      <c r="Q1347">
        <v>5</v>
      </c>
      <c r="R1347">
        <v>264.5865</v>
      </c>
      <c r="S1347" s="3" t="s">
        <v>172</v>
      </c>
      <c r="T1347">
        <v>2017</v>
      </c>
      <c r="U1347" t="s">
        <v>118</v>
      </c>
      <c r="V1347" s="2">
        <v>0.27</v>
      </c>
    </row>
    <row r="1348" spans="1:22" x14ac:dyDescent="0.25">
      <c r="A1348" t="s">
        <v>3482</v>
      </c>
      <c r="B1348" s="1">
        <v>42981</v>
      </c>
      <c r="C1348" s="1">
        <v>42985</v>
      </c>
      <c r="D1348" t="s">
        <v>23</v>
      </c>
      <c r="E1348" t="s">
        <v>2409</v>
      </c>
      <c r="F1348" t="s">
        <v>2410</v>
      </c>
      <c r="G1348" t="s">
        <v>59</v>
      </c>
      <c r="H1348" t="s">
        <v>27</v>
      </c>
      <c r="I1348" t="s">
        <v>140</v>
      </c>
      <c r="J1348" t="s">
        <v>78</v>
      </c>
      <c r="K1348" t="s">
        <v>62</v>
      </c>
      <c r="L1348" t="s">
        <v>883</v>
      </c>
      <c r="M1348" t="s">
        <v>32</v>
      </c>
      <c r="N1348" t="s">
        <v>51</v>
      </c>
      <c r="O1348" t="s">
        <v>884</v>
      </c>
      <c r="P1348">
        <v>100.8</v>
      </c>
      <c r="Q1348">
        <v>2</v>
      </c>
      <c r="R1348">
        <v>21.42</v>
      </c>
      <c r="S1348" s="3" t="s">
        <v>53</v>
      </c>
      <c r="T1348">
        <v>2017</v>
      </c>
      <c r="U1348" t="s">
        <v>81</v>
      </c>
      <c r="V1348" s="2">
        <v>0.21249999999999999</v>
      </c>
    </row>
    <row r="1349" spans="1:22" x14ac:dyDescent="0.25">
      <c r="A1349" t="s">
        <v>3483</v>
      </c>
      <c r="B1349" s="1">
        <v>41716</v>
      </c>
      <c r="C1349" s="1">
        <v>41722</v>
      </c>
      <c r="D1349" t="s">
        <v>23</v>
      </c>
      <c r="E1349" t="s">
        <v>2336</v>
      </c>
      <c r="F1349" t="s">
        <v>2337</v>
      </c>
      <c r="G1349" t="s">
        <v>70</v>
      </c>
      <c r="H1349" t="s">
        <v>27</v>
      </c>
      <c r="I1349" t="s">
        <v>3484</v>
      </c>
      <c r="J1349" t="s">
        <v>29</v>
      </c>
      <c r="K1349" t="s">
        <v>30</v>
      </c>
      <c r="L1349" t="s">
        <v>282</v>
      </c>
      <c r="M1349" t="s">
        <v>32</v>
      </c>
      <c r="N1349" t="s">
        <v>215</v>
      </c>
      <c r="O1349" t="s">
        <v>283</v>
      </c>
      <c r="P1349">
        <v>1279.9680000000001</v>
      </c>
      <c r="Q1349">
        <v>4</v>
      </c>
      <c r="R1349">
        <v>415.9896</v>
      </c>
      <c r="S1349" s="3" t="s">
        <v>107</v>
      </c>
      <c r="T1349">
        <v>2014</v>
      </c>
      <c r="U1349" t="s">
        <v>89</v>
      </c>
      <c r="V1349" s="2">
        <v>0.32500000000000001</v>
      </c>
    </row>
    <row r="1350" spans="1:22" x14ac:dyDescent="0.25">
      <c r="A1350" t="s">
        <v>3485</v>
      </c>
      <c r="B1350" s="1">
        <v>43034</v>
      </c>
      <c r="C1350" s="1">
        <v>43038</v>
      </c>
      <c r="D1350" t="s">
        <v>23</v>
      </c>
      <c r="E1350" t="s">
        <v>2766</v>
      </c>
      <c r="F1350" t="s">
        <v>2767</v>
      </c>
      <c r="G1350" t="s">
        <v>59</v>
      </c>
      <c r="H1350" t="s">
        <v>27</v>
      </c>
      <c r="I1350" t="s">
        <v>2300</v>
      </c>
      <c r="J1350" t="s">
        <v>207</v>
      </c>
      <c r="K1350" t="s">
        <v>95</v>
      </c>
      <c r="L1350" t="s">
        <v>319</v>
      </c>
      <c r="M1350" t="s">
        <v>32</v>
      </c>
      <c r="N1350" t="s">
        <v>33</v>
      </c>
      <c r="O1350" t="s">
        <v>320</v>
      </c>
      <c r="P1350">
        <v>61.542000000000002</v>
      </c>
      <c r="Q1350">
        <v>1</v>
      </c>
      <c r="R1350">
        <v>-13.334099999999999</v>
      </c>
      <c r="S1350" s="3" t="s">
        <v>53</v>
      </c>
      <c r="T1350">
        <v>2017</v>
      </c>
      <c r="U1350" t="s">
        <v>133</v>
      </c>
      <c r="V1350" s="2">
        <v>-0.21666666666666701</v>
      </c>
    </row>
    <row r="1351" spans="1:22" x14ac:dyDescent="0.25">
      <c r="A1351" t="s">
        <v>3486</v>
      </c>
      <c r="B1351" s="1">
        <v>42363</v>
      </c>
      <c r="C1351" s="1">
        <v>42368</v>
      </c>
      <c r="D1351" t="s">
        <v>23</v>
      </c>
      <c r="E1351" t="s">
        <v>3487</v>
      </c>
      <c r="F1351" t="s">
        <v>3488</v>
      </c>
      <c r="G1351" t="s">
        <v>26</v>
      </c>
      <c r="H1351" t="s">
        <v>27</v>
      </c>
      <c r="I1351" t="s">
        <v>103</v>
      </c>
      <c r="J1351" t="s">
        <v>104</v>
      </c>
      <c r="K1351" t="s">
        <v>95</v>
      </c>
      <c r="L1351" t="s">
        <v>841</v>
      </c>
      <c r="M1351" t="s">
        <v>32</v>
      </c>
      <c r="N1351" t="s">
        <v>51</v>
      </c>
      <c r="O1351" t="s">
        <v>1306</v>
      </c>
      <c r="P1351">
        <v>843.9</v>
      </c>
      <c r="Q1351">
        <v>2</v>
      </c>
      <c r="R1351">
        <v>371.31599999999997</v>
      </c>
      <c r="S1351" s="3" t="s">
        <v>35</v>
      </c>
      <c r="T1351">
        <v>2015</v>
      </c>
      <c r="U1351" t="s">
        <v>66</v>
      </c>
      <c r="V1351" s="2">
        <v>0.44</v>
      </c>
    </row>
    <row r="1352" spans="1:22" x14ac:dyDescent="0.25">
      <c r="A1352" t="s">
        <v>3489</v>
      </c>
      <c r="B1352" s="1">
        <v>43080</v>
      </c>
      <c r="C1352" s="1">
        <v>43086</v>
      </c>
      <c r="D1352" t="s">
        <v>23</v>
      </c>
      <c r="E1352" t="s">
        <v>3490</v>
      </c>
      <c r="F1352" t="s">
        <v>3491</v>
      </c>
      <c r="G1352" t="s">
        <v>59</v>
      </c>
      <c r="H1352" t="s">
        <v>27</v>
      </c>
      <c r="I1352" t="s">
        <v>460</v>
      </c>
      <c r="J1352" t="s">
        <v>288</v>
      </c>
      <c r="K1352" t="s">
        <v>155</v>
      </c>
      <c r="L1352" t="s">
        <v>548</v>
      </c>
      <c r="M1352" t="s">
        <v>32</v>
      </c>
      <c r="N1352" t="s">
        <v>33</v>
      </c>
      <c r="O1352" t="s">
        <v>549</v>
      </c>
      <c r="P1352">
        <v>73.567999999999998</v>
      </c>
      <c r="Q1352">
        <v>4</v>
      </c>
      <c r="R1352">
        <v>-16.552800000000001</v>
      </c>
      <c r="S1352" s="3" t="s">
        <v>107</v>
      </c>
      <c r="T1352">
        <v>2017</v>
      </c>
      <c r="U1352" t="s">
        <v>66</v>
      </c>
      <c r="V1352" s="2">
        <v>-0.22500000000000001</v>
      </c>
    </row>
    <row r="1353" spans="1:22" x14ac:dyDescent="0.25">
      <c r="A1353" t="s">
        <v>3492</v>
      </c>
      <c r="B1353" s="1">
        <v>43049</v>
      </c>
      <c r="C1353" s="1">
        <v>43055</v>
      </c>
      <c r="D1353" t="s">
        <v>23</v>
      </c>
      <c r="E1353" t="s">
        <v>3493</v>
      </c>
      <c r="F1353" t="s">
        <v>3494</v>
      </c>
      <c r="G1353" t="s">
        <v>26</v>
      </c>
      <c r="H1353" t="s">
        <v>27</v>
      </c>
      <c r="I1353" t="s">
        <v>3495</v>
      </c>
      <c r="J1353" t="s">
        <v>29</v>
      </c>
      <c r="K1353" t="s">
        <v>30</v>
      </c>
      <c r="L1353" t="s">
        <v>478</v>
      </c>
      <c r="M1353" t="s">
        <v>32</v>
      </c>
      <c r="N1353" t="s">
        <v>51</v>
      </c>
      <c r="O1353" t="s">
        <v>479</v>
      </c>
      <c r="P1353">
        <v>111.79</v>
      </c>
      <c r="Q1353">
        <v>7</v>
      </c>
      <c r="R1353">
        <v>43.598100000000002</v>
      </c>
      <c r="S1353" s="3" t="s">
        <v>107</v>
      </c>
      <c r="T1353">
        <v>2017</v>
      </c>
      <c r="U1353" t="s">
        <v>118</v>
      </c>
      <c r="V1353" s="2">
        <v>0.39</v>
      </c>
    </row>
    <row r="1354" spans="1:22" x14ac:dyDescent="0.25">
      <c r="A1354" t="s">
        <v>3496</v>
      </c>
      <c r="B1354" s="1">
        <v>42810</v>
      </c>
      <c r="C1354" s="1">
        <v>42812</v>
      </c>
      <c r="D1354" t="s">
        <v>40</v>
      </c>
      <c r="E1354" t="s">
        <v>2220</v>
      </c>
      <c r="F1354" t="s">
        <v>2221</v>
      </c>
      <c r="G1354" t="s">
        <v>70</v>
      </c>
      <c r="H1354" t="s">
        <v>27</v>
      </c>
      <c r="I1354" t="s">
        <v>1040</v>
      </c>
      <c r="J1354" t="s">
        <v>177</v>
      </c>
      <c r="K1354" t="s">
        <v>95</v>
      </c>
      <c r="L1354" t="s">
        <v>1111</v>
      </c>
      <c r="M1354" t="s">
        <v>32</v>
      </c>
      <c r="N1354" t="s">
        <v>33</v>
      </c>
      <c r="O1354" t="s">
        <v>1112</v>
      </c>
      <c r="P1354">
        <v>445.44</v>
      </c>
      <c r="Q1354">
        <v>8</v>
      </c>
      <c r="R1354">
        <v>-81.664000000000001</v>
      </c>
      <c r="S1354" s="3" t="s">
        <v>65</v>
      </c>
      <c r="T1354">
        <v>2017</v>
      </c>
      <c r="U1354" t="s">
        <v>89</v>
      </c>
      <c r="V1354" s="2">
        <v>-0.18333333333333299</v>
      </c>
    </row>
    <row r="1355" spans="1:22" x14ac:dyDescent="0.25">
      <c r="A1355" t="s">
        <v>3497</v>
      </c>
      <c r="B1355" s="1">
        <v>42003</v>
      </c>
      <c r="C1355" s="1">
        <v>42007</v>
      </c>
      <c r="D1355" t="s">
        <v>40</v>
      </c>
      <c r="E1355" t="s">
        <v>3058</v>
      </c>
      <c r="F1355" t="s">
        <v>3059</v>
      </c>
      <c r="G1355" t="s">
        <v>59</v>
      </c>
      <c r="H1355" t="s">
        <v>27</v>
      </c>
      <c r="I1355" t="s">
        <v>206</v>
      </c>
      <c r="J1355" t="s">
        <v>207</v>
      </c>
      <c r="K1355" t="s">
        <v>95</v>
      </c>
      <c r="L1355" t="s">
        <v>716</v>
      </c>
      <c r="M1355" t="s">
        <v>32</v>
      </c>
      <c r="N1355" t="s">
        <v>33</v>
      </c>
      <c r="O1355" t="s">
        <v>717</v>
      </c>
      <c r="P1355">
        <v>251.964</v>
      </c>
      <c r="Q1355">
        <v>6</v>
      </c>
      <c r="R1355">
        <v>-50.392800000000001</v>
      </c>
      <c r="S1355" s="3" t="s">
        <v>53</v>
      </c>
      <c r="T1355">
        <v>2014</v>
      </c>
      <c r="U1355" t="s">
        <v>66</v>
      </c>
      <c r="V1355" s="2">
        <v>-0.2</v>
      </c>
    </row>
    <row r="1356" spans="1:22" x14ac:dyDescent="0.25">
      <c r="A1356" t="s">
        <v>3498</v>
      </c>
      <c r="B1356" s="1">
        <v>42702</v>
      </c>
      <c r="C1356" s="1">
        <v>42708</v>
      </c>
      <c r="D1356" t="s">
        <v>23</v>
      </c>
      <c r="E1356" t="s">
        <v>2683</v>
      </c>
      <c r="F1356" t="s">
        <v>2684</v>
      </c>
      <c r="G1356" t="s">
        <v>59</v>
      </c>
      <c r="H1356" t="s">
        <v>27</v>
      </c>
      <c r="I1356" t="s">
        <v>206</v>
      </c>
      <c r="J1356" t="s">
        <v>207</v>
      </c>
      <c r="K1356" t="s">
        <v>95</v>
      </c>
      <c r="L1356" t="s">
        <v>1041</v>
      </c>
      <c r="M1356" t="s">
        <v>32</v>
      </c>
      <c r="N1356" t="s">
        <v>33</v>
      </c>
      <c r="O1356" t="s">
        <v>1042</v>
      </c>
      <c r="P1356">
        <v>340.18200000000002</v>
      </c>
      <c r="Q1356">
        <v>3</v>
      </c>
      <c r="R1356">
        <v>-73.706100000000006</v>
      </c>
      <c r="S1356" s="3" t="s">
        <v>107</v>
      </c>
      <c r="T1356">
        <v>2016</v>
      </c>
      <c r="U1356" t="s">
        <v>118</v>
      </c>
      <c r="V1356" s="2">
        <v>-0.21666666666666701</v>
      </c>
    </row>
    <row r="1357" spans="1:22" x14ac:dyDescent="0.25">
      <c r="A1357" t="s">
        <v>3499</v>
      </c>
      <c r="B1357" s="1">
        <v>41940</v>
      </c>
      <c r="C1357" s="1">
        <v>41944</v>
      </c>
      <c r="D1357" t="s">
        <v>23</v>
      </c>
      <c r="E1357" t="s">
        <v>2877</v>
      </c>
      <c r="F1357" t="s">
        <v>2878</v>
      </c>
      <c r="G1357" t="s">
        <v>59</v>
      </c>
      <c r="H1357" t="s">
        <v>27</v>
      </c>
      <c r="I1357" t="s">
        <v>3500</v>
      </c>
      <c r="J1357" t="s">
        <v>2242</v>
      </c>
      <c r="K1357" t="s">
        <v>62</v>
      </c>
      <c r="L1357" t="s">
        <v>1148</v>
      </c>
      <c r="M1357" t="s">
        <v>32</v>
      </c>
      <c r="N1357" t="s">
        <v>33</v>
      </c>
      <c r="O1357" t="s">
        <v>1149</v>
      </c>
      <c r="P1357">
        <v>257.98</v>
      </c>
      <c r="Q1357">
        <v>2</v>
      </c>
      <c r="R1357">
        <v>74.8142</v>
      </c>
      <c r="S1357" s="3" t="s">
        <v>53</v>
      </c>
      <c r="T1357">
        <v>2014</v>
      </c>
      <c r="U1357" t="s">
        <v>133</v>
      </c>
      <c r="V1357" s="2">
        <v>0.28999999999999998</v>
      </c>
    </row>
    <row r="1358" spans="1:22" x14ac:dyDescent="0.25">
      <c r="A1358" t="s">
        <v>3501</v>
      </c>
      <c r="B1358" s="1">
        <v>42626</v>
      </c>
      <c r="C1358" s="1">
        <v>42631</v>
      </c>
      <c r="D1358" t="s">
        <v>23</v>
      </c>
      <c r="E1358" t="s">
        <v>3502</v>
      </c>
      <c r="F1358" t="s">
        <v>3503</v>
      </c>
      <c r="G1358" t="s">
        <v>26</v>
      </c>
      <c r="H1358" t="s">
        <v>27</v>
      </c>
      <c r="I1358" t="s">
        <v>778</v>
      </c>
      <c r="J1358" t="s">
        <v>779</v>
      </c>
      <c r="K1358" t="s">
        <v>62</v>
      </c>
      <c r="L1358" t="s">
        <v>2129</v>
      </c>
      <c r="M1358" t="s">
        <v>32</v>
      </c>
      <c r="N1358" t="s">
        <v>33</v>
      </c>
      <c r="O1358" t="s">
        <v>2130</v>
      </c>
      <c r="P1358">
        <v>149.94999999999999</v>
      </c>
      <c r="Q1358">
        <v>5</v>
      </c>
      <c r="R1358">
        <v>41.985999999999997</v>
      </c>
      <c r="S1358" s="3" t="s">
        <v>35</v>
      </c>
      <c r="T1358">
        <v>2016</v>
      </c>
      <c r="U1358" t="s">
        <v>81</v>
      </c>
      <c r="V1358" s="2">
        <v>0.28000000000000003</v>
      </c>
    </row>
    <row r="1359" spans="1:22" x14ac:dyDescent="0.25">
      <c r="A1359" t="s">
        <v>3501</v>
      </c>
      <c r="B1359" s="1">
        <v>42626</v>
      </c>
      <c r="C1359" s="1">
        <v>42631</v>
      </c>
      <c r="D1359" t="s">
        <v>23</v>
      </c>
      <c r="E1359" t="s">
        <v>3502</v>
      </c>
      <c r="F1359" t="s">
        <v>3503</v>
      </c>
      <c r="G1359" t="s">
        <v>26</v>
      </c>
      <c r="H1359" t="s">
        <v>27</v>
      </c>
      <c r="I1359" t="s">
        <v>778</v>
      </c>
      <c r="J1359" t="s">
        <v>779</v>
      </c>
      <c r="K1359" t="s">
        <v>62</v>
      </c>
      <c r="L1359" t="s">
        <v>1420</v>
      </c>
      <c r="M1359" t="s">
        <v>32</v>
      </c>
      <c r="N1359" t="s">
        <v>33</v>
      </c>
      <c r="O1359" t="s">
        <v>1421</v>
      </c>
      <c r="P1359">
        <v>29.97</v>
      </c>
      <c r="Q1359">
        <v>3</v>
      </c>
      <c r="R1359">
        <v>0.29970000000000002</v>
      </c>
      <c r="S1359" s="3" t="s">
        <v>35</v>
      </c>
      <c r="T1359">
        <v>2016</v>
      </c>
      <c r="U1359" t="s">
        <v>81</v>
      </c>
      <c r="V1359" s="2">
        <v>0.01</v>
      </c>
    </row>
    <row r="1360" spans="1:22" x14ac:dyDescent="0.25">
      <c r="A1360" t="s">
        <v>3504</v>
      </c>
      <c r="B1360" s="1">
        <v>41832</v>
      </c>
      <c r="C1360" s="1">
        <v>41835</v>
      </c>
      <c r="D1360" t="s">
        <v>40</v>
      </c>
      <c r="E1360" t="s">
        <v>3505</v>
      </c>
      <c r="F1360" t="s">
        <v>3506</v>
      </c>
      <c r="G1360" t="s">
        <v>26</v>
      </c>
      <c r="H1360" t="s">
        <v>27</v>
      </c>
      <c r="I1360" t="s">
        <v>140</v>
      </c>
      <c r="J1360" t="s">
        <v>78</v>
      </c>
      <c r="K1360" t="s">
        <v>62</v>
      </c>
      <c r="L1360" t="s">
        <v>644</v>
      </c>
      <c r="M1360" t="s">
        <v>32</v>
      </c>
      <c r="N1360" t="s">
        <v>51</v>
      </c>
      <c r="O1360" t="s">
        <v>645</v>
      </c>
      <c r="P1360">
        <v>23.84</v>
      </c>
      <c r="Q1360">
        <v>4</v>
      </c>
      <c r="R1360">
        <v>3.278</v>
      </c>
      <c r="S1360" s="3" t="s">
        <v>172</v>
      </c>
      <c r="T1360">
        <v>2014</v>
      </c>
      <c r="U1360" t="s">
        <v>332</v>
      </c>
      <c r="V1360" s="2">
        <v>0.13750000000000001</v>
      </c>
    </row>
    <row r="1361" spans="1:22" x14ac:dyDescent="0.25">
      <c r="A1361" t="s">
        <v>3507</v>
      </c>
      <c r="B1361" s="1">
        <v>41843</v>
      </c>
      <c r="C1361" s="1">
        <v>41844</v>
      </c>
      <c r="D1361" t="s">
        <v>56</v>
      </c>
      <c r="E1361" t="s">
        <v>3502</v>
      </c>
      <c r="F1361" t="s">
        <v>3503</v>
      </c>
      <c r="G1361" t="s">
        <v>26</v>
      </c>
      <c r="H1361" t="s">
        <v>27</v>
      </c>
      <c r="I1361" t="s">
        <v>103</v>
      </c>
      <c r="J1361" t="s">
        <v>104</v>
      </c>
      <c r="K1361" t="s">
        <v>95</v>
      </c>
      <c r="L1361" t="s">
        <v>1155</v>
      </c>
      <c r="M1361" t="s">
        <v>32</v>
      </c>
      <c r="N1361" t="s">
        <v>51</v>
      </c>
      <c r="O1361" t="s">
        <v>1156</v>
      </c>
      <c r="P1361">
        <v>99.98</v>
      </c>
      <c r="Q1361">
        <v>2</v>
      </c>
      <c r="R1361">
        <v>7.9984000000000002</v>
      </c>
      <c r="S1361" s="3" t="s">
        <v>112</v>
      </c>
      <c r="T1361">
        <v>2014</v>
      </c>
      <c r="U1361" t="s">
        <v>332</v>
      </c>
      <c r="V1361" s="2">
        <v>0.08</v>
      </c>
    </row>
    <row r="1362" spans="1:22" x14ac:dyDescent="0.25">
      <c r="A1362" t="s">
        <v>3508</v>
      </c>
      <c r="B1362" s="1">
        <v>42885</v>
      </c>
      <c r="C1362" s="1">
        <v>42889</v>
      </c>
      <c r="D1362" t="s">
        <v>23</v>
      </c>
      <c r="E1362" t="s">
        <v>1158</v>
      </c>
      <c r="F1362" t="s">
        <v>1159</v>
      </c>
      <c r="G1362" t="s">
        <v>70</v>
      </c>
      <c r="H1362" t="s">
        <v>27</v>
      </c>
      <c r="I1362" t="s">
        <v>1314</v>
      </c>
      <c r="J1362" t="s">
        <v>340</v>
      </c>
      <c r="K1362" t="s">
        <v>30</v>
      </c>
      <c r="L1362" t="s">
        <v>2461</v>
      </c>
      <c r="M1362" t="s">
        <v>32</v>
      </c>
      <c r="N1362" t="s">
        <v>33</v>
      </c>
      <c r="O1362" t="s">
        <v>2462</v>
      </c>
      <c r="P1362">
        <v>156.792</v>
      </c>
      <c r="Q1362">
        <v>1</v>
      </c>
      <c r="R1362">
        <v>17.639099999999999</v>
      </c>
      <c r="S1362" s="3" t="s">
        <v>53</v>
      </c>
      <c r="T1362">
        <v>2017</v>
      </c>
      <c r="U1362" t="s">
        <v>527</v>
      </c>
      <c r="V1362" s="2">
        <v>0.1125</v>
      </c>
    </row>
    <row r="1363" spans="1:22" x14ac:dyDescent="0.25">
      <c r="A1363" t="s">
        <v>3508</v>
      </c>
      <c r="B1363" s="1">
        <v>42885</v>
      </c>
      <c r="C1363" s="1">
        <v>42889</v>
      </c>
      <c r="D1363" t="s">
        <v>23</v>
      </c>
      <c r="E1363" t="s">
        <v>1158</v>
      </c>
      <c r="F1363" t="s">
        <v>1159</v>
      </c>
      <c r="G1363" t="s">
        <v>70</v>
      </c>
      <c r="H1363" t="s">
        <v>27</v>
      </c>
      <c r="I1363" t="s">
        <v>1314</v>
      </c>
      <c r="J1363" t="s">
        <v>340</v>
      </c>
      <c r="K1363" t="s">
        <v>30</v>
      </c>
      <c r="L1363" t="s">
        <v>239</v>
      </c>
      <c r="M1363" t="s">
        <v>32</v>
      </c>
      <c r="N1363" t="s">
        <v>51</v>
      </c>
      <c r="O1363" t="s">
        <v>240</v>
      </c>
      <c r="P1363">
        <v>35.36</v>
      </c>
      <c r="Q1363">
        <v>2</v>
      </c>
      <c r="R1363">
        <v>-3.0939999999999999</v>
      </c>
      <c r="S1363" s="3" t="s">
        <v>53</v>
      </c>
      <c r="T1363">
        <v>2017</v>
      </c>
      <c r="U1363" t="s">
        <v>527</v>
      </c>
      <c r="V1363" s="2">
        <v>-8.7499999999999994E-2</v>
      </c>
    </row>
    <row r="1364" spans="1:22" x14ac:dyDescent="0.25">
      <c r="A1364" t="s">
        <v>3509</v>
      </c>
      <c r="B1364" s="1">
        <v>42442</v>
      </c>
      <c r="C1364" s="1">
        <v>42444</v>
      </c>
      <c r="D1364" t="s">
        <v>40</v>
      </c>
      <c r="E1364" t="s">
        <v>1474</v>
      </c>
      <c r="F1364" t="s">
        <v>1475</v>
      </c>
      <c r="G1364" t="s">
        <v>59</v>
      </c>
      <c r="H1364" t="s">
        <v>27</v>
      </c>
      <c r="I1364" t="s">
        <v>206</v>
      </c>
      <c r="J1364" t="s">
        <v>207</v>
      </c>
      <c r="K1364" t="s">
        <v>95</v>
      </c>
      <c r="L1364" t="s">
        <v>2199</v>
      </c>
      <c r="M1364" t="s">
        <v>32</v>
      </c>
      <c r="N1364" t="s">
        <v>51</v>
      </c>
      <c r="O1364" t="s">
        <v>2200</v>
      </c>
      <c r="P1364">
        <v>379.96</v>
      </c>
      <c r="Q1364">
        <v>5</v>
      </c>
      <c r="R1364">
        <v>47.494999999999997</v>
      </c>
      <c r="S1364" s="3" t="s">
        <v>65</v>
      </c>
      <c r="T1364">
        <v>2016</v>
      </c>
      <c r="U1364" t="s">
        <v>89</v>
      </c>
      <c r="V1364" s="2">
        <v>0.125</v>
      </c>
    </row>
    <row r="1365" spans="1:22" x14ac:dyDescent="0.25">
      <c r="A1365" t="s">
        <v>3509</v>
      </c>
      <c r="B1365" s="1">
        <v>42442</v>
      </c>
      <c r="C1365" s="1">
        <v>42444</v>
      </c>
      <c r="D1365" t="s">
        <v>40</v>
      </c>
      <c r="E1365" t="s">
        <v>1474</v>
      </c>
      <c r="F1365" t="s">
        <v>1475</v>
      </c>
      <c r="G1365" t="s">
        <v>59</v>
      </c>
      <c r="H1365" t="s">
        <v>27</v>
      </c>
      <c r="I1365" t="s">
        <v>206</v>
      </c>
      <c r="J1365" t="s">
        <v>207</v>
      </c>
      <c r="K1365" t="s">
        <v>95</v>
      </c>
      <c r="L1365" t="s">
        <v>865</v>
      </c>
      <c r="M1365" t="s">
        <v>32</v>
      </c>
      <c r="N1365" t="s">
        <v>33</v>
      </c>
      <c r="O1365" t="s">
        <v>866</v>
      </c>
      <c r="P1365">
        <v>539.91</v>
      </c>
      <c r="Q1365">
        <v>3</v>
      </c>
      <c r="R1365">
        <v>-116.98050000000001</v>
      </c>
      <c r="S1365" s="3" t="s">
        <v>65</v>
      </c>
      <c r="T1365">
        <v>2016</v>
      </c>
      <c r="U1365" t="s">
        <v>89</v>
      </c>
      <c r="V1365" s="2">
        <v>-0.21666666666666701</v>
      </c>
    </row>
    <row r="1366" spans="1:22" x14ac:dyDescent="0.25">
      <c r="A1366" t="s">
        <v>3509</v>
      </c>
      <c r="B1366" s="1">
        <v>42442</v>
      </c>
      <c r="C1366" s="1">
        <v>42444</v>
      </c>
      <c r="D1366" t="s">
        <v>40</v>
      </c>
      <c r="E1366" t="s">
        <v>1474</v>
      </c>
      <c r="F1366" t="s">
        <v>1475</v>
      </c>
      <c r="G1366" t="s">
        <v>59</v>
      </c>
      <c r="H1366" t="s">
        <v>27</v>
      </c>
      <c r="I1366" t="s">
        <v>206</v>
      </c>
      <c r="J1366" t="s">
        <v>207</v>
      </c>
      <c r="K1366" t="s">
        <v>95</v>
      </c>
      <c r="L1366" t="s">
        <v>282</v>
      </c>
      <c r="M1366" t="s">
        <v>32</v>
      </c>
      <c r="N1366" t="s">
        <v>215</v>
      </c>
      <c r="O1366" t="s">
        <v>2298</v>
      </c>
      <c r="P1366">
        <v>449.1</v>
      </c>
      <c r="Q1366">
        <v>3</v>
      </c>
      <c r="R1366">
        <v>-643.71</v>
      </c>
      <c r="S1366" s="3" t="s">
        <v>65</v>
      </c>
      <c r="T1366">
        <v>2016</v>
      </c>
      <c r="U1366" t="s">
        <v>89</v>
      </c>
      <c r="V1366" s="2">
        <v>-1.43333333333333</v>
      </c>
    </row>
    <row r="1367" spans="1:22" x14ac:dyDescent="0.25">
      <c r="A1367" t="s">
        <v>3510</v>
      </c>
      <c r="B1367" s="1">
        <v>42995</v>
      </c>
      <c r="C1367" s="1">
        <v>43000</v>
      </c>
      <c r="D1367" t="s">
        <v>40</v>
      </c>
      <c r="E1367" t="s">
        <v>2157</v>
      </c>
      <c r="F1367" t="s">
        <v>2158</v>
      </c>
      <c r="G1367" t="s">
        <v>70</v>
      </c>
      <c r="H1367" t="s">
        <v>27</v>
      </c>
      <c r="I1367" t="s">
        <v>71</v>
      </c>
      <c r="J1367" t="s">
        <v>61</v>
      </c>
      <c r="K1367" t="s">
        <v>62</v>
      </c>
      <c r="L1367" t="s">
        <v>2228</v>
      </c>
      <c r="M1367" t="s">
        <v>32</v>
      </c>
      <c r="N1367" t="s">
        <v>33</v>
      </c>
      <c r="O1367" t="s">
        <v>2229</v>
      </c>
      <c r="P1367">
        <v>1415.76</v>
      </c>
      <c r="Q1367">
        <v>6</v>
      </c>
      <c r="R1367">
        <v>88.484999999999999</v>
      </c>
      <c r="S1367" s="3" t="s">
        <v>35</v>
      </c>
      <c r="T1367">
        <v>2017</v>
      </c>
      <c r="U1367" t="s">
        <v>81</v>
      </c>
      <c r="V1367" s="2">
        <v>6.25E-2</v>
      </c>
    </row>
    <row r="1368" spans="1:22" x14ac:dyDescent="0.25">
      <c r="A1368" t="s">
        <v>3511</v>
      </c>
      <c r="B1368" s="1">
        <v>42911</v>
      </c>
      <c r="C1368" s="1">
        <v>42917</v>
      </c>
      <c r="D1368" t="s">
        <v>23</v>
      </c>
      <c r="E1368" t="s">
        <v>634</v>
      </c>
      <c r="F1368" t="s">
        <v>635</v>
      </c>
      <c r="G1368" t="s">
        <v>26</v>
      </c>
      <c r="H1368" t="s">
        <v>27</v>
      </c>
      <c r="I1368" t="s">
        <v>3512</v>
      </c>
      <c r="J1368" t="s">
        <v>78</v>
      </c>
      <c r="K1368" t="s">
        <v>62</v>
      </c>
      <c r="L1368" t="s">
        <v>1111</v>
      </c>
      <c r="M1368" t="s">
        <v>32</v>
      </c>
      <c r="N1368" t="s">
        <v>33</v>
      </c>
      <c r="O1368" t="s">
        <v>1112</v>
      </c>
      <c r="P1368">
        <v>148.47999999999999</v>
      </c>
      <c r="Q1368">
        <v>2</v>
      </c>
      <c r="R1368">
        <v>16.704000000000001</v>
      </c>
      <c r="S1368" s="3" t="s">
        <v>107</v>
      </c>
      <c r="T1368">
        <v>2017</v>
      </c>
      <c r="U1368" t="s">
        <v>36</v>
      </c>
      <c r="V1368" s="2">
        <v>0.1125</v>
      </c>
    </row>
    <row r="1369" spans="1:22" x14ac:dyDescent="0.25">
      <c r="A1369" t="s">
        <v>3513</v>
      </c>
      <c r="B1369" s="1">
        <v>42110</v>
      </c>
      <c r="C1369" s="1">
        <v>42112</v>
      </c>
      <c r="D1369" t="s">
        <v>56</v>
      </c>
      <c r="E1369" t="s">
        <v>2636</v>
      </c>
      <c r="F1369" t="s">
        <v>2637</v>
      </c>
      <c r="G1369" t="s">
        <v>26</v>
      </c>
      <c r="H1369" t="s">
        <v>27</v>
      </c>
      <c r="I1369" t="s">
        <v>692</v>
      </c>
      <c r="J1369" t="s">
        <v>693</v>
      </c>
      <c r="K1369" t="s">
        <v>155</v>
      </c>
      <c r="L1369" t="s">
        <v>37</v>
      </c>
      <c r="M1369" t="s">
        <v>32</v>
      </c>
      <c r="N1369" t="s">
        <v>33</v>
      </c>
      <c r="O1369" t="s">
        <v>38</v>
      </c>
      <c r="P1369">
        <v>569.64</v>
      </c>
      <c r="Q1369">
        <v>2</v>
      </c>
      <c r="R1369">
        <v>148.10640000000001</v>
      </c>
      <c r="S1369" s="3" t="s">
        <v>65</v>
      </c>
      <c r="T1369">
        <v>2015</v>
      </c>
      <c r="U1369" t="s">
        <v>291</v>
      </c>
      <c r="V1369" s="2">
        <v>0.26</v>
      </c>
    </row>
    <row r="1370" spans="1:22" x14ac:dyDescent="0.25">
      <c r="A1370" t="s">
        <v>3514</v>
      </c>
      <c r="B1370" s="1">
        <v>42105</v>
      </c>
      <c r="C1370" s="1">
        <v>42108</v>
      </c>
      <c r="D1370" t="s">
        <v>40</v>
      </c>
      <c r="E1370" t="s">
        <v>3515</v>
      </c>
      <c r="F1370" t="s">
        <v>3516</v>
      </c>
      <c r="G1370" t="s">
        <v>26</v>
      </c>
      <c r="H1370" t="s">
        <v>27</v>
      </c>
      <c r="I1370" t="s">
        <v>28</v>
      </c>
      <c r="J1370" t="s">
        <v>29</v>
      </c>
      <c r="K1370" t="s">
        <v>30</v>
      </c>
      <c r="L1370" t="s">
        <v>2691</v>
      </c>
      <c r="M1370" t="s">
        <v>32</v>
      </c>
      <c r="N1370" t="s">
        <v>381</v>
      </c>
      <c r="O1370" t="s">
        <v>2692</v>
      </c>
      <c r="P1370">
        <v>639.96799999999996</v>
      </c>
      <c r="Q1370">
        <v>4</v>
      </c>
      <c r="R1370">
        <v>215.98920000000001</v>
      </c>
      <c r="S1370" s="3" t="s">
        <v>172</v>
      </c>
      <c r="T1370">
        <v>2015</v>
      </c>
      <c r="U1370" t="s">
        <v>291</v>
      </c>
      <c r="V1370" s="2">
        <v>0.33750000000000002</v>
      </c>
    </row>
    <row r="1371" spans="1:22" x14ac:dyDescent="0.25">
      <c r="A1371" t="s">
        <v>3517</v>
      </c>
      <c r="B1371" s="1">
        <v>42062</v>
      </c>
      <c r="C1371" s="1">
        <v>42064</v>
      </c>
      <c r="D1371" t="s">
        <v>40</v>
      </c>
      <c r="E1371" t="s">
        <v>197</v>
      </c>
      <c r="F1371" t="s">
        <v>198</v>
      </c>
      <c r="G1371" t="s">
        <v>26</v>
      </c>
      <c r="H1371" t="s">
        <v>27</v>
      </c>
      <c r="I1371" t="s">
        <v>481</v>
      </c>
      <c r="J1371" t="s">
        <v>426</v>
      </c>
      <c r="K1371" t="s">
        <v>30</v>
      </c>
      <c r="L1371" t="s">
        <v>400</v>
      </c>
      <c r="M1371" t="s">
        <v>32</v>
      </c>
      <c r="N1371" t="s">
        <v>51</v>
      </c>
      <c r="O1371" t="s">
        <v>401</v>
      </c>
      <c r="P1371">
        <v>538.91999999999996</v>
      </c>
      <c r="Q1371">
        <v>9</v>
      </c>
      <c r="R1371">
        <v>80.837999999999994</v>
      </c>
      <c r="S1371" s="3" t="s">
        <v>65</v>
      </c>
      <c r="T1371">
        <v>2015</v>
      </c>
      <c r="U1371" t="s">
        <v>180</v>
      </c>
      <c r="V1371" s="2">
        <v>0.15</v>
      </c>
    </row>
    <row r="1372" spans="1:22" x14ac:dyDescent="0.25">
      <c r="A1372" t="s">
        <v>3518</v>
      </c>
      <c r="B1372" s="1">
        <v>42552</v>
      </c>
      <c r="C1372" s="1">
        <v>42554</v>
      </c>
      <c r="D1372" t="s">
        <v>56</v>
      </c>
      <c r="E1372" t="s">
        <v>2019</v>
      </c>
      <c r="F1372" t="s">
        <v>2020</v>
      </c>
      <c r="G1372" t="s">
        <v>70</v>
      </c>
      <c r="H1372" t="s">
        <v>27</v>
      </c>
      <c r="I1372" t="s">
        <v>2792</v>
      </c>
      <c r="J1372" t="s">
        <v>1167</v>
      </c>
      <c r="K1372" t="s">
        <v>30</v>
      </c>
      <c r="L1372" t="s">
        <v>1728</v>
      </c>
      <c r="M1372" t="s">
        <v>32</v>
      </c>
      <c r="N1372" t="s">
        <v>381</v>
      </c>
      <c r="O1372" t="s">
        <v>1729</v>
      </c>
      <c r="P1372">
        <v>1499.95</v>
      </c>
      <c r="Q1372">
        <v>5</v>
      </c>
      <c r="R1372">
        <v>449.98500000000001</v>
      </c>
      <c r="S1372" s="3" t="s">
        <v>65</v>
      </c>
      <c r="T1372">
        <v>2016</v>
      </c>
      <c r="U1372" t="s">
        <v>332</v>
      </c>
      <c r="V1372" s="2">
        <v>0.3</v>
      </c>
    </row>
    <row r="1373" spans="1:22" x14ac:dyDescent="0.25">
      <c r="A1373" t="s">
        <v>3519</v>
      </c>
      <c r="B1373" s="1">
        <v>41645</v>
      </c>
      <c r="C1373" s="1">
        <v>41649</v>
      </c>
      <c r="D1373" t="s">
        <v>23</v>
      </c>
      <c r="E1373" t="s">
        <v>2287</v>
      </c>
      <c r="F1373" t="s">
        <v>2288</v>
      </c>
      <c r="G1373" t="s">
        <v>70</v>
      </c>
      <c r="H1373" t="s">
        <v>27</v>
      </c>
      <c r="I1373" t="s">
        <v>2076</v>
      </c>
      <c r="J1373" t="s">
        <v>804</v>
      </c>
      <c r="K1373" t="s">
        <v>155</v>
      </c>
      <c r="L1373" t="s">
        <v>63</v>
      </c>
      <c r="M1373" t="s">
        <v>32</v>
      </c>
      <c r="N1373" t="s">
        <v>33</v>
      </c>
      <c r="O1373" t="s">
        <v>64</v>
      </c>
      <c r="P1373">
        <v>391.98</v>
      </c>
      <c r="Q1373">
        <v>2</v>
      </c>
      <c r="R1373">
        <v>113.6742</v>
      </c>
      <c r="S1373" s="3" t="s">
        <v>53</v>
      </c>
      <c r="T1373">
        <v>2014</v>
      </c>
      <c r="U1373" t="s">
        <v>54</v>
      </c>
      <c r="V1373" s="2">
        <v>0.28999999999999998</v>
      </c>
    </row>
    <row r="1374" spans="1:22" x14ac:dyDescent="0.25">
      <c r="A1374" t="s">
        <v>3519</v>
      </c>
      <c r="B1374" s="1">
        <v>41645</v>
      </c>
      <c r="C1374" s="1">
        <v>41649</v>
      </c>
      <c r="D1374" t="s">
        <v>23</v>
      </c>
      <c r="E1374" t="s">
        <v>2287</v>
      </c>
      <c r="F1374" t="s">
        <v>2288</v>
      </c>
      <c r="G1374" t="s">
        <v>70</v>
      </c>
      <c r="H1374" t="s">
        <v>27</v>
      </c>
      <c r="I1374" t="s">
        <v>2076</v>
      </c>
      <c r="J1374" t="s">
        <v>804</v>
      </c>
      <c r="K1374" t="s">
        <v>155</v>
      </c>
      <c r="L1374" t="s">
        <v>1041</v>
      </c>
      <c r="M1374" t="s">
        <v>32</v>
      </c>
      <c r="N1374" t="s">
        <v>33</v>
      </c>
      <c r="O1374" t="s">
        <v>1042</v>
      </c>
      <c r="P1374">
        <v>755.96</v>
      </c>
      <c r="Q1374">
        <v>4</v>
      </c>
      <c r="R1374">
        <v>204.10919999999999</v>
      </c>
      <c r="S1374" s="3" t="s">
        <v>53</v>
      </c>
      <c r="T1374">
        <v>2014</v>
      </c>
      <c r="U1374" t="s">
        <v>54</v>
      </c>
      <c r="V1374" s="2">
        <v>0.27</v>
      </c>
    </row>
    <row r="1375" spans="1:22" x14ac:dyDescent="0.25">
      <c r="A1375" t="s">
        <v>3520</v>
      </c>
      <c r="B1375" s="1">
        <v>42357</v>
      </c>
      <c r="C1375" s="1">
        <v>42362</v>
      </c>
      <c r="D1375" t="s">
        <v>40</v>
      </c>
      <c r="E1375" t="s">
        <v>3521</v>
      </c>
      <c r="F1375" t="s">
        <v>3522</v>
      </c>
      <c r="G1375" t="s">
        <v>70</v>
      </c>
      <c r="H1375" t="s">
        <v>27</v>
      </c>
      <c r="I1375" t="s">
        <v>93</v>
      </c>
      <c r="J1375" t="s">
        <v>840</v>
      </c>
      <c r="K1375" t="s">
        <v>95</v>
      </c>
      <c r="L1375" t="s">
        <v>1675</v>
      </c>
      <c r="M1375" t="s">
        <v>32</v>
      </c>
      <c r="N1375" t="s">
        <v>51</v>
      </c>
      <c r="O1375" t="s">
        <v>1676</v>
      </c>
      <c r="P1375">
        <v>2249.91</v>
      </c>
      <c r="Q1375">
        <v>9</v>
      </c>
      <c r="R1375">
        <v>517.47929999999997</v>
      </c>
      <c r="S1375" s="3" t="s">
        <v>35</v>
      </c>
      <c r="T1375">
        <v>2015</v>
      </c>
      <c r="U1375" t="s">
        <v>66</v>
      </c>
      <c r="V1375" s="2">
        <v>0.23</v>
      </c>
    </row>
    <row r="1376" spans="1:22" x14ac:dyDescent="0.25">
      <c r="A1376" t="s">
        <v>3523</v>
      </c>
      <c r="B1376" s="1">
        <v>43055</v>
      </c>
      <c r="C1376" s="1">
        <v>43055</v>
      </c>
      <c r="D1376" t="s">
        <v>677</v>
      </c>
      <c r="E1376" t="s">
        <v>3524</v>
      </c>
      <c r="F1376" t="s">
        <v>3525</v>
      </c>
      <c r="G1376" t="s">
        <v>26</v>
      </c>
      <c r="H1376" t="s">
        <v>27</v>
      </c>
      <c r="I1376" t="s">
        <v>3074</v>
      </c>
      <c r="J1376" t="s">
        <v>104</v>
      </c>
      <c r="K1376" t="s">
        <v>95</v>
      </c>
      <c r="L1376" t="s">
        <v>2915</v>
      </c>
      <c r="M1376" t="s">
        <v>32</v>
      </c>
      <c r="N1376" t="s">
        <v>33</v>
      </c>
      <c r="O1376" t="s">
        <v>2916</v>
      </c>
      <c r="P1376">
        <v>119.94</v>
      </c>
      <c r="Q1376">
        <v>6</v>
      </c>
      <c r="R1376">
        <v>5.9969999999999999</v>
      </c>
      <c r="S1376" s="3" t="s">
        <v>683</v>
      </c>
      <c r="T1376">
        <v>2017</v>
      </c>
      <c r="U1376" t="s">
        <v>118</v>
      </c>
      <c r="V1376" s="2">
        <v>0.05</v>
      </c>
    </row>
    <row r="1377" spans="1:22" x14ac:dyDescent="0.25">
      <c r="A1377" t="s">
        <v>3526</v>
      </c>
      <c r="B1377" s="1">
        <v>42930</v>
      </c>
      <c r="C1377" s="1">
        <v>42934</v>
      </c>
      <c r="D1377" t="s">
        <v>23</v>
      </c>
      <c r="E1377" t="s">
        <v>1994</v>
      </c>
      <c r="F1377" t="s">
        <v>1995</v>
      </c>
      <c r="G1377" t="s">
        <v>26</v>
      </c>
      <c r="H1377" t="s">
        <v>27</v>
      </c>
      <c r="I1377" t="s">
        <v>1222</v>
      </c>
      <c r="J1377" t="s">
        <v>29</v>
      </c>
      <c r="K1377" t="s">
        <v>30</v>
      </c>
      <c r="L1377" t="s">
        <v>525</v>
      </c>
      <c r="M1377" t="s">
        <v>32</v>
      </c>
      <c r="N1377" t="s">
        <v>51</v>
      </c>
      <c r="O1377" t="s">
        <v>526</v>
      </c>
      <c r="P1377">
        <v>140.97</v>
      </c>
      <c r="Q1377">
        <v>3</v>
      </c>
      <c r="R1377">
        <v>19.735800000000001</v>
      </c>
      <c r="S1377" s="3" t="s">
        <v>53</v>
      </c>
      <c r="T1377">
        <v>2017</v>
      </c>
      <c r="U1377" t="s">
        <v>332</v>
      </c>
      <c r="V1377" s="2">
        <v>0.14000000000000001</v>
      </c>
    </row>
    <row r="1378" spans="1:22" x14ac:dyDescent="0.25">
      <c r="A1378" t="s">
        <v>3526</v>
      </c>
      <c r="B1378" s="1">
        <v>42930</v>
      </c>
      <c r="C1378" s="1">
        <v>42934</v>
      </c>
      <c r="D1378" t="s">
        <v>23</v>
      </c>
      <c r="E1378" t="s">
        <v>1994</v>
      </c>
      <c r="F1378" t="s">
        <v>1995</v>
      </c>
      <c r="G1378" t="s">
        <v>26</v>
      </c>
      <c r="H1378" t="s">
        <v>27</v>
      </c>
      <c r="I1378" t="s">
        <v>1222</v>
      </c>
      <c r="J1378" t="s">
        <v>29</v>
      </c>
      <c r="K1378" t="s">
        <v>30</v>
      </c>
      <c r="L1378" t="s">
        <v>63</v>
      </c>
      <c r="M1378" t="s">
        <v>32</v>
      </c>
      <c r="N1378" t="s">
        <v>33</v>
      </c>
      <c r="O1378" t="s">
        <v>64</v>
      </c>
      <c r="P1378">
        <v>470.37599999999998</v>
      </c>
      <c r="Q1378">
        <v>3</v>
      </c>
      <c r="R1378">
        <v>52.917299999999997</v>
      </c>
      <c r="S1378" s="3" t="s">
        <v>53</v>
      </c>
      <c r="T1378">
        <v>2017</v>
      </c>
      <c r="U1378" t="s">
        <v>332</v>
      </c>
      <c r="V1378" s="2">
        <v>0.1125</v>
      </c>
    </row>
    <row r="1379" spans="1:22" x14ac:dyDescent="0.25">
      <c r="A1379" t="s">
        <v>3527</v>
      </c>
      <c r="B1379" s="1">
        <v>42824</v>
      </c>
      <c r="C1379" s="1">
        <v>42824</v>
      </c>
      <c r="D1379" t="s">
        <v>677</v>
      </c>
      <c r="E1379" t="s">
        <v>1878</v>
      </c>
      <c r="F1379" t="s">
        <v>1879</v>
      </c>
      <c r="G1379" t="s">
        <v>26</v>
      </c>
      <c r="H1379" t="s">
        <v>27</v>
      </c>
      <c r="I1379" t="s">
        <v>28</v>
      </c>
      <c r="J1379" t="s">
        <v>29</v>
      </c>
      <c r="K1379" t="s">
        <v>30</v>
      </c>
      <c r="L1379" t="s">
        <v>105</v>
      </c>
      <c r="M1379" t="s">
        <v>32</v>
      </c>
      <c r="N1379" t="s">
        <v>33</v>
      </c>
      <c r="O1379" t="s">
        <v>106</v>
      </c>
      <c r="P1379">
        <v>164.792</v>
      </c>
      <c r="Q1379">
        <v>1</v>
      </c>
      <c r="R1379">
        <v>18.539100000000001</v>
      </c>
      <c r="S1379" s="3" t="s">
        <v>683</v>
      </c>
      <c r="T1379">
        <v>2017</v>
      </c>
      <c r="U1379" t="s">
        <v>89</v>
      </c>
      <c r="V1379" s="2">
        <v>0.1125</v>
      </c>
    </row>
    <row r="1380" spans="1:22" x14ac:dyDescent="0.25">
      <c r="A1380" t="s">
        <v>3528</v>
      </c>
      <c r="B1380" s="1">
        <v>41945</v>
      </c>
      <c r="C1380" s="1">
        <v>41949</v>
      </c>
      <c r="D1380" t="s">
        <v>23</v>
      </c>
      <c r="E1380" t="s">
        <v>2447</v>
      </c>
      <c r="F1380" t="s">
        <v>2448</v>
      </c>
      <c r="G1380" t="s">
        <v>26</v>
      </c>
      <c r="H1380" t="s">
        <v>27</v>
      </c>
      <c r="I1380" t="s">
        <v>43</v>
      </c>
      <c r="J1380" t="s">
        <v>29</v>
      </c>
      <c r="K1380" t="s">
        <v>30</v>
      </c>
      <c r="L1380" t="s">
        <v>1399</v>
      </c>
      <c r="M1380" t="s">
        <v>32</v>
      </c>
      <c r="N1380" t="s">
        <v>33</v>
      </c>
      <c r="O1380" t="s">
        <v>1400</v>
      </c>
      <c r="P1380">
        <v>46.384</v>
      </c>
      <c r="Q1380">
        <v>2</v>
      </c>
      <c r="R1380">
        <v>5.2182000000000004</v>
      </c>
      <c r="S1380" s="3" t="s">
        <v>53</v>
      </c>
      <c r="T1380">
        <v>2014</v>
      </c>
      <c r="U1380" t="s">
        <v>118</v>
      </c>
      <c r="V1380" s="2">
        <v>0.1125</v>
      </c>
    </row>
    <row r="1381" spans="1:22" x14ac:dyDescent="0.25">
      <c r="A1381" t="s">
        <v>3529</v>
      </c>
      <c r="B1381" s="1">
        <v>42930</v>
      </c>
      <c r="C1381" s="1">
        <v>42934</v>
      </c>
      <c r="D1381" t="s">
        <v>23</v>
      </c>
      <c r="E1381" t="s">
        <v>2282</v>
      </c>
      <c r="F1381" t="s">
        <v>2283</v>
      </c>
      <c r="G1381" t="s">
        <v>26</v>
      </c>
      <c r="H1381" t="s">
        <v>27</v>
      </c>
      <c r="I1381" t="s">
        <v>176</v>
      </c>
      <c r="J1381" t="s">
        <v>177</v>
      </c>
      <c r="K1381" t="s">
        <v>95</v>
      </c>
      <c r="L1381" t="s">
        <v>906</v>
      </c>
      <c r="M1381" t="s">
        <v>32</v>
      </c>
      <c r="N1381" t="s">
        <v>33</v>
      </c>
      <c r="O1381" t="s">
        <v>907</v>
      </c>
      <c r="P1381">
        <v>1889.9459999999999</v>
      </c>
      <c r="Q1381">
        <v>9</v>
      </c>
      <c r="R1381">
        <v>-377.98919999999998</v>
      </c>
      <c r="S1381" s="3" t="s">
        <v>53</v>
      </c>
      <c r="T1381">
        <v>2017</v>
      </c>
      <c r="U1381" t="s">
        <v>332</v>
      </c>
      <c r="V1381" s="2">
        <v>-0.2</v>
      </c>
    </row>
    <row r="1382" spans="1:22" x14ac:dyDescent="0.25">
      <c r="A1382" t="s">
        <v>3530</v>
      </c>
      <c r="B1382" s="1">
        <v>43078</v>
      </c>
      <c r="C1382" s="1">
        <v>43081</v>
      </c>
      <c r="D1382" t="s">
        <v>40</v>
      </c>
      <c r="E1382" t="s">
        <v>2282</v>
      </c>
      <c r="F1382" t="s">
        <v>2283</v>
      </c>
      <c r="G1382" t="s">
        <v>26</v>
      </c>
      <c r="H1382" t="s">
        <v>27</v>
      </c>
      <c r="I1382" t="s">
        <v>2225</v>
      </c>
      <c r="J1382" t="s">
        <v>804</v>
      </c>
      <c r="K1382" t="s">
        <v>155</v>
      </c>
      <c r="L1382" t="s">
        <v>995</v>
      </c>
      <c r="M1382" t="s">
        <v>32</v>
      </c>
      <c r="N1382" t="s">
        <v>51</v>
      </c>
      <c r="O1382" t="s">
        <v>996</v>
      </c>
      <c r="P1382">
        <v>146.44999999999999</v>
      </c>
      <c r="Q1382">
        <v>5</v>
      </c>
      <c r="R1382">
        <v>48.328499999999998</v>
      </c>
      <c r="S1382" s="3" t="s">
        <v>172</v>
      </c>
      <c r="T1382">
        <v>2017</v>
      </c>
      <c r="U1382" t="s">
        <v>66</v>
      </c>
      <c r="V1382" s="2">
        <v>0.33</v>
      </c>
    </row>
    <row r="1383" spans="1:22" x14ac:dyDescent="0.25">
      <c r="A1383" t="s">
        <v>3530</v>
      </c>
      <c r="B1383" s="1">
        <v>43078</v>
      </c>
      <c r="C1383" s="1">
        <v>43081</v>
      </c>
      <c r="D1383" t="s">
        <v>40</v>
      </c>
      <c r="E1383" t="s">
        <v>2282</v>
      </c>
      <c r="F1383" t="s">
        <v>2283</v>
      </c>
      <c r="G1383" t="s">
        <v>26</v>
      </c>
      <c r="H1383" t="s">
        <v>27</v>
      </c>
      <c r="I1383" t="s">
        <v>2225</v>
      </c>
      <c r="J1383" t="s">
        <v>804</v>
      </c>
      <c r="K1383" t="s">
        <v>155</v>
      </c>
      <c r="L1383" t="s">
        <v>1072</v>
      </c>
      <c r="M1383" t="s">
        <v>32</v>
      </c>
      <c r="N1383" t="s">
        <v>381</v>
      </c>
      <c r="O1383" t="s">
        <v>1073</v>
      </c>
      <c r="P1383">
        <v>1399.98</v>
      </c>
      <c r="Q1383">
        <v>2</v>
      </c>
      <c r="R1383">
        <v>629.99099999999999</v>
      </c>
      <c r="S1383" s="3" t="s">
        <v>172</v>
      </c>
      <c r="T1383">
        <v>2017</v>
      </c>
      <c r="U1383" t="s">
        <v>66</v>
      </c>
      <c r="V1383" s="2">
        <v>0.45</v>
      </c>
    </row>
    <row r="1384" spans="1:22" x14ac:dyDescent="0.25">
      <c r="A1384" t="s">
        <v>3531</v>
      </c>
      <c r="B1384" s="1">
        <v>43071</v>
      </c>
      <c r="C1384" s="1">
        <v>43075</v>
      </c>
      <c r="D1384" t="s">
        <v>23</v>
      </c>
      <c r="E1384" t="s">
        <v>3532</v>
      </c>
      <c r="F1384" t="s">
        <v>3533</v>
      </c>
      <c r="G1384" t="s">
        <v>59</v>
      </c>
      <c r="H1384" t="s">
        <v>27</v>
      </c>
      <c r="I1384" t="s">
        <v>588</v>
      </c>
      <c r="J1384" t="s">
        <v>147</v>
      </c>
      <c r="K1384" t="s">
        <v>30</v>
      </c>
      <c r="L1384" t="s">
        <v>2661</v>
      </c>
      <c r="M1384" t="s">
        <v>32</v>
      </c>
      <c r="N1384" t="s">
        <v>33</v>
      </c>
      <c r="O1384" t="s">
        <v>2662</v>
      </c>
      <c r="P1384">
        <v>49.616</v>
      </c>
      <c r="Q1384">
        <v>2</v>
      </c>
      <c r="R1384">
        <v>4.9615999999999998</v>
      </c>
      <c r="S1384" s="3" t="s">
        <v>53</v>
      </c>
      <c r="T1384">
        <v>2017</v>
      </c>
      <c r="U1384" t="s">
        <v>66</v>
      </c>
      <c r="V1384" s="2">
        <v>0.1</v>
      </c>
    </row>
    <row r="1385" spans="1:22" x14ac:dyDescent="0.25">
      <c r="A1385" t="s">
        <v>3531</v>
      </c>
      <c r="B1385" s="1">
        <v>43071</v>
      </c>
      <c r="C1385" s="1">
        <v>43075</v>
      </c>
      <c r="D1385" t="s">
        <v>23</v>
      </c>
      <c r="E1385" t="s">
        <v>3532</v>
      </c>
      <c r="F1385" t="s">
        <v>3533</v>
      </c>
      <c r="G1385" t="s">
        <v>59</v>
      </c>
      <c r="H1385" t="s">
        <v>27</v>
      </c>
      <c r="I1385" t="s">
        <v>588</v>
      </c>
      <c r="J1385" t="s">
        <v>147</v>
      </c>
      <c r="K1385" t="s">
        <v>30</v>
      </c>
      <c r="L1385" t="s">
        <v>1846</v>
      </c>
      <c r="M1385" t="s">
        <v>32</v>
      </c>
      <c r="N1385" t="s">
        <v>33</v>
      </c>
      <c r="O1385" t="s">
        <v>1847</v>
      </c>
      <c r="P1385">
        <v>57.36</v>
      </c>
      <c r="Q1385">
        <v>6</v>
      </c>
      <c r="R1385">
        <v>-14.34</v>
      </c>
      <c r="S1385" s="3" t="s">
        <v>53</v>
      </c>
      <c r="T1385">
        <v>2017</v>
      </c>
      <c r="U1385" t="s">
        <v>66</v>
      </c>
      <c r="V1385" s="2">
        <v>-0.25</v>
      </c>
    </row>
    <row r="1386" spans="1:22" x14ac:dyDescent="0.25">
      <c r="A1386" t="s">
        <v>3534</v>
      </c>
      <c r="B1386" s="1">
        <v>41922</v>
      </c>
      <c r="C1386" s="1">
        <v>41927</v>
      </c>
      <c r="D1386" t="s">
        <v>23</v>
      </c>
      <c r="E1386" t="s">
        <v>3535</v>
      </c>
      <c r="F1386" t="s">
        <v>3536</v>
      </c>
      <c r="G1386" t="s">
        <v>59</v>
      </c>
      <c r="H1386" t="s">
        <v>27</v>
      </c>
      <c r="I1386" t="s">
        <v>517</v>
      </c>
      <c r="J1386" t="s">
        <v>61</v>
      </c>
      <c r="K1386" t="s">
        <v>62</v>
      </c>
      <c r="L1386" t="s">
        <v>2194</v>
      </c>
      <c r="M1386" t="s">
        <v>32</v>
      </c>
      <c r="N1386" t="s">
        <v>33</v>
      </c>
      <c r="O1386" t="s">
        <v>2195</v>
      </c>
      <c r="P1386">
        <v>719.952</v>
      </c>
      <c r="Q1386">
        <v>6</v>
      </c>
      <c r="R1386">
        <v>71.995199999999997</v>
      </c>
      <c r="S1386" s="3" t="s">
        <v>35</v>
      </c>
      <c r="T1386">
        <v>2014</v>
      </c>
      <c r="U1386" t="s">
        <v>133</v>
      </c>
      <c r="V1386" s="2">
        <v>0.1</v>
      </c>
    </row>
    <row r="1387" spans="1:22" x14ac:dyDescent="0.25">
      <c r="A1387" t="s">
        <v>3534</v>
      </c>
      <c r="B1387" s="1">
        <v>41922</v>
      </c>
      <c r="C1387" s="1">
        <v>41927</v>
      </c>
      <c r="D1387" t="s">
        <v>23</v>
      </c>
      <c r="E1387" t="s">
        <v>3535</v>
      </c>
      <c r="F1387" t="s">
        <v>3536</v>
      </c>
      <c r="G1387" t="s">
        <v>59</v>
      </c>
      <c r="H1387" t="s">
        <v>27</v>
      </c>
      <c r="I1387" t="s">
        <v>517</v>
      </c>
      <c r="J1387" t="s">
        <v>61</v>
      </c>
      <c r="K1387" t="s">
        <v>62</v>
      </c>
      <c r="L1387" t="s">
        <v>622</v>
      </c>
      <c r="M1387" t="s">
        <v>32</v>
      </c>
      <c r="N1387" t="s">
        <v>33</v>
      </c>
      <c r="O1387" t="s">
        <v>623</v>
      </c>
      <c r="P1387">
        <v>755.94399999999996</v>
      </c>
      <c r="Q1387">
        <v>7</v>
      </c>
      <c r="R1387">
        <v>66.145099999999999</v>
      </c>
      <c r="S1387" s="3" t="s">
        <v>35</v>
      </c>
      <c r="T1387">
        <v>2014</v>
      </c>
      <c r="U1387" t="s">
        <v>133</v>
      </c>
      <c r="V1387" s="2">
        <v>8.7499999999999994E-2</v>
      </c>
    </row>
    <row r="1388" spans="1:22" x14ac:dyDescent="0.25">
      <c r="A1388" t="s">
        <v>3537</v>
      </c>
      <c r="B1388" s="1">
        <v>41963</v>
      </c>
      <c r="C1388" s="1">
        <v>41968</v>
      </c>
      <c r="D1388" t="s">
        <v>23</v>
      </c>
      <c r="E1388" t="s">
        <v>3424</v>
      </c>
      <c r="F1388" t="s">
        <v>3425</v>
      </c>
      <c r="G1388" t="s">
        <v>59</v>
      </c>
      <c r="H1388" t="s">
        <v>27</v>
      </c>
      <c r="I1388" t="s">
        <v>103</v>
      </c>
      <c r="J1388" t="s">
        <v>104</v>
      </c>
      <c r="K1388" t="s">
        <v>95</v>
      </c>
      <c r="L1388" t="s">
        <v>1049</v>
      </c>
      <c r="M1388" t="s">
        <v>32</v>
      </c>
      <c r="N1388" t="s">
        <v>33</v>
      </c>
      <c r="O1388" t="s">
        <v>1050</v>
      </c>
      <c r="P1388">
        <v>833.94</v>
      </c>
      <c r="Q1388">
        <v>6</v>
      </c>
      <c r="R1388">
        <v>216.8244</v>
      </c>
      <c r="S1388" s="3" t="s">
        <v>35</v>
      </c>
      <c r="T1388">
        <v>2014</v>
      </c>
      <c r="U1388" t="s">
        <v>118</v>
      </c>
      <c r="V1388" s="2">
        <v>0.26</v>
      </c>
    </row>
    <row r="1389" spans="1:22" x14ac:dyDescent="0.25">
      <c r="A1389" t="s">
        <v>3538</v>
      </c>
      <c r="B1389" s="1">
        <v>43013</v>
      </c>
      <c r="C1389" s="1">
        <v>43015</v>
      </c>
      <c r="D1389" t="s">
        <v>56</v>
      </c>
      <c r="E1389" t="s">
        <v>454</v>
      </c>
      <c r="F1389" t="s">
        <v>455</v>
      </c>
      <c r="G1389" t="s">
        <v>70</v>
      </c>
      <c r="H1389" t="s">
        <v>27</v>
      </c>
      <c r="I1389" t="s">
        <v>588</v>
      </c>
      <c r="J1389" t="s">
        <v>147</v>
      </c>
      <c r="K1389" t="s">
        <v>30</v>
      </c>
      <c r="L1389" t="s">
        <v>829</v>
      </c>
      <c r="M1389" t="s">
        <v>32</v>
      </c>
      <c r="N1389" t="s">
        <v>51</v>
      </c>
      <c r="O1389" t="s">
        <v>830</v>
      </c>
      <c r="P1389">
        <v>63.823999999999998</v>
      </c>
      <c r="Q1389">
        <v>2</v>
      </c>
      <c r="R1389">
        <v>13.5626</v>
      </c>
      <c r="S1389" s="3" t="s">
        <v>65</v>
      </c>
      <c r="T1389">
        <v>2017</v>
      </c>
      <c r="U1389" t="s">
        <v>133</v>
      </c>
      <c r="V1389" s="2">
        <v>0.21249999999999999</v>
      </c>
    </row>
    <row r="1390" spans="1:22" x14ac:dyDescent="0.25">
      <c r="A1390" t="s">
        <v>3539</v>
      </c>
      <c r="B1390" s="1">
        <v>42846</v>
      </c>
      <c r="C1390" s="1">
        <v>42848</v>
      </c>
      <c r="D1390" t="s">
        <v>56</v>
      </c>
      <c r="E1390" t="s">
        <v>2769</v>
      </c>
      <c r="F1390" t="s">
        <v>2770</v>
      </c>
      <c r="G1390" t="s">
        <v>59</v>
      </c>
      <c r="H1390" t="s">
        <v>27</v>
      </c>
      <c r="I1390" t="s">
        <v>71</v>
      </c>
      <c r="J1390" t="s">
        <v>61</v>
      </c>
      <c r="K1390" t="s">
        <v>62</v>
      </c>
      <c r="L1390" t="s">
        <v>130</v>
      </c>
      <c r="M1390" t="s">
        <v>32</v>
      </c>
      <c r="N1390" t="s">
        <v>51</v>
      </c>
      <c r="O1390" t="s">
        <v>131</v>
      </c>
      <c r="P1390">
        <v>47.975999999999999</v>
      </c>
      <c r="Q1390">
        <v>3</v>
      </c>
      <c r="R1390">
        <v>8.3957999999999995</v>
      </c>
      <c r="S1390" s="3" t="s">
        <v>65</v>
      </c>
      <c r="T1390">
        <v>2017</v>
      </c>
      <c r="U1390" t="s">
        <v>291</v>
      </c>
      <c r="V1390" s="2">
        <v>0.17499999999999999</v>
      </c>
    </row>
    <row r="1391" spans="1:22" x14ac:dyDescent="0.25">
      <c r="A1391" t="s">
        <v>3540</v>
      </c>
      <c r="B1391" s="1">
        <v>42346</v>
      </c>
      <c r="C1391" s="1">
        <v>42350</v>
      </c>
      <c r="D1391" t="s">
        <v>23</v>
      </c>
      <c r="E1391" t="s">
        <v>3541</v>
      </c>
      <c r="F1391" t="s">
        <v>3542</v>
      </c>
      <c r="G1391" t="s">
        <v>59</v>
      </c>
      <c r="H1391" t="s">
        <v>27</v>
      </c>
      <c r="I1391" t="s">
        <v>28</v>
      </c>
      <c r="J1391" t="s">
        <v>29</v>
      </c>
      <c r="K1391" t="s">
        <v>30</v>
      </c>
      <c r="L1391" t="s">
        <v>1226</v>
      </c>
      <c r="M1391" t="s">
        <v>32</v>
      </c>
      <c r="N1391" t="s">
        <v>51</v>
      </c>
      <c r="O1391" t="s">
        <v>1227</v>
      </c>
      <c r="P1391">
        <v>236</v>
      </c>
      <c r="Q1391">
        <v>4</v>
      </c>
      <c r="R1391">
        <v>40.119999999999997</v>
      </c>
      <c r="S1391" s="3" t="s">
        <v>53</v>
      </c>
      <c r="T1391">
        <v>2015</v>
      </c>
      <c r="U1391" t="s">
        <v>66</v>
      </c>
      <c r="V1391" s="2">
        <v>0.17</v>
      </c>
    </row>
    <row r="1392" spans="1:22" x14ac:dyDescent="0.25">
      <c r="A1392" t="s">
        <v>3543</v>
      </c>
      <c r="B1392" s="1">
        <v>41945</v>
      </c>
      <c r="C1392" s="1">
        <v>41950</v>
      </c>
      <c r="D1392" t="s">
        <v>40</v>
      </c>
      <c r="E1392" t="s">
        <v>3544</v>
      </c>
      <c r="F1392" t="s">
        <v>3545</v>
      </c>
      <c r="G1392" t="s">
        <v>59</v>
      </c>
      <c r="H1392" t="s">
        <v>27</v>
      </c>
      <c r="I1392" t="s">
        <v>481</v>
      </c>
      <c r="J1392" t="s">
        <v>426</v>
      </c>
      <c r="K1392" t="s">
        <v>30</v>
      </c>
      <c r="L1392" t="s">
        <v>1107</v>
      </c>
      <c r="M1392" t="s">
        <v>32</v>
      </c>
      <c r="N1392" t="s">
        <v>51</v>
      </c>
      <c r="O1392" t="s">
        <v>1108</v>
      </c>
      <c r="P1392">
        <v>41.94</v>
      </c>
      <c r="Q1392">
        <v>2</v>
      </c>
      <c r="R1392">
        <v>15.0984</v>
      </c>
      <c r="S1392" s="3" t="s">
        <v>35</v>
      </c>
      <c r="T1392">
        <v>2014</v>
      </c>
      <c r="U1392" t="s">
        <v>118</v>
      </c>
      <c r="V1392" s="2">
        <v>0.36</v>
      </c>
    </row>
    <row r="1393" spans="1:22" x14ac:dyDescent="0.25">
      <c r="A1393" t="s">
        <v>3543</v>
      </c>
      <c r="B1393" s="1">
        <v>41945</v>
      </c>
      <c r="C1393" s="1">
        <v>41950</v>
      </c>
      <c r="D1393" t="s">
        <v>40</v>
      </c>
      <c r="E1393" t="s">
        <v>3544</v>
      </c>
      <c r="F1393" t="s">
        <v>3545</v>
      </c>
      <c r="G1393" t="s">
        <v>59</v>
      </c>
      <c r="H1393" t="s">
        <v>27</v>
      </c>
      <c r="I1393" t="s">
        <v>481</v>
      </c>
      <c r="J1393" t="s">
        <v>426</v>
      </c>
      <c r="K1393" t="s">
        <v>30</v>
      </c>
      <c r="L1393" t="s">
        <v>1191</v>
      </c>
      <c r="M1393" t="s">
        <v>32</v>
      </c>
      <c r="N1393" t="s">
        <v>33</v>
      </c>
      <c r="O1393" t="s">
        <v>1192</v>
      </c>
      <c r="P1393">
        <v>52.792000000000002</v>
      </c>
      <c r="Q1393">
        <v>1</v>
      </c>
      <c r="R1393">
        <v>4.6193</v>
      </c>
      <c r="S1393" s="3" t="s">
        <v>35</v>
      </c>
      <c r="T1393">
        <v>2014</v>
      </c>
      <c r="U1393" t="s">
        <v>118</v>
      </c>
      <c r="V1393" s="2">
        <v>8.7499999999999994E-2</v>
      </c>
    </row>
    <row r="1394" spans="1:22" x14ac:dyDescent="0.25">
      <c r="A1394" t="s">
        <v>3546</v>
      </c>
      <c r="B1394" s="1">
        <v>41719</v>
      </c>
      <c r="C1394" s="1">
        <v>41723</v>
      </c>
      <c r="D1394" t="s">
        <v>23</v>
      </c>
      <c r="E1394" t="s">
        <v>490</v>
      </c>
      <c r="F1394" t="s">
        <v>491</v>
      </c>
      <c r="G1394" t="s">
        <v>59</v>
      </c>
      <c r="H1394" t="s">
        <v>27</v>
      </c>
      <c r="I1394" t="s">
        <v>946</v>
      </c>
      <c r="J1394" t="s">
        <v>693</v>
      </c>
      <c r="K1394" t="s">
        <v>155</v>
      </c>
      <c r="L1394" t="s">
        <v>2359</v>
      </c>
      <c r="M1394" t="s">
        <v>32</v>
      </c>
      <c r="N1394" t="s">
        <v>33</v>
      </c>
      <c r="O1394" t="s">
        <v>2360</v>
      </c>
      <c r="P1394">
        <v>3499.93</v>
      </c>
      <c r="Q1394">
        <v>7</v>
      </c>
      <c r="R1394">
        <v>909.98180000000002</v>
      </c>
      <c r="S1394" s="3" t="s">
        <v>53</v>
      </c>
      <c r="T1394">
        <v>2014</v>
      </c>
      <c r="U1394" t="s">
        <v>89</v>
      </c>
      <c r="V1394" s="2">
        <v>0.26</v>
      </c>
    </row>
    <row r="1395" spans="1:22" x14ac:dyDescent="0.25">
      <c r="A1395" t="s">
        <v>3547</v>
      </c>
      <c r="B1395" s="1">
        <v>42170</v>
      </c>
      <c r="C1395" s="1">
        <v>42174</v>
      </c>
      <c r="D1395" t="s">
        <v>23</v>
      </c>
      <c r="E1395" t="s">
        <v>362</v>
      </c>
      <c r="F1395" t="s">
        <v>363</v>
      </c>
      <c r="G1395" t="s">
        <v>59</v>
      </c>
      <c r="H1395" t="s">
        <v>27</v>
      </c>
      <c r="I1395" t="s">
        <v>28</v>
      </c>
      <c r="J1395" t="s">
        <v>29</v>
      </c>
      <c r="K1395" t="s">
        <v>30</v>
      </c>
      <c r="L1395" t="s">
        <v>638</v>
      </c>
      <c r="M1395" t="s">
        <v>32</v>
      </c>
      <c r="N1395" t="s">
        <v>33</v>
      </c>
      <c r="O1395" t="s">
        <v>639</v>
      </c>
      <c r="P1395">
        <v>225.57599999999999</v>
      </c>
      <c r="Q1395">
        <v>3</v>
      </c>
      <c r="R1395">
        <v>22.557600000000001</v>
      </c>
      <c r="S1395" s="3" t="s">
        <v>53</v>
      </c>
      <c r="T1395">
        <v>2015</v>
      </c>
      <c r="U1395" t="s">
        <v>36</v>
      </c>
      <c r="V1395" s="2">
        <v>0.1</v>
      </c>
    </row>
    <row r="1396" spans="1:22" x14ac:dyDescent="0.25">
      <c r="A1396" t="s">
        <v>3548</v>
      </c>
      <c r="B1396" s="1">
        <v>41899</v>
      </c>
      <c r="C1396" s="1">
        <v>41904</v>
      </c>
      <c r="D1396" t="s">
        <v>23</v>
      </c>
      <c r="E1396" t="s">
        <v>891</v>
      </c>
      <c r="F1396" t="s">
        <v>892</v>
      </c>
      <c r="G1396" t="s">
        <v>26</v>
      </c>
      <c r="H1396" t="s">
        <v>27</v>
      </c>
      <c r="I1396" t="s">
        <v>946</v>
      </c>
      <c r="J1396" t="s">
        <v>340</v>
      </c>
      <c r="K1396" t="s">
        <v>30</v>
      </c>
      <c r="L1396" t="s">
        <v>3549</v>
      </c>
      <c r="M1396" t="s">
        <v>32</v>
      </c>
      <c r="N1396" t="s">
        <v>215</v>
      </c>
      <c r="O1396" t="s">
        <v>3550</v>
      </c>
      <c r="P1396">
        <v>29.925000000000001</v>
      </c>
      <c r="Q1396">
        <v>5</v>
      </c>
      <c r="R1396">
        <v>-21.945</v>
      </c>
      <c r="S1396" s="3" t="s">
        <v>35</v>
      </c>
      <c r="T1396">
        <v>2014</v>
      </c>
      <c r="U1396" t="s">
        <v>81</v>
      </c>
      <c r="V1396" s="2">
        <v>-0.73333333333333295</v>
      </c>
    </row>
    <row r="1397" spans="1:22" x14ac:dyDescent="0.25">
      <c r="A1397" t="s">
        <v>3548</v>
      </c>
      <c r="B1397" s="1">
        <v>41899</v>
      </c>
      <c r="C1397" s="1">
        <v>41904</v>
      </c>
      <c r="D1397" t="s">
        <v>23</v>
      </c>
      <c r="E1397" t="s">
        <v>891</v>
      </c>
      <c r="F1397" t="s">
        <v>892</v>
      </c>
      <c r="G1397" t="s">
        <v>26</v>
      </c>
      <c r="H1397" t="s">
        <v>27</v>
      </c>
      <c r="I1397" t="s">
        <v>946</v>
      </c>
      <c r="J1397" t="s">
        <v>340</v>
      </c>
      <c r="K1397" t="s">
        <v>30</v>
      </c>
      <c r="L1397" t="s">
        <v>116</v>
      </c>
      <c r="M1397" t="s">
        <v>32</v>
      </c>
      <c r="N1397" t="s">
        <v>51</v>
      </c>
      <c r="O1397" t="s">
        <v>117</v>
      </c>
      <c r="P1397">
        <v>55.92</v>
      </c>
      <c r="Q1397">
        <v>10</v>
      </c>
      <c r="R1397">
        <v>16.776</v>
      </c>
      <c r="S1397" s="3" t="s">
        <v>35</v>
      </c>
      <c r="T1397">
        <v>2014</v>
      </c>
      <c r="U1397" t="s">
        <v>81</v>
      </c>
      <c r="V1397" s="2">
        <v>0.3</v>
      </c>
    </row>
    <row r="1398" spans="1:22" x14ac:dyDescent="0.25">
      <c r="A1398" t="s">
        <v>3551</v>
      </c>
      <c r="B1398" s="1">
        <v>43035</v>
      </c>
      <c r="C1398" s="1">
        <v>43037</v>
      </c>
      <c r="D1398" t="s">
        <v>56</v>
      </c>
      <c r="E1398" t="s">
        <v>1863</v>
      </c>
      <c r="F1398" t="s">
        <v>1864</v>
      </c>
      <c r="G1398" t="s">
        <v>59</v>
      </c>
      <c r="H1398" t="s">
        <v>27</v>
      </c>
      <c r="I1398" t="s">
        <v>28</v>
      </c>
      <c r="J1398" t="s">
        <v>29</v>
      </c>
      <c r="K1398" t="s">
        <v>30</v>
      </c>
      <c r="L1398" t="s">
        <v>3082</v>
      </c>
      <c r="M1398" t="s">
        <v>32</v>
      </c>
      <c r="N1398" t="s">
        <v>33</v>
      </c>
      <c r="O1398" t="s">
        <v>3083</v>
      </c>
      <c r="P1398">
        <v>71.959999999999994</v>
      </c>
      <c r="Q1398">
        <v>5</v>
      </c>
      <c r="R1398">
        <v>7.1959999999999997</v>
      </c>
      <c r="S1398" s="3" t="s">
        <v>65</v>
      </c>
      <c r="T1398">
        <v>2017</v>
      </c>
      <c r="U1398" t="s">
        <v>133</v>
      </c>
      <c r="V1398" s="2">
        <v>0.1</v>
      </c>
    </row>
    <row r="1399" spans="1:22" x14ac:dyDescent="0.25">
      <c r="A1399" t="s">
        <v>3552</v>
      </c>
      <c r="B1399" s="1">
        <v>41968</v>
      </c>
      <c r="C1399" s="1">
        <v>41972</v>
      </c>
      <c r="D1399" t="s">
        <v>23</v>
      </c>
      <c r="E1399" t="s">
        <v>1613</v>
      </c>
      <c r="F1399" t="s">
        <v>1614</v>
      </c>
      <c r="G1399" t="s">
        <v>26</v>
      </c>
      <c r="H1399" t="s">
        <v>27</v>
      </c>
      <c r="I1399" t="s">
        <v>28</v>
      </c>
      <c r="J1399" t="s">
        <v>29</v>
      </c>
      <c r="K1399" t="s">
        <v>30</v>
      </c>
      <c r="L1399" t="s">
        <v>304</v>
      </c>
      <c r="M1399" t="s">
        <v>32</v>
      </c>
      <c r="N1399" t="s">
        <v>33</v>
      </c>
      <c r="O1399" t="s">
        <v>305</v>
      </c>
      <c r="P1399">
        <v>539.91999999999996</v>
      </c>
      <c r="Q1399">
        <v>5</v>
      </c>
      <c r="R1399">
        <v>47.243000000000002</v>
      </c>
      <c r="S1399" s="3" t="s">
        <v>53</v>
      </c>
      <c r="T1399">
        <v>2014</v>
      </c>
      <c r="U1399" t="s">
        <v>118</v>
      </c>
      <c r="V1399" s="2">
        <v>8.7499999999999994E-2</v>
      </c>
    </row>
    <row r="1400" spans="1:22" x14ac:dyDescent="0.25">
      <c r="A1400" t="s">
        <v>3553</v>
      </c>
      <c r="B1400" s="1">
        <v>42329</v>
      </c>
      <c r="C1400" s="1">
        <v>42331</v>
      </c>
      <c r="D1400" t="s">
        <v>40</v>
      </c>
      <c r="E1400" t="s">
        <v>3554</v>
      </c>
      <c r="F1400" t="s">
        <v>3555</v>
      </c>
      <c r="G1400" t="s">
        <v>59</v>
      </c>
      <c r="H1400" t="s">
        <v>27</v>
      </c>
      <c r="I1400" t="s">
        <v>893</v>
      </c>
      <c r="J1400" t="s">
        <v>123</v>
      </c>
      <c r="K1400" t="s">
        <v>30</v>
      </c>
      <c r="L1400" t="s">
        <v>1531</v>
      </c>
      <c r="M1400" t="s">
        <v>32</v>
      </c>
      <c r="N1400" t="s">
        <v>51</v>
      </c>
      <c r="O1400" t="s">
        <v>1532</v>
      </c>
      <c r="P1400">
        <v>23.344000000000001</v>
      </c>
      <c r="Q1400">
        <v>2</v>
      </c>
      <c r="R1400">
        <v>-1.4590000000000001</v>
      </c>
      <c r="S1400" s="3" t="s">
        <v>65</v>
      </c>
      <c r="T1400">
        <v>2015</v>
      </c>
      <c r="U1400" t="s">
        <v>118</v>
      </c>
      <c r="V1400" s="2">
        <v>-6.25E-2</v>
      </c>
    </row>
    <row r="1401" spans="1:22" x14ac:dyDescent="0.25">
      <c r="A1401" t="s">
        <v>3556</v>
      </c>
      <c r="B1401" s="1">
        <v>41728</v>
      </c>
      <c r="C1401" s="1">
        <v>41730</v>
      </c>
      <c r="D1401" t="s">
        <v>56</v>
      </c>
      <c r="E1401" t="s">
        <v>242</v>
      </c>
      <c r="F1401" t="s">
        <v>243</v>
      </c>
      <c r="G1401" t="s">
        <v>70</v>
      </c>
      <c r="H1401" t="s">
        <v>27</v>
      </c>
      <c r="I1401" t="s">
        <v>3557</v>
      </c>
      <c r="J1401" t="s">
        <v>61</v>
      </c>
      <c r="K1401" t="s">
        <v>62</v>
      </c>
      <c r="L1401" t="s">
        <v>987</v>
      </c>
      <c r="M1401" t="s">
        <v>32</v>
      </c>
      <c r="N1401" t="s">
        <v>33</v>
      </c>
      <c r="O1401" t="s">
        <v>988</v>
      </c>
      <c r="P1401">
        <v>251.94399999999999</v>
      </c>
      <c r="Q1401">
        <v>7</v>
      </c>
      <c r="R1401">
        <v>88.180400000000006</v>
      </c>
      <c r="S1401" s="3" t="s">
        <v>65</v>
      </c>
      <c r="T1401">
        <v>2014</v>
      </c>
      <c r="U1401" t="s">
        <v>89</v>
      </c>
      <c r="V1401" s="2">
        <v>0.35</v>
      </c>
    </row>
    <row r="1402" spans="1:22" x14ac:dyDescent="0.25">
      <c r="A1402" t="s">
        <v>3558</v>
      </c>
      <c r="B1402" s="1">
        <v>42649</v>
      </c>
      <c r="C1402" s="1">
        <v>42650</v>
      </c>
      <c r="D1402" t="s">
        <v>56</v>
      </c>
      <c r="E1402" t="s">
        <v>3559</v>
      </c>
      <c r="F1402" t="s">
        <v>3560</v>
      </c>
      <c r="G1402" t="s">
        <v>70</v>
      </c>
      <c r="H1402" t="s">
        <v>27</v>
      </c>
      <c r="I1402" t="s">
        <v>3561</v>
      </c>
      <c r="J1402" t="s">
        <v>147</v>
      </c>
      <c r="K1402" t="s">
        <v>30</v>
      </c>
      <c r="L1402" t="s">
        <v>3562</v>
      </c>
      <c r="M1402" t="s">
        <v>32</v>
      </c>
      <c r="N1402" t="s">
        <v>215</v>
      </c>
      <c r="O1402" t="s">
        <v>3563</v>
      </c>
      <c r="P1402">
        <v>703.71</v>
      </c>
      <c r="Q1402">
        <v>6</v>
      </c>
      <c r="R1402">
        <v>-938.28</v>
      </c>
      <c r="S1402" s="3" t="s">
        <v>112</v>
      </c>
      <c r="T1402">
        <v>2016</v>
      </c>
      <c r="U1402" t="s">
        <v>133</v>
      </c>
      <c r="V1402" s="2">
        <v>-1.3333333333333299</v>
      </c>
    </row>
    <row r="1403" spans="1:22" x14ac:dyDescent="0.25">
      <c r="A1403" t="s">
        <v>3558</v>
      </c>
      <c r="B1403" s="1">
        <v>42649</v>
      </c>
      <c r="C1403" s="1">
        <v>42650</v>
      </c>
      <c r="D1403" t="s">
        <v>56</v>
      </c>
      <c r="E1403" t="s">
        <v>3559</v>
      </c>
      <c r="F1403" t="s">
        <v>3560</v>
      </c>
      <c r="G1403" t="s">
        <v>70</v>
      </c>
      <c r="H1403" t="s">
        <v>27</v>
      </c>
      <c r="I1403" t="s">
        <v>3561</v>
      </c>
      <c r="J1403" t="s">
        <v>147</v>
      </c>
      <c r="K1403" t="s">
        <v>30</v>
      </c>
      <c r="L1403" t="s">
        <v>2493</v>
      </c>
      <c r="M1403" t="s">
        <v>32</v>
      </c>
      <c r="N1403" t="s">
        <v>51</v>
      </c>
      <c r="O1403" t="s">
        <v>2494</v>
      </c>
      <c r="P1403">
        <v>67.959999999999994</v>
      </c>
      <c r="Q1403">
        <v>5</v>
      </c>
      <c r="R1403">
        <v>0.84950000000000003</v>
      </c>
      <c r="S1403" s="3" t="s">
        <v>112</v>
      </c>
      <c r="T1403">
        <v>2016</v>
      </c>
      <c r="U1403" t="s">
        <v>133</v>
      </c>
      <c r="V1403" s="2">
        <v>1.2500000000000001E-2</v>
      </c>
    </row>
    <row r="1404" spans="1:22" x14ac:dyDescent="0.25">
      <c r="A1404" t="s">
        <v>3564</v>
      </c>
      <c r="B1404" s="1">
        <v>41891</v>
      </c>
      <c r="C1404" s="1">
        <v>41895</v>
      </c>
      <c r="D1404" t="s">
        <v>23</v>
      </c>
      <c r="E1404" t="s">
        <v>2014</v>
      </c>
      <c r="F1404" t="s">
        <v>2015</v>
      </c>
      <c r="G1404" t="s">
        <v>26</v>
      </c>
      <c r="H1404" t="s">
        <v>27</v>
      </c>
      <c r="I1404" t="s">
        <v>3048</v>
      </c>
      <c r="J1404" t="s">
        <v>154</v>
      </c>
      <c r="K1404" t="s">
        <v>155</v>
      </c>
      <c r="L1404" t="s">
        <v>3222</v>
      </c>
      <c r="M1404" t="s">
        <v>32</v>
      </c>
      <c r="N1404" t="s">
        <v>215</v>
      </c>
      <c r="O1404" t="s">
        <v>3223</v>
      </c>
      <c r="P1404">
        <v>1299.99</v>
      </c>
      <c r="Q1404">
        <v>2</v>
      </c>
      <c r="R1404">
        <v>-571.99559999999997</v>
      </c>
      <c r="S1404" s="3" t="s">
        <v>53</v>
      </c>
      <c r="T1404">
        <v>2014</v>
      </c>
      <c r="U1404" t="s">
        <v>81</v>
      </c>
      <c r="V1404" s="2">
        <v>-0.44</v>
      </c>
    </row>
    <row r="1405" spans="1:22" x14ac:dyDescent="0.25">
      <c r="A1405" t="s">
        <v>3565</v>
      </c>
      <c r="B1405" s="1">
        <v>42954</v>
      </c>
      <c r="C1405" s="1">
        <v>42955</v>
      </c>
      <c r="D1405" t="s">
        <v>56</v>
      </c>
      <c r="E1405" t="s">
        <v>605</v>
      </c>
      <c r="F1405" t="s">
        <v>606</v>
      </c>
      <c r="G1405" t="s">
        <v>26</v>
      </c>
      <c r="H1405" t="s">
        <v>27</v>
      </c>
      <c r="I1405" t="s">
        <v>262</v>
      </c>
      <c r="J1405" t="s">
        <v>61</v>
      </c>
      <c r="K1405" t="s">
        <v>62</v>
      </c>
      <c r="L1405" t="s">
        <v>148</v>
      </c>
      <c r="M1405" t="s">
        <v>32</v>
      </c>
      <c r="N1405" t="s">
        <v>51</v>
      </c>
      <c r="O1405" t="s">
        <v>149</v>
      </c>
      <c r="P1405">
        <v>119.44799999999999</v>
      </c>
      <c r="Q1405">
        <v>3</v>
      </c>
      <c r="R1405">
        <v>-13.437900000000001</v>
      </c>
      <c r="S1405" s="3" t="s">
        <v>112</v>
      </c>
      <c r="T1405">
        <v>2017</v>
      </c>
      <c r="U1405" t="s">
        <v>46</v>
      </c>
      <c r="V1405" s="2">
        <v>-0.1125</v>
      </c>
    </row>
    <row r="1406" spans="1:22" x14ac:dyDescent="0.25">
      <c r="A1406" t="s">
        <v>3566</v>
      </c>
      <c r="B1406" s="1">
        <v>42647</v>
      </c>
      <c r="C1406" s="1">
        <v>42651</v>
      </c>
      <c r="D1406" t="s">
        <v>23</v>
      </c>
      <c r="E1406" t="s">
        <v>3567</v>
      </c>
      <c r="F1406" t="s">
        <v>3568</v>
      </c>
      <c r="G1406" t="s">
        <v>70</v>
      </c>
      <c r="H1406" t="s">
        <v>27</v>
      </c>
      <c r="I1406" t="s">
        <v>2668</v>
      </c>
      <c r="J1406" t="s">
        <v>1721</v>
      </c>
      <c r="K1406" t="s">
        <v>95</v>
      </c>
      <c r="L1406" t="s">
        <v>380</v>
      </c>
      <c r="M1406" t="s">
        <v>32</v>
      </c>
      <c r="N1406" t="s">
        <v>381</v>
      </c>
      <c r="O1406" t="s">
        <v>382</v>
      </c>
      <c r="P1406">
        <v>5399.91</v>
      </c>
      <c r="Q1406">
        <v>9</v>
      </c>
      <c r="R1406">
        <v>2591.9567999999999</v>
      </c>
      <c r="S1406" s="3" t="s">
        <v>53</v>
      </c>
      <c r="T1406">
        <v>2016</v>
      </c>
      <c r="U1406" t="s">
        <v>133</v>
      </c>
      <c r="V1406" s="2">
        <v>0.48</v>
      </c>
    </row>
    <row r="1407" spans="1:22" x14ac:dyDescent="0.25">
      <c r="A1407" t="s">
        <v>3569</v>
      </c>
      <c r="B1407" s="1">
        <v>42335</v>
      </c>
      <c r="C1407" s="1">
        <v>42337</v>
      </c>
      <c r="D1407" t="s">
        <v>40</v>
      </c>
      <c r="E1407" t="s">
        <v>2160</v>
      </c>
      <c r="F1407" t="s">
        <v>2161</v>
      </c>
      <c r="G1407" t="s">
        <v>70</v>
      </c>
      <c r="H1407" t="s">
        <v>27</v>
      </c>
      <c r="I1407" t="s">
        <v>1248</v>
      </c>
      <c r="J1407" t="s">
        <v>1249</v>
      </c>
      <c r="K1407" t="s">
        <v>95</v>
      </c>
      <c r="L1407" t="s">
        <v>1702</v>
      </c>
      <c r="M1407" t="s">
        <v>32</v>
      </c>
      <c r="N1407" t="s">
        <v>51</v>
      </c>
      <c r="O1407" t="s">
        <v>1703</v>
      </c>
      <c r="P1407">
        <v>259.98</v>
      </c>
      <c r="Q1407">
        <v>2</v>
      </c>
      <c r="R1407">
        <v>88.393199999999993</v>
      </c>
      <c r="S1407" s="3" t="s">
        <v>65</v>
      </c>
      <c r="T1407">
        <v>2015</v>
      </c>
      <c r="U1407" t="s">
        <v>118</v>
      </c>
      <c r="V1407" s="2">
        <v>0.34</v>
      </c>
    </row>
    <row r="1408" spans="1:22" x14ac:dyDescent="0.25">
      <c r="A1408" t="s">
        <v>3570</v>
      </c>
      <c r="B1408" s="1">
        <v>41920</v>
      </c>
      <c r="C1408" s="1">
        <v>41920</v>
      </c>
      <c r="D1408" t="s">
        <v>677</v>
      </c>
      <c r="E1408" t="s">
        <v>423</v>
      </c>
      <c r="F1408" t="s">
        <v>424</v>
      </c>
      <c r="G1408" t="s">
        <v>26</v>
      </c>
      <c r="H1408" t="s">
        <v>27</v>
      </c>
      <c r="I1408" t="s">
        <v>153</v>
      </c>
      <c r="J1408" t="s">
        <v>154</v>
      </c>
      <c r="K1408" t="s">
        <v>155</v>
      </c>
      <c r="L1408" t="s">
        <v>2444</v>
      </c>
      <c r="M1408" t="s">
        <v>32</v>
      </c>
      <c r="N1408" t="s">
        <v>51</v>
      </c>
      <c r="O1408" t="s">
        <v>2445</v>
      </c>
      <c r="P1408">
        <v>23.472000000000001</v>
      </c>
      <c r="Q1408">
        <v>3</v>
      </c>
      <c r="R1408">
        <v>4.9878</v>
      </c>
      <c r="S1408" s="3" t="s">
        <v>683</v>
      </c>
      <c r="T1408">
        <v>2014</v>
      </c>
      <c r="U1408" t="s">
        <v>133</v>
      </c>
      <c r="V1408" s="2">
        <v>0.21249999999999999</v>
      </c>
    </row>
    <row r="1409" spans="1:22" x14ac:dyDescent="0.25">
      <c r="A1409" t="s">
        <v>3571</v>
      </c>
      <c r="B1409" s="1">
        <v>42004</v>
      </c>
      <c r="C1409" s="1">
        <v>42011</v>
      </c>
      <c r="D1409" t="s">
        <v>23</v>
      </c>
      <c r="E1409" t="s">
        <v>1176</v>
      </c>
      <c r="F1409" t="s">
        <v>1177</v>
      </c>
      <c r="G1409" t="s">
        <v>70</v>
      </c>
      <c r="H1409" t="s">
        <v>27</v>
      </c>
      <c r="I1409" t="s">
        <v>2668</v>
      </c>
      <c r="J1409" t="s">
        <v>1721</v>
      </c>
      <c r="K1409" t="s">
        <v>95</v>
      </c>
      <c r="L1409" t="s">
        <v>841</v>
      </c>
      <c r="M1409" t="s">
        <v>32</v>
      </c>
      <c r="N1409" t="s">
        <v>51</v>
      </c>
      <c r="O1409" t="s">
        <v>1306</v>
      </c>
      <c r="P1409">
        <v>1687.8</v>
      </c>
      <c r="Q1409">
        <v>4</v>
      </c>
      <c r="R1409">
        <v>742.63199999999995</v>
      </c>
      <c r="S1409" s="3" t="s">
        <v>132</v>
      </c>
      <c r="T1409">
        <v>2014</v>
      </c>
      <c r="U1409" t="s">
        <v>66</v>
      </c>
      <c r="V1409" s="2">
        <v>0.44</v>
      </c>
    </row>
    <row r="1410" spans="1:22" x14ac:dyDescent="0.25">
      <c r="A1410" t="s">
        <v>3572</v>
      </c>
      <c r="B1410" s="1">
        <v>42049</v>
      </c>
      <c r="C1410" s="1">
        <v>42056</v>
      </c>
      <c r="D1410" t="s">
        <v>23</v>
      </c>
      <c r="E1410" t="s">
        <v>2547</v>
      </c>
      <c r="F1410" t="s">
        <v>2548</v>
      </c>
      <c r="G1410" t="s">
        <v>26</v>
      </c>
      <c r="H1410" t="s">
        <v>27</v>
      </c>
      <c r="I1410" t="s">
        <v>129</v>
      </c>
      <c r="J1410" t="s">
        <v>104</v>
      </c>
      <c r="K1410" t="s">
        <v>95</v>
      </c>
      <c r="L1410" t="s">
        <v>2822</v>
      </c>
      <c r="M1410" t="s">
        <v>32</v>
      </c>
      <c r="N1410" t="s">
        <v>33</v>
      </c>
      <c r="O1410" t="s">
        <v>2823</v>
      </c>
      <c r="P1410">
        <v>625.99</v>
      </c>
      <c r="Q1410">
        <v>1</v>
      </c>
      <c r="R1410">
        <v>187.797</v>
      </c>
      <c r="S1410" s="3" t="s">
        <v>132</v>
      </c>
      <c r="T1410">
        <v>2015</v>
      </c>
      <c r="U1410" t="s">
        <v>180</v>
      </c>
      <c r="V1410" s="2">
        <v>0.3</v>
      </c>
    </row>
    <row r="1411" spans="1:22" x14ac:dyDescent="0.25">
      <c r="A1411" t="s">
        <v>3573</v>
      </c>
      <c r="B1411" s="1">
        <v>42699</v>
      </c>
      <c r="C1411" s="1">
        <v>42703</v>
      </c>
      <c r="D1411" t="s">
        <v>23</v>
      </c>
      <c r="E1411" t="s">
        <v>1799</v>
      </c>
      <c r="F1411" t="s">
        <v>1800</v>
      </c>
      <c r="G1411" t="s">
        <v>59</v>
      </c>
      <c r="H1411" t="s">
        <v>27</v>
      </c>
      <c r="I1411" t="s">
        <v>687</v>
      </c>
      <c r="J1411" t="s">
        <v>256</v>
      </c>
      <c r="K1411" t="s">
        <v>62</v>
      </c>
      <c r="L1411" t="s">
        <v>3574</v>
      </c>
      <c r="M1411" t="s">
        <v>32</v>
      </c>
      <c r="N1411" t="s">
        <v>51</v>
      </c>
      <c r="O1411" t="s">
        <v>3575</v>
      </c>
      <c r="P1411">
        <v>160</v>
      </c>
      <c r="Q1411">
        <v>8</v>
      </c>
      <c r="R1411">
        <v>62.4</v>
      </c>
      <c r="S1411" s="3" t="s">
        <v>53</v>
      </c>
      <c r="T1411">
        <v>2016</v>
      </c>
      <c r="U1411" t="s">
        <v>118</v>
      </c>
      <c r="V1411" s="2">
        <v>0.39</v>
      </c>
    </row>
    <row r="1412" spans="1:22" x14ac:dyDescent="0.25">
      <c r="A1412" t="s">
        <v>3576</v>
      </c>
      <c r="B1412" s="1">
        <v>42002</v>
      </c>
      <c r="C1412" s="1">
        <v>42007</v>
      </c>
      <c r="D1412" t="s">
        <v>23</v>
      </c>
      <c r="E1412" t="s">
        <v>2883</v>
      </c>
      <c r="F1412" t="s">
        <v>2884</v>
      </c>
      <c r="G1412" t="s">
        <v>26</v>
      </c>
      <c r="H1412" t="s">
        <v>27</v>
      </c>
      <c r="I1412" t="s">
        <v>324</v>
      </c>
      <c r="J1412" t="s">
        <v>29</v>
      </c>
      <c r="K1412" t="s">
        <v>30</v>
      </c>
      <c r="L1412" t="s">
        <v>1652</v>
      </c>
      <c r="M1412" t="s">
        <v>32</v>
      </c>
      <c r="N1412" t="s">
        <v>33</v>
      </c>
      <c r="O1412" t="s">
        <v>1653</v>
      </c>
      <c r="P1412">
        <v>319.96800000000002</v>
      </c>
      <c r="Q1412">
        <v>4</v>
      </c>
      <c r="R1412">
        <v>35.996400000000001</v>
      </c>
      <c r="S1412" s="3" t="s">
        <v>35</v>
      </c>
      <c r="T1412">
        <v>2014</v>
      </c>
      <c r="U1412" t="s">
        <v>66</v>
      </c>
      <c r="V1412" s="2">
        <v>0.1125</v>
      </c>
    </row>
    <row r="1413" spans="1:22" x14ac:dyDescent="0.25">
      <c r="A1413" t="s">
        <v>3577</v>
      </c>
      <c r="B1413" s="1">
        <v>43083</v>
      </c>
      <c r="C1413" s="1">
        <v>43087</v>
      </c>
      <c r="D1413" t="s">
        <v>23</v>
      </c>
      <c r="E1413" t="s">
        <v>1063</v>
      </c>
      <c r="F1413" t="s">
        <v>1064</v>
      </c>
      <c r="G1413" t="s">
        <v>70</v>
      </c>
      <c r="H1413" t="s">
        <v>27</v>
      </c>
      <c r="I1413" t="s">
        <v>2429</v>
      </c>
      <c r="J1413" t="s">
        <v>1249</v>
      </c>
      <c r="K1413" t="s">
        <v>95</v>
      </c>
      <c r="L1413" t="s">
        <v>429</v>
      </c>
      <c r="M1413" t="s">
        <v>32</v>
      </c>
      <c r="N1413" t="s">
        <v>381</v>
      </c>
      <c r="O1413" t="s">
        <v>430</v>
      </c>
      <c r="P1413">
        <v>1199.98</v>
      </c>
      <c r="Q1413">
        <v>2</v>
      </c>
      <c r="R1413">
        <v>467.99220000000003</v>
      </c>
      <c r="S1413" s="3" t="s">
        <v>53</v>
      </c>
      <c r="T1413">
        <v>2017</v>
      </c>
      <c r="U1413" t="s">
        <v>66</v>
      </c>
      <c r="V1413" s="2">
        <v>0.39</v>
      </c>
    </row>
    <row r="1414" spans="1:22" x14ac:dyDescent="0.25">
      <c r="A1414" t="s">
        <v>3578</v>
      </c>
      <c r="B1414" s="1">
        <v>42608</v>
      </c>
      <c r="C1414" s="1">
        <v>42615</v>
      </c>
      <c r="D1414" t="s">
        <v>23</v>
      </c>
      <c r="E1414" t="s">
        <v>3579</v>
      </c>
      <c r="F1414" t="s">
        <v>3580</v>
      </c>
      <c r="G1414" t="s">
        <v>26</v>
      </c>
      <c r="H1414" t="s">
        <v>27</v>
      </c>
      <c r="I1414" t="s">
        <v>851</v>
      </c>
      <c r="J1414" t="s">
        <v>256</v>
      </c>
      <c r="K1414" t="s">
        <v>62</v>
      </c>
      <c r="L1414" t="s">
        <v>716</v>
      </c>
      <c r="M1414" t="s">
        <v>32</v>
      </c>
      <c r="N1414" t="s">
        <v>33</v>
      </c>
      <c r="O1414" t="s">
        <v>717</v>
      </c>
      <c r="P1414">
        <v>209.97</v>
      </c>
      <c r="Q1414">
        <v>3</v>
      </c>
      <c r="R1414">
        <v>58.791600000000003</v>
      </c>
      <c r="S1414" s="3" t="s">
        <v>132</v>
      </c>
      <c r="T1414">
        <v>2016</v>
      </c>
      <c r="U1414" t="s">
        <v>46</v>
      </c>
      <c r="V1414" s="2">
        <v>0.28000000000000003</v>
      </c>
    </row>
    <row r="1415" spans="1:22" x14ac:dyDescent="0.25">
      <c r="A1415" t="s">
        <v>3578</v>
      </c>
      <c r="B1415" s="1">
        <v>42608</v>
      </c>
      <c r="C1415" s="1">
        <v>42615</v>
      </c>
      <c r="D1415" t="s">
        <v>23</v>
      </c>
      <c r="E1415" t="s">
        <v>3579</v>
      </c>
      <c r="F1415" t="s">
        <v>3580</v>
      </c>
      <c r="G1415" t="s">
        <v>26</v>
      </c>
      <c r="H1415" t="s">
        <v>27</v>
      </c>
      <c r="I1415" t="s">
        <v>851</v>
      </c>
      <c r="J1415" t="s">
        <v>256</v>
      </c>
      <c r="K1415" t="s">
        <v>62</v>
      </c>
      <c r="L1415" t="s">
        <v>398</v>
      </c>
      <c r="M1415" t="s">
        <v>32</v>
      </c>
      <c r="N1415" t="s">
        <v>51</v>
      </c>
      <c r="O1415" t="s">
        <v>399</v>
      </c>
      <c r="P1415">
        <v>479.97</v>
      </c>
      <c r="Q1415">
        <v>3</v>
      </c>
      <c r="R1415">
        <v>163.18979999999999</v>
      </c>
      <c r="S1415" s="3" t="s">
        <v>132</v>
      </c>
      <c r="T1415">
        <v>2016</v>
      </c>
      <c r="U1415" t="s">
        <v>46</v>
      </c>
      <c r="V1415" s="2">
        <v>0.34</v>
      </c>
    </row>
    <row r="1416" spans="1:22" x14ac:dyDescent="0.25">
      <c r="A1416" t="s">
        <v>3581</v>
      </c>
      <c r="B1416" s="1">
        <v>41937</v>
      </c>
      <c r="C1416" s="1">
        <v>41941</v>
      </c>
      <c r="D1416" t="s">
        <v>23</v>
      </c>
      <c r="E1416" t="s">
        <v>2167</v>
      </c>
      <c r="F1416" t="s">
        <v>2168</v>
      </c>
      <c r="G1416" t="s">
        <v>26</v>
      </c>
      <c r="H1416" t="s">
        <v>27</v>
      </c>
      <c r="I1416" t="s">
        <v>206</v>
      </c>
      <c r="J1416" t="s">
        <v>207</v>
      </c>
      <c r="K1416" t="s">
        <v>95</v>
      </c>
      <c r="L1416" t="s">
        <v>2493</v>
      </c>
      <c r="M1416" t="s">
        <v>32</v>
      </c>
      <c r="N1416" t="s">
        <v>51</v>
      </c>
      <c r="O1416" t="s">
        <v>2494</v>
      </c>
      <c r="P1416">
        <v>40.776000000000003</v>
      </c>
      <c r="Q1416">
        <v>3</v>
      </c>
      <c r="R1416">
        <v>0.50970000000000004</v>
      </c>
      <c r="S1416" s="3" t="s">
        <v>53</v>
      </c>
      <c r="T1416">
        <v>2014</v>
      </c>
      <c r="U1416" t="s">
        <v>133</v>
      </c>
      <c r="V1416" s="2">
        <v>1.2500000000000001E-2</v>
      </c>
    </row>
    <row r="1417" spans="1:22" x14ac:dyDescent="0.25">
      <c r="A1417" t="s">
        <v>3582</v>
      </c>
      <c r="B1417" s="1">
        <v>42096</v>
      </c>
      <c r="C1417" s="1">
        <v>42101</v>
      </c>
      <c r="D1417" t="s">
        <v>23</v>
      </c>
      <c r="E1417" t="s">
        <v>373</v>
      </c>
      <c r="F1417" t="s">
        <v>374</v>
      </c>
      <c r="G1417" t="s">
        <v>26</v>
      </c>
      <c r="H1417" t="s">
        <v>27</v>
      </c>
      <c r="I1417" t="s">
        <v>971</v>
      </c>
      <c r="J1417" t="s">
        <v>123</v>
      </c>
      <c r="K1417" t="s">
        <v>30</v>
      </c>
      <c r="L1417" t="s">
        <v>2145</v>
      </c>
      <c r="M1417" t="s">
        <v>32</v>
      </c>
      <c r="N1417" t="s">
        <v>33</v>
      </c>
      <c r="O1417" t="s">
        <v>2146</v>
      </c>
      <c r="P1417">
        <v>87.8</v>
      </c>
      <c r="Q1417">
        <v>5</v>
      </c>
      <c r="R1417">
        <v>32.924999999999997</v>
      </c>
      <c r="S1417" s="3" t="s">
        <v>35</v>
      </c>
      <c r="T1417">
        <v>2015</v>
      </c>
      <c r="U1417" t="s">
        <v>291</v>
      </c>
      <c r="V1417" s="2">
        <v>0.375</v>
      </c>
    </row>
    <row r="1418" spans="1:22" x14ac:dyDescent="0.25">
      <c r="A1418" t="s">
        <v>3583</v>
      </c>
      <c r="B1418" s="1">
        <v>43042</v>
      </c>
      <c r="C1418" s="1">
        <v>43047</v>
      </c>
      <c r="D1418" t="s">
        <v>23</v>
      </c>
      <c r="E1418" t="s">
        <v>729</v>
      </c>
      <c r="F1418" t="s">
        <v>730</v>
      </c>
      <c r="G1418" t="s">
        <v>26</v>
      </c>
      <c r="H1418" t="s">
        <v>27</v>
      </c>
      <c r="I1418" t="s">
        <v>206</v>
      </c>
      <c r="J1418" t="s">
        <v>207</v>
      </c>
      <c r="K1418" t="s">
        <v>95</v>
      </c>
      <c r="L1418" t="s">
        <v>2493</v>
      </c>
      <c r="M1418" t="s">
        <v>32</v>
      </c>
      <c r="N1418" t="s">
        <v>51</v>
      </c>
      <c r="O1418" t="s">
        <v>2494</v>
      </c>
      <c r="P1418">
        <v>40.776000000000003</v>
      </c>
      <c r="Q1418">
        <v>3</v>
      </c>
      <c r="R1418">
        <v>0.50970000000000004</v>
      </c>
      <c r="S1418" s="3" t="s">
        <v>35</v>
      </c>
      <c r="T1418">
        <v>2017</v>
      </c>
      <c r="U1418" t="s">
        <v>118</v>
      </c>
      <c r="V1418" s="2">
        <v>1.2500000000000001E-2</v>
      </c>
    </row>
    <row r="1419" spans="1:22" x14ac:dyDescent="0.25">
      <c r="A1419" t="s">
        <v>3584</v>
      </c>
      <c r="B1419" s="1">
        <v>42987</v>
      </c>
      <c r="C1419" s="1">
        <v>42992</v>
      </c>
      <c r="D1419" t="s">
        <v>23</v>
      </c>
      <c r="E1419" t="s">
        <v>3160</v>
      </c>
      <c r="F1419" t="s">
        <v>3161</v>
      </c>
      <c r="G1419" t="s">
        <v>59</v>
      </c>
      <c r="H1419" t="s">
        <v>27</v>
      </c>
      <c r="I1419" t="s">
        <v>28</v>
      </c>
      <c r="J1419" t="s">
        <v>29</v>
      </c>
      <c r="K1419" t="s">
        <v>30</v>
      </c>
      <c r="L1419" t="s">
        <v>1568</v>
      </c>
      <c r="M1419" t="s">
        <v>32</v>
      </c>
      <c r="N1419" t="s">
        <v>51</v>
      </c>
      <c r="O1419" t="s">
        <v>1569</v>
      </c>
      <c r="P1419">
        <v>159.96</v>
      </c>
      <c r="Q1419">
        <v>4</v>
      </c>
      <c r="R1419">
        <v>51.187199999999997</v>
      </c>
      <c r="S1419" s="3" t="s">
        <v>35</v>
      </c>
      <c r="T1419">
        <v>2017</v>
      </c>
      <c r="U1419" t="s">
        <v>81</v>
      </c>
      <c r="V1419" s="2">
        <v>0.32</v>
      </c>
    </row>
    <row r="1420" spans="1:22" x14ac:dyDescent="0.25">
      <c r="A1420" t="s">
        <v>3585</v>
      </c>
      <c r="B1420" s="1">
        <v>42639</v>
      </c>
      <c r="C1420" s="1">
        <v>42644</v>
      </c>
      <c r="D1420" t="s">
        <v>23</v>
      </c>
      <c r="E1420" t="s">
        <v>3373</v>
      </c>
      <c r="F1420" t="s">
        <v>3374</v>
      </c>
      <c r="G1420" t="s">
        <v>70</v>
      </c>
      <c r="H1420" t="s">
        <v>27</v>
      </c>
      <c r="I1420" t="s">
        <v>1823</v>
      </c>
      <c r="J1420" t="s">
        <v>288</v>
      </c>
      <c r="K1420" t="s">
        <v>155</v>
      </c>
      <c r="L1420" t="s">
        <v>1733</v>
      </c>
      <c r="M1420" t="s">
        <v>32</v>
      </c>
      <c r="N1420" t="s">
        <v>51</v>
      </c>
      <c r="O1420" t="s">
        <v>1734</v>
      </c>
      <c r="P1420">
        <v>431.976</v>
      </c>
      <c r="Q1420">
        <v>3</v>
      </c>
      <c r="R1420">
        <v>-75.595799999999997</v>
      </c>
      <c r="S1420" s="3" t="s">
        <v>35</v>
      </c>
      <c r="T1420">
        <v>2016</v>
      </c>
      <c r="U1420" t="s">
        <v>81</v>
      </c>
      <c r="V1420" s="2">
        <v>-0.17499999999999999</v>
      </c>
    </row>
    <row r="1421" spans="1:22" x14ac:dyDescent="0.25">
      <c r="A1421" t="s">
        <v>3586</v>
      </c>
      <c r="B1421" s="1">
        <v>42946</v>
      </c>
      <c r="C1421" s="1">
        <v>42953</v>
      </c>
      <c r="D1421" t="s">
        <v>23</v>
      </c>
      <c r="E1421" t="s">
        <v>713</v>
      </c>
      <c r="F1421" t="s">
        <v>714</v>
      </c>
      <c r="G1421" t="s">
        <v>26</v>
      </c>
      <c r="H1421" t="s">
        <v>27</v>
      </c>
      <c r="I1421" t="s">
        <v>2568</v>
      </c>
      <c r="J1421" t="s">
        <v>1035</v>
      </c>
      <c r="K1421" t="s">
        <v>95</v>
      </c>
      <c r="L1421" t="s">
        <v>998</v>
      </c>
      <c r="M1421" t="s">
        <v>32</v>
      </c>
      <c r="N1421" t="s">
        <v>33</v>
      </c>
      <c r="O1421" t="s">
        <v>999</v>
      </c>
      <c r="P1421">
        <v>89.95</v>
      </c>
      <c r="Q1421">
        <v>5</v>
      </c>
      <c r="R1421">
        <v>43.176000000000002</v>
      </c>
      <c r="S1421" s="3" t="s">
        <v>132</v>
      </c>
      <c r="T1421">
        <v>2017</v>
      </c>
      <c r="U1421" t="s">
        <v>332</v>
      </c>
      <c r="V1421" s="2">
        <v>0.48</v>
      </c>
    </row>
    <row r="1422" spans="1:22" x14ac:dyDescent="0.25">
      <c r="A1422" t="s">
        <v>3587</v>
      </c>
      <c r="B1422" s="1">
        <v>41964</v>
      </c>
      <c r="C1422" s="1">
        <v>41969</v>
      </c>
      <c r="D1422" t="s">
        <v>23</v>
      </c>
      <c r="E1422" t="s">
        <v>1918</v>
      </c>
      <c r="F1422" t="s">
        <v>1919</v>
      </c>
      <c r="G1422" t="s">
        <v>70</v>
      </c>
      <c r="H1422" t="s">
        <v>27</v>
      </c>
      <c r="I1422" t="s">
        <v>43</v>
      </c>
      <c r="J1422" t="s">
        <v>29</v>
      </c>
      <c r="K1422" t="s">
        <v>30</v>
      </c>
      <c r="L1422" t="s">
        <v>2199</v>
      </c>
      <c r="M1422" t="s">
        <v>32</v>
      </c>
      <c r="N1422" t="s">
        <v>51</v>
      </c>
      <c r="O1422" t="s">
        <v>2200</v>
      </c>
      <c r="P1422">
        <v>94.99</v>
      </c>
      <c r="Q1422">
        <v>1</v>
      </c>
      <c r="R1422">
        <v>28.497</v>
      </c>
      <c r="S1422" s="3" t="s">
        <v>35</v>
      </c>
      <c r="T1422">
        <v>2014</v>
      </c>
      <c r="U1422" t="s">
        <v>118</v>
      </c>
      <c r="V1422" s="2">
        <v>0.3</v>
      </c>
    </row>
    <row r="1423" spans="1:22" x14ac:dyDescent="0.25">
      <c r="A1423" t="s">
        <v>3588</v>
      </c>
      <c r="B1423" s="1">
        <v>42271</v>
      </c>
      <c r="C1423" s="1">
        <v>42273</v>
      </c>
      <c r="D1423" t="s">
        <v>40</v>
      </c>
      <c r="E1423" t="s">
        <v>3589</v>
      </c>
      <c r="F1423" t="s">
        <v>3590</v>
      </c>
      <c r="G1423" t="s">
        <v>26</v>
      </c>
      <c r="H1423" t="s">
        <v>27</v>
      </c>
      <c r="I1423" t="s">
        <v>397</v>
      </c>
      <c r="J1423" t="s">
        <v>123</v>
      </c>
      <c r="K1423" t="s">
        <v>30</v>
      </c>
      <c r="L1423" t="s">
        <v>2145</v>
      </c>
      <c r="M1423" t="s">
        <v>32</v>
      </c>
      <c r="N1423" t="s">
        <v>33</v>
      </c>
      <c r="O1423" t="s">
        <v>2146</v>
      </c>
      <c r="P1423">
        <v>35.119999999999997</v>
      </c>
      <c r="Q1423">
        <v>2</v>
      </c>
      <c r="R1423">
        <v>13.17</v>
      </c>
      <c r="S1423" s="3" t="s">
        <v>65</v>
      </c>
      <c r="T1423">
        <v>2015</v>
      </c>
      <c r="U1423" t="s">
        <v>81</v>
      </c>
      <c r="V1423" s="2">
        <v>0.375</v>
      </c>
    </row>
    <row r="1424" spans="1:22" x14ac:dyDescent="0.25">
      <c r="A1424" t="s">
        <v>3591</v>
      </c>
      <c r="B1424" s="1">
        <v>42538</v>
      </c>
      <c r="C1424" s="1">
        <v>42543</v>
      </c>
      <c r="D1424" t="s">
        <v>23</v>
      </c>
      <c r="E1424" t="s">
        <v>1224</v>
      </c>
      <c r="F1424" t="s">
        <v>1225</v>
      </c>
      <c r="G1424" t="s">
        <v>59</v>
      </c>
      <c r="H1424" t="s">
        <v>27</v>
      </c>
      <c r="I1424" t="s">
        <v>3231</v>
      </c>
      <c r="J1424" t="s">
        <v>1451</v>
      </c>
      <c r="K1424" t="s">
        <v>95</v>
      </c>
      <c r="L1424" t="s">
        <v>1041</v>
      </c>
      <c r="M1424" t="s">
        <v>32</v>
      </c>
      <c r="N1424" t="s">
        <v>33</v>
      </c>
      <c r="O1424" t="s">
        <v>1042</v>
      </c>
      <c r="P1424">
        <v>566.97</v>
      </c>
      <c r="Q1424">
        <v>3</v>
      </c>
      <c r="R1424">
        <v>153.08189999999999</v>
      </c>
      <c r="S1424" s="3" t="s">
        <v>35</v>
      </c>
      <c r="T1424">
        <v>2016</v>
      </c>
      <c r="U1424" t="s">
        <v>36</v>
      </c>
      <c r="V1424" s="2">
        <v>0.27</v>
      </c>
    </row>
    <row r="1425" spans="1:22" x14ac:dyDescent="0.25">
      <c r="A1425" t="s">
        <v>3592</v>
      </c>
      <c r="B1425" s="1">
        <v>42357</v>
      </c>
      <c r="C1425" s="1">
        <v>42361</v>
      </c>
      <c r="D1425" t="s">
        <v>23</v>
      </c>
      <c r="E1425" t="s">
        <v>3593</v>
      </c>
      <c r="F1425" t="s">
        <v>3594</v>
      </c>
      <c r="G1425" t="s">
        <v>70</v>
      </c>
      <c r="H1425" t="s">
        <v>27</v>
      </c>
      <c r="I1425" t="s">
        <v>140</v>
      </c>
      <c r="J1425" t="s">
        <v>78</v>
      </c>
      <c r="K1425" t="s">
        <v>62</v>
      </c>
      <c r="L1425" t="s">
        <v>956</v>
      </c>
      <c r="M1425" t="s">
        <v>32</v>
      </c>
      <c r="N1425" t="s">
        <v>51</v>
      </c>
      <c r="O1425" t="s">
        <v>957</v>
      </c>
      <c r="P1425">
        <v>25.488</v>
      </c>
      <c r="Q1425">
        <v>2</v>
      </c>
      <c r="R1425">
        <v>4.7789999999999999</v>
      </c>
      <c r="S1425" s="3" t="s">
        <v>53</v>
      </c>
      <c r="T1425">
        <v>2015</v>
      </c>
      <c r="U1425" t="s">
        <v>66</v>
      </c>
      <c r="V1425" s="2">
        <v>0.1875</v>
      </c>
    </row>
    <row r="1426" spans="1:22" x14ac:dyDescent="0.25">
      <c r="A1426" t="s">
        <v>3595</v>
      </c>
      <c r="B1426" s="1">
        <v>42173</v>
      </c>
      <c r="C1426" s="1">
        <v>42179</v>
      </c>
      <c r="D1426" t="s">
        <v>23</v>
      </c>
      <c r="E1426" t="s">
        <v>437</v>
      </c>
      <c r="F1426" t="s">
        <v>438</v>
      </c>
      <c r="G1426" t="s">
        <v>26</v>
      </c>
      <c r="H1426" t="s">
        <v>27</v>
      </c>
      <c r="I1426" t="s">
        <v>1490</v>
      </c>
      <c r="J1426" t="s">
        <v>693</v>
      </c>
      <c r="K1426" t="s">
        <v>155</v>
      </c>
      <c r="L1426" t="s">
        <v>578</v>
      </c>
      <c r="M1426" t="s">
        <v>32</v>
      </c>
      <c r="N1426" t="s">
        <v>33</v>
      </c>
      <c r="O1426" t="s">
        <v>579</v>
      </c>
      <c r="P1426">
        <v>467.97</v>
      </c>
      <c r="Q1426">
        <v>3</v>
      </c>
      <c r="R1426">
        <v>140.39099999999999</v>
      </c>
      <c r="S1426" s="3" t="s">
        <v>107</v>
      </c>
      <c r="T1426">
        <v>2015</v>
      </c>
      <c r="U1426" t="s">
        <v>36</v>
      </c>
      <c r="V1426" s="2">
        <v>0.3</v>
      </c>
    </row>
    <row r="1427" spans="1:22" x14ac:dyDescent="0.25">
      <c r="A1427" t="s">
        <v>3596</v>
      </c>
      <c r="B1427" s="1">
        <v>43056</v>
      </c>
      <c r="C1427" s="1">
        <v>43060</v>
      </c>
      <c r="D1427" t="s">
        <v>23</v>
      </c>
      <c r="E1427" t="s">
        <v>625</v>
      </c>
      <c r="F1427" t="s">
        <v>626</v>
      </c>
      <c r="G1427" t="s">
        <v>26</v>
      </c>
      <c r="H1427" t="s">
        <v>27</v>
      </c>
      <c r="I1427" t="s">
        <v>153</v>
      </c>
      <c r="J1427" t="s">
        <v>154</v>
      </c>
      <c r="K1427" t="s">
        <v>155</v>
      </c>
      <c r="L1427" t="s">
        <v>750</v>
      </c>
      <c r="M1427" t="s">
        <v>32</v>
      </c>
      <c r="N1427" t="s">
        <v>51</v>
      </c>
      <c r="O1427" t="s">
        <v>751</v>
      </c>
      <c r="P1427">
        <v>431.16</v>
      </c>
      <c r="Q1427">
        <v>5</v>
      </c>
      <c r="R1427">
        <v>107.79</v>
      </c>
      <c r="S1427" s="3" t="s">
        <v>53</v>
      </c>
      <c r="T1427">
        <v>2017</v>
      </c>
      <c r="U1427" t="s">
        <v>118</v>
      </c>
      <c r="V1427" s="2">
        <v>0.25</v>
      </c>
    </row>
    <row r="1428" spans="1:22" x14ac:dyDescent="0.25">
      <c r="A1428" t="s">
        <v>3597</v>
      </c>
      <c r="B1428" s="1">
        <v>43052</v>
      </c>
      <c r="C1428" s="1">
        <v>43055</v>
      </c>
      <c r="D1428" t="s">
        <v>40</v>
      </c>
      <c r="E1428" t="s">
        <v>1058</v>
      </c>
      <c r="F1428" t="s">
        <v>1059</v>
      </c>
      <c r="G1428" t="s">
        <v>59</v>
      </c>
      <c r="H1428" t="s">
        <v>27</v>
      </c>
      <c r="I1428" t="s">
        <v>3598</v>
      </c>
      <c r="J1428" t="s">
        <v>104</v>
      </c>
      <c r="K1428" t="s">
        <v>95</v>
      </c>
      <c r="L1428" t="s">
        <v>98</v>
      </c>
      <c r="M1428" t="s">
        <v>32</v>
      </c>
      <c r="N1428" t="s">
        <v>33</v>
      </c>
      <c r="O1428" t="s">
        <v>99</v>
      </c>
      <c r="P1428">
        <v>43.6</v>
      </c>
      <c r="Q1428">
        <v>4</v>
      </c>
      <c r="R1428">
        <v>12.208</v>
      </c>
      <c r="S1428" s="3" t="s">
        <v>172</v>
      </c>
      <c r="T1428">
        <v>2017</v>
      </c>
      <c r="U1428" t="s">
        <v>118</v>
      </c>
      <c r="V1428" s="2">
        <v>0.28000000000000003</v>
      </c>
    </row>
    <row r="1429" spans="1:22" x14ac:dyDescent="0.25">
      <c r="A1429" t="s">
        <v>3599</v>
      </c>
      <c r="B1429" s="1">
        <v>42583</v>
      </c>
      <c r="C1429" s="1">
        <v>42583</v>
      </c>
      <c r="D1429" t="s">
        <v>677</v>
      </c>
      <c r="E1429" t="s">
        <v>2164</v>
      </c>
      <c r="F1429" t="s">
        <v>2165</v>
      </c>
      <c r="G1429" t="s">
        <v>59</v>
      </c>
      <c r="H1429" t="s">
        <v>27</v>
      </c>
      <c r="I1429" t="s">
        <v>3600</v>
      </c>
      <c r="J1429" t="s">
        <v>29</v>
      </c>
      <c r="K1429" t="s">
        <v>30</v>
      </c>
      <c r="L1429" t="s">
        <v>1431</v>
      </c>
      <c r="M1429" t="s">
        <v>32</v>
      </c>
      <c r="N1429" t="s">
        <v>33</v>
      </c>
      <c r="O1429" t="s">
        <v>1432</v>
      </c>
      <c r="P1429">
        <v>1039.7280000000001</v>
      </c>
      <c r="Q1429">
        <v>2</v>
      </c>
      <c r="R1429">
        <v>90.976200000000006</v>
      </c>
      <c r="S1429" s="3" t="s">
        <v>683</v>
      </c>
      <c r="T1429">
        <v>2016</v>
      </c>
      <c r="U1429" t="s">
        <v>46</v>
      </c>
      <c r="V1429" s="2">
        <v>8.7499999999999994E-2</v>
      </c>
    </row>
    <row r="1430" spans="1:22" x14ac:dyDescent="0.25">
      <c r="A1430" t="s">
        <v>3601</v>
      </c>
      <c r="B1430" s="1">
        <v>42699</v>
      </c>
      <c r="C1430" s="1">
        <v>42706</v>
      </c>
      <c r="D1430" t="s">
        <v>23</v>
      </c>
      <c r="E1430" t="s">
        <v>1241</v>
      </c>
      <c r="F1430" t="s">
        <v>1242</v>
      </c>
      <c r="G1430" t="s">
        <v>26</v>
      </c>
      <c r="H1430" t="s">
        <v>27</v>
      </c>
      <c r="I1430" t="s">
        <v>2300</v>
      </c>
      <c r="J1430" t="s">
        <v>177</v>
      </c>
      <c r="K1430" t="s">
        <v>95</v>
      </c>
      <c r="L1430" t="s">
        <v>2106</v>
      </c>
      <c r="M1430" t="s">
        <v>32</v>
      </c>
      <c r="N1430" t="s">
        <v>215</v>
      </c>
      <c r="O1430" t="s">
        <v>2107</v>
      </c>
      <c r="P1430">
        <v>4499.9849999999997</v>
      </c>
      <c r="Q1430">
        <v>5</v>
      </c>
      <c r="R1430">
        <v>-6599.9780000000001</v>
      </c>
      <c r="S1430" s="3" t="s">
        <v>132</v>
      </c>
      <c r="T1430">
        <v>2016</v>
      </c>
      <c r="U1430" t="s">
        <v>118</v>
      </c>
      <c r="V1430" s="2">
        <v>-1.4666666666666699</v>
      </c>
    </row>
    <row r="1431" spans="1:22" x14ac:dyDescent="0.25">
      <c r="A1431" t="s">
        <v>3601</v>
      </c>
      <c r="B1431" s="1">
        <v>42699</v>
      </c>
      <c r="C1431" s="1">
        <v>42706</v>
      </c>
      <c r="D1431" t="s">
        <v>23</v>
      </c>
      <c r="E1431" t="s">
        <v>1241</v>
      </c>
      <c r="F1431" t="s">
        <v>1242</v>
      </c>
      <c r="G1431" t="s">
        <v>26</v>
      </c>
      <c r="H1431" t="s">
        <v>27</v>
      </c>
      <c r="I1431" t="s">
        <v>2300</v>
      </c>
      <c r="J1431" t="s">
        <v>177</v>
      </c>
      <c r="K1431" t="s">
        <v>95</v>
      </c>
      <c r="L1431" t="s">
        <v>3602</v>
      </c>
      <c r="M1431" t="s">
        <v>32</v>
      </c>
      <c r="N1431" t="s">
        <v>51</v>
      </c>
      <c r="O1431" t="s">
        <v>3603</v>
      </c>
      <c r="P1431">
        <v>59.975999999999999</v>
      </c>
      <c r="Q1431">
        <v>3</v>
      </c>
      <c r="R1431">
        <v>11.995200000000001</v>
      </c>
      <c r="S1431" s="3" t="s">
        <v>132</v>
      </c>
      <c r="T1431">
        <v>2016</v>
      </c>
      <c r="U1431" t="s">
        <v>118</v>
      </c>
      <c r="V1431" s="2">
        <v>0.2</v>
      </c>
    </row>
    <row r="1432" spans="1:22" x14ac:dyDescent="0.25">
      <c r="A1432" t="s">
        <v>3604</v>
      </c>
      <c r="B1432" s="1">
        <v>42478</v>
      </c>
      <c r="C1432" s="1">
        <v>42482</v>
      </c>
      <c r="D1432" t="s">
        <v>23</v>
      </c>
      <c r="E1432" t="s">
        <v>3605</v>
      </c>
      <c r="F1432" t="s">
        <v>3606</v>
      </c>
      <c r="G1432" t="s">
        <v>26</v>
      </c>
      <c r="H1432" t="s">
        <v>27</v>
      </c>
      <c r="I1432" t="s">
        <v>1550</v>
      </c>
      <c r="J1432" t="s">
        <v>693</v>
      </c>
      <c r="K1432" t="s">
        <v>155</v>
      </c>
      <c r="L1432" t="s">
        <v>1468</v>
      </c>
      <c r="M1432" t="s">
        <v>32</v>
      </c>
      <c r="N1432" t="s">
        <v>33</v>
      </c>
      <c r="O1432" t="s">
        <v>1469</v>
      </c>
      <c r="P1432">
        <v>29.56</v>
      </c>
      <c r="Q1432">
        <v>4</v>
      </c>
      <c r="R1432">
        <v>7.9812000000000003</v>
      </c>
      <c r="S1432" s="3" t="s">
        <v>53</v>
      </c>
      <c r="T1432">
        <v>2016</v>
      </c>
      <c r="U1432" t="s">
        <v>291</v>
      </c>
      <c r="V1432" s="2">
        <v>0.27</v>
      </c>
    </row>
    <row r="1433" spans="1:22" x14ac:dyDescent="0.25">
      <c r="A1433" t="s">
        <v>3607</v>
      </c>
      <c r="B1433" s="1">
        <v>43020</v>
      </c>
      <c r="C1433" s="1">
        <v>43023</v>
      </c>
      <c r="D1433" t="s">
        <v>56</v>
      </c>
      <c r="E1433" t="s">
        <v>2439</v>
      </c>
      <c r="F1433" t="s">
        <v>2440</v>
      </c>
      <c r="G1433" t="s">
        <v>59</v>
      </c>
      <c r="H1433" t="s">
        <v>27</v>
      </c>
      <c r="I1433" t="s">
        <v>262</v>
      </c>
      <c r="J1433" t="s">
        <v>61</v>
      </c>
      <c r="K1433" t="s">
        <v>62</v>
      </c>
      <c r="L1433" t="s">
        <v>726</v>
      </c>
      <c r="M1433" t="s">
        <v>32</v>
      </c>
      <c r="N1433" t="s">
        <v>51</v>
      </c>
      <c r="O1433" t="s">
        <v>727</v>
      </c>
      <c r="P1433">
        <v>39.984000000000002</v>
      </c>
      <c r="Q1433">
        <v>2</v>
      </c>
      <c r="R1433">
        <v>-1.4994000000000001</v>
      </c>
      <c r="S1433" s="3" t="s">
        <v>172</v>
      </c>
      <c r="T1433">
        <v>2017</v>
      </c>
      <c r="U1433" t="s">
        <v>133</v>
      </c>
      <c r="V1433" s="2">
        <v>-3.7499999999999999E-2</v>
      </c>
    </row>
    <row r="1434" spans="1:22" x14ac:dyDescent="0.25">
      <c r="A1434" t="s">
        <v>3608</v>
      </c>
      <c r="B1434" s="1">
        <v>42197</v>
      </c>
      <c r="C1434" s="1">
        <v>42203</v>
      </c>
      <c r="D1434" t="s">
        <v>23</v>
      </c>
      <c r="E1434" t="s">
        <v>634</v>
      </c>
      <c r="F1434" t="s">
        <v>635</v>
      </c>
      <c r="G1434" t="s">
        <v>26</v>
      </c>
      <c r="H1434" t="s">
        <v>27</v>
      </c>
      <c r="I1434" t="s">
        <v>1197</v>
      </c>
      <c r="J1434" t="s">
        <v>61</v>
      </c>
      <c r="K1434" t="s">
        <v>62</v>
      </c>
      <c r="L1434" t="s">
        <v>2077</v>
      </c>
      <c r="M1434" t="s">
        <v>32</v>
      </c>
      <c r="N1434" t="s">
        <v>33</v>
      </c>
      <c r="O1434" t="s">
        <v>2078</v>
      </c>
      <c r="P1434">
        <v>307.16800000000001</v>
      </c>
      <c r="Q1434">
        <v>4</v>
      </c>
      <c r="R1434">
        <v>30.716799999999999</v>
      </c>
      <c r="S1434" s="3" t="s">
        <v>107</v>
      </c>
      <c r="T1434">
        <v>2015</v>
      </c>
      <c r="U1434" t="s">
        <v>332</v>
      </c>
      <c r="V1434" s="2">
        <v>0.1</v>
      </c>
    </row>
    <row r="1435" spans="1:22" x14ac:dyDescent="0.25">
      <c r="A1435" t="s">
        <v>3609</v>
      </c>
      <c r="B1435" s="1">
        <v>42818</v>
      </c>
      <c r="C1435" s="1">
        <v>42821</v>
      </c>
      <c r="D1435" t="s">
        <v>56</v>
      </c>
      <c r="E1435" t="s">
        <v>1832</v>
      </c>
      <c r="F1435" t="s">
        <v>1833</v>
      </c>
      <c r="G1435" t="s">
        <v>59</v>
      </c>
      <c r="H1435" t="s">
        <v>27</v>
      </c>
      <c r="I1435" t="s">
        <v>103</v>
      </c>
      <c r="J1435" t="s">
        <v>104</v>
      </c>
      <c r="K1435" t="s">
        <v>95</v>
      </c>
      <c r="L1435" t="s">
        <v>1426</v>
      </c>
      <c r="M1435" t="s">
        <v>32</v>
      </c>
      <c r="N1435" t="s">
        <v>33</v>
      </c>
      <c r="O1435" t="s">
        <v>1427</v>
      </c>
      <c r="P1435">
        <v>469.99</v>
      </c>
      <c r="Q1435">
        <v>1</v>
      </c>
      <c r="R1435">
        <v>136.2971</v>
      </c>
      <c r="S1435" s="3" t="s">
        <v>172</v>
      </c>
      <c r="T1435">
        <v>2017</v>
      </c>
      <c r="U1435" t="s">
        <v>89</v>
      </c>
      <c r="V1435" s="2">
        <v>0.28999999999999998</v>
      </c>
    </row>
    <row r="1436" spans="1:22" x14ac:dyDescent="0.25">
      <c r="A1436" t="s">
        <v>3610</v>
      </c>
      <c r="B1436" s="1">
        <v>42377</v>
      </c>
      <c r="C1436" s="1">
        <v>42382</v>
      </c>
      <c r="D1436" t="s">
        <v>23</v>
      </c>
      <c r="E1436" t="s">
        <v>3611</v>
      </c>
      <c r="F1436" t="s">
        <v>3612</v>
      </c>
      <c r="G1436" t="s">
        <v>26</v>
      </c>
      <c r="H1436" t="s">
        <v>27</v>
      </c>
      <c r="I1436" t="s">
        <v>1425</v>
      </c>
      <c r="J1436" t="s">
        <v>154</v>
      </c>
      <c r="K1436" t="s">
        <v>155</v>
      </c>
      <c r="L1436" t="s">
        <v>3243</v>
      </c>
      <c r="M1436" t="s">
        <v>32</v>
      </c>
      <c r="N1436" t="s">
        <v>33</v>
      </c>
      <c r="O1436" t="s">
        <v>3244</v>
      </c>
      <c r="P1436">
        <v>108.78400000000001</v>
      </c>
      <c r="Q1436">
        <v>2</v>
      </c>
      <c r="R1436">
        <v>10.878399999999999</v>
      </c>
      <c r="S1436" s="3" t="s">
        <v>35</v>
      </c>
      <c r="T1436">
        <v>2016</v>
      </c>
      <c r="U1436" t="s">
        <v>54</v>
      </c>
      <c r="V1436" s="2">
        <v>0.1</v>
      </c>
    </row>
    <row r="1437" spans="1:22" x14ac:dyDescent="0.25">
      <c r="A1437" t="s">
        <v>3613</v>
      </c>
      <c r="B1437" s="1">
        <v>42894</v>
      </c>
      <c r="C1437" s="1">
        <v>42896</v>
      </c>
      <c r="D1437" t="s">
        <v>56</v>
      </c>
      <c r="E1437" t="s">
        <v>2450</v>
      </c>
      <c r="F1437" t="s">
        <v>2451</v>
      </c>
      <c r="G1437" t="s">
        <v>70</v>
      </c>
      <c r="H1437" t="s">
        <v>27</v>
      </c>
      <c r="I1437" t="s">
        <v>28</v>
      </c>
      <c r="J1437" t="s">
        <v>29</v>
      </c>
      <c r="K1437" t="s">
        <v>30</v>
      </c>
      <c r="L1437" t="s">
        <v>1023</v>
      </c>
      <c r="M1437" t="s">
        <v>32</v>
      </c>
      <c r="N1437" t="s">
        <v>33</v>
      </c>
      <c r="O1437" t="s">
        <v>1024</v>
      </c>
      <c r="P1437">
        <v>17.52</v>
      </c>
      <c r="Q1437">
        <v>2</v>
      </c>
      <c r="R1437">
        <v>-3.504</v>
      </c>
      <c r="S1437" s="3" t="s">
        <v>65</v>
      </c>
      <c r="T1437">
        <v>2017</v>
      </c>
      <c r="U1437" t="s">
        <v>36</v>
      </c>
      <c r="V1437" s="2">
        <v>-0.2</v>
      </c>
    </row>
    <row r="1438" spans="1:22" x14ac:dyDescent="0.25">
      <c r="A1438" t="s">
        <v>3614</v>
      </c>
      <c r="B1438" s="1">
        <v>41877</v>
      </c>
      <c r="C1438" s="1">
        <v>41883</v>
      </c>
      <c r="D1438" t="s">
        <v>23</v>
      </c>
      <c r="E1438" t="s">
        <v>1171</v>
      </c>
      <c r="F1438" t="s">
        <v>1172</v>
      </c>
      <c r="G1438" t="s">
        <v>70</v>
      </c>
      <c r="H1438" t="s">
        <v>27</v>
      </c>
      <c r="I1438" t="s">
        <v>1458</v>
      </c>
      <c r="J1438" t="s">
        <v>94</v>
      </c>
      <c r="K1438" t="s">
        <v>95</v>
      </c>
      <c r="L1438" t="s">
        <v>1573</v>
      </c>
      <c r="M1438" t="s">
        <v>32</v>
      </c>
      <c r="N1438" t="s">
        <v>51</v>
      </c>
      <c r="O1438" t="s">
        <v>1574</v>
      </c>
      <c r="P1438">
        <v>149.97</v>
      </c>
      <c r="Q1438">
        <v>3</v>
      </c>
      <c r="R1438">
        <v>52.4895</v>
      </c>
      <c r="S1438" s="3" t="s">
        <v>107</v>
      </c>
      <c r="T1438">
        <v>2014</v>
      </c>
      <c r="U1438" t="s">
        <v>46</v>
      </c>
      <c r="V1438" s="2">
        <v>0.35</v>
      </c>
    </row>
    <row r="1439" spans="1:22" x14ac:dyDescent="0.25">
      <c r="A1439" t="s">
        <v>3615</v>
      </c>
      <c r="B1439" s="1">
        <v>43039</v>
      </c>
      <c r="C1439" s="1">
        <v>43044</v>
      </c>
      <c r="D1439" t="s">
        <v>23</v>
      </c>
      <c r="E1439" t="s">
        <v>981</v>
      </c>
      <c r="F1439" t="s">
        <v>982</v>
      </c>
      <c r="G1439" t="s">
        <v>59</v>
      </c>
      <c r="H1439" t="s">
        <v>27</v>
      </c>
      <c r="I1439" t="s">
        <v>140</v>
      </c>
      <c r="J1439" t="s">
        <v>78</v>
      </c>
      <c r="K1439" t="s">
        <v>62</v>
      </c>
      <c r="L1439" t="s">
        <v>664</v>
      </c>
      <c r="M1439" t="s">
        <v>32</v>
      </c>
      <c r="N1439" t="s">
        <v>33</v>
      </c>
      <c r="O1439" t="s">
        <v>665</v>
      </c>
      <c r="P1439">
        <v>508.76799999999997</v>
      </c>
      <c r="Q1439">
        <v>4</v>
      </c>
      <c r="R1439">
        <v>38.157600000000002</v>
      </c>
      <c r="S1439" s="3" t="s">
        <v>35</v>
      </c>
      <c r="T1439">
        <v>2017</v>
      </c>
      <c r="U1439" t="s">
        <v>133</v>
      </c>
      <c r="V1439" s="2">
        <v>7.4999999999999997E-2</v>
      </c>
    </row>
    <row r="1440" spans="1:22" x14ac:dyDescent="0.25">
      <c r="A1440" t="s">
        <v>3616</v>
      </c>
      <c r="B1440" s="1">
        <v>42120</v>
      </c>
      <c r="C1440" s="1">
        <v>42125</v>
      </c>
      <c r="D1440" t="s">
        <v>23</v>
      </c>
      <c r="E1440" t="s">
        <v>901</v>
      </c>
      <c r="F1440" t="s">
        <v>902</v>
      </c>
      <c r="G1440" t="s">
        <v>59</v>
      </c>
      <c r="H1440" t="s">
        <v>27</v>
      </c>
      <c r="I1440" t="s">
        <v>300</v>
      </c>
      <c r="J1440" t="s">
        <v>29</v>
      </c>
      <c r="K1440" t="s">
        <v>30</v>
      </c>
      <c r="L1440" t="s">
        <v>3085</v>
      </c>
      <c r="M1440" t="s">
        <v>32</v>
      </c>
      <c r="N1440" t="s">
        <v>33</v>
      </c>
      <c r="O1440" t="s">
        <v>3086</v>
      </c>
      <c r="P1440">
        <v>311.976</v>
      </c>
      <c r="Q1440">
        <v>3</v>
      </c>
      <c r="R1440">
        <v>38.997</v>
      </c>
      <c r="S1440" s="3" t="s">
        <v>35</v>
      </c>
      <c r="T1440">
        <v>2015</v>
      </c>
      <c r="U1440" t="s">
        <v>291</v>
      </c>
      <c r="V1440" s="2">
        <v>0.125</v>
      </c>
    </row>
    <row r="1441" spans="1:22" x14ac:dyDescent="0.25">
      <c r="A1441" t="s">
        <v>3617</v>
      </c>
      <c r="B1441" s="1">
        <v>42499</v>
      </c>
      <c r="C1441" s="1">
        <v>42503</v>
      </c>
      <c r="D1441" t="s">
        <v>23</v>
      </c>
      <c r="E1441" t="s">
        <v>3303</v>
      </c>
      <c r="F1441" t="s">
        <v>3304</v>
      </c>
      <c r="G1441" t="s">
        <v>26</v>
      </c>
      <c r="H1441" t="s">
        <v>27</v>
      </c>
      <c r="I1441" t="s">
        <v>71</v>
      </c>
      <c r="J1441" t="s">
        <v>61</v>
      </c>
      <c r="K1441" t="s">
        <v>62</v>
      </c>
      <c r="L1441" t="s">
        <v>244</v>
      </c>
      <c r="M1441" t="s">
        <v>32</v>
      </c>
      <c r="N1441" t="s">
        <v>33</v>
      </c>
      <c r="O1441" t="s">
        <v>245</v>
      </c>
      <c r="P1441">
        <v>19.135999999999999</v>
      </c>
      <c r="Q1441">
        <v>2</v>
      </c>
      <c r="R1441">
        <v>1.9136</v>
      </c>
      <c r="S1441" s="3" t="s">
        <v>53</v>
      </c>
      <c r="T1441">
        <v>2016</v>
      </c>
      <c r="U1441" t="s">
        <v>527</v>
      </c>
      <c r="V1441" s="2">
        <v>0.1</v>
      </c>
    </row>
    <row r="1442" spans="1:22" x14ac:dyDescent="0.25">
      <c r="A1442" t="s">
        <v>3618</v>
      </c>
      <c r="B1442" s="1">
        <v>42107</v>
      </c>
      <c r="C1442" s="1">
        <v>42111</v>
      </c>
      <c r="D1442" t="s">
        <v>40</v>
      </c>
      <c r="E1442" t="s">
        <v>2088</v>
      </c>
      <c r="F1442" t="s">
        <v>2089</v>
      </c>
      <c r="G1442" t="s">
        <v>26</v>
      </c>
      <c r="H1442" t="s">
        <v>27</v>
      </c>
      <c r="I1442" t="s">
        <v>28</v>
      </c>
      <c r="J1442" t="s">
        <v>29</v>
      </c>
      <c r="K1442" t="s">
        <v>30</v>
      </c>
      <c r="L1442" t="s">
        <v>865</v>
      </c>
      <c r="M1442" t="s">
        <v>32</v>
      </c>
      <c r="N1442" t="s">
        <v>33</v>
      </c>
      <c r="O1442" t="s">
        <v>866</v>
      </c>
      <c r="P1442">
        <v>479.92</v>
      </c>
      <c r="Q1442">
        <v>2</v>
      </c>
      <c r="R1442">
        <v>41.993000000000002</v>
      </c>
      <c r="S1442" s="3" t="s">
        <v>53</v>
      </c>
      <c r="T1442">
        <v>2015</v>
      </c>
      <c r="U1442" t="s">
        <v>291</v>
      </c>
      <c r="V1442" s="2">
        <v>8.7499999999999994E-2</v>
      </c>
    </row>
    <row r="1443" spans="1:22" x14ac:dyDescent="0.25">
      <c r="A1443" t="s">
        <v>3619</v>
      </c>
      <c r="B1443" s="1">
        <v>42272</v>
      </c>
      <c r="C1443" s="1">
        <v>42277</v>
      </c>
      <c r="D1443" t="s">
        <v>23</v>
      </c>
      <c r="E1443" t="s">
        <v>2317</v>
      </c>
      <c r="F1443" t="s">
        <v>2318</v>
      </c>
      <c r="G1443" t="s">
        <v>59</v>
      </c>
      <c r="H1443" t="s">
        <v>27</v>
      </c>
      <c r="I1443" t="s">
        <v>481</v>
      </c>
      <c r="J1443" t="s">
        <v>426</v>
      </c>
      <c r="K1443" t="s">
        <v>30</v>
      </c>
      <c r="L1443" t="s">
        <v>502</v>
      </c>
      <c r="M1443" t="s">
        <v>32</v>
      </c>
      <c r="N1443" t="s">
        <v>51</v>
      </c>
      <c r="O1443" t="s">
        <v>503</v>
      </c>
      <c r="P1443">
        <v>159.97999999999999</v>
      </c>
      <c r="Q1443">
        <v>2</v>
      </c>
      <c r="R1443">
        <v>57.592799999999997</v>
      </c>
      <c r="S1443" s="3" t="s">
        <v>35</v>
      </c>
      <c r="T1443">
        <v>2015</v>
      </c>
      <c r="U1443" t="s">
        <v>81</v>
      </c>
      <c r="V1443" s="2">
        <v>0.36</v>
      </c>
    </row>
    <row r="1444" spans="1:22" x14ac:dyDescent="0.25">
      <c r="A1444" t="s">
        <v>3620</v>
      </c>
      <c r="B1444" s="1">
        <v>42274</v>
      </c>
      <c r="C1444" s="1">
        <v>42279</v>
      </c>
      <c r="D1444" t="s">
        <v>23</v>
      </c>
      <c r="E1444" t="s">
        <v>1367</v>
      </c>
      <c r="F1444" t="s">
        <v>1368</v>
      </c>
      <c r="G1444" t="s">
        <v>26</v>
      </c>
      <c r="H1444" t="s">
        <v>27</v>
      </c>
      <c r="I1444" t="s">
        <v>1490</v>
      </c>
      <c r="J1444" t="s">
        <v>693</v>
      </c>
      <c r="K1444" t="s">
        <v>155</v>
      </c>
      <c r="L1444" t="s">
        <v>578</v>
      </c>
      <c r="M1444" t="s">
        <v>32</v>
      </c>
      <c r="N1444" t="s">
        <v>33</v>
      </c>
      <c r="O1444" t="s">
        <v>579</v>
      </c>
      <c r="P1444">
        <v>1871.88</v>
      </c>
      <c r="Q1444">
        <v>12</v>
      </c>
      <c r="R1444">
        <v>561.56399999999996</v>
      </c>
      <c r="S1444" s="3" t="s">
        <v>35</v>
      </c>
      <c r="T1444">
        <v>2015</v>
      </c>
      <c r="U1444" t="s">
        <v>81</v>
      </c>
      <c r="V1444" s="2">
        <v>0.3</v>
      </c>
    </row>
    <row r="1445" spans="1:22" x14ac:dyDescent="0.25">
      <c r="A1445" t="s">
        <v>3621</v>
      </c>
      <c r="B1445" s="1">
        <v>43076</v>
      </c>
      <c r="C1445" s="1">
        <v>43081</v>
      </c>
      <c r="D1445" t="s">
        <v>23</v>
      </c>
      <c r="E1445" t="s">
        <v>24</v>
      </c>
      <c r="F1445" t="s">
        <v>25</v>
      </c>
      <c r="G1445" t="s">
        <v>26</v>
      </c>
      <c r="H1445" t="s">
        <v>27</v>
      </c>
      <c r="I1445" t="s">
        <v>2676</v>
      </c>
      <c r="J1445" t="s">
        <v>688</v>
      </c>
      <c r="K1445" t="s">
        <v>155</v>
      </c>
      <c r="L1445" t="s">
        <v>263</v>
      </c>
      <c r="M1445" t="s">
        <v>32</v>
      </c>
      <c r="N1445" t="s">
        <v>51</v>
      </c>
      <c r="O1445" t="s">
        <v>264</v>
      </c>
      <c r="P1445">
        <v>52</v>
      </c>
      <c r="Q1445">
        <v>4</v>
      </c>
      <c r="R1445">
        <v>23.4</v>
      </c>
      <c r="S1445" s="3" t="s">
        <v>35</v>
      </c>
      <c r="T1445">
        <v>2017</v>
      </c>
      <c r="U1445" t="s">
        <v>66</v>
      </c>
      <c r="V1445" s="2">
        <v>0.45</v>
      </c>
    </row>
    <row r="1446" spans="1:22" x14ac:dyDescent="0.25">
      <c r="A1446" t="s">
        <v>3622</v>
      </c>
      <c r="B1446" s="1">
        <v>41789</v>
      </c>
      <c r="C1446" s="1">
        <v>41791</v>
      </c>
      <c r="D1446" t="s">
        <v>56</v>
      </c>
      <c r="E1446" t="s">
        <v>1127</v>
      </c>
      <c r="F1446" t="s">
        <v>1128</v>
      </c>
      <c r="G1446" t="s">
        <v>59</v>
      </c>
      <c r="H1446" t="s">
        <v>27</v>
      </c>
      <c r="I1446" t="s">
        <v>103</v>
      </c>
      <c r="J1446" t="s">
        <v>104</v>
      </c>
      <c r="K1446" t="s">
        <v>95</v>
      </c>
      <c r="L1446" t="s">
        <v>1111</v>
      </c>
      <c r="M1446" t="s">
        <v>32</v>
      </c>
      <c r="N1446" t="s">
        <v>33</v>
      </c>
      <c r="O1446" t="s">
        <v>1112</v>
      </c>
      <c r="P1446">
        <v>464</v>
      </c>
      <c r="Q1446">
        <v>5</v>
      </c>
      <c r="R1446">
        <v>134.56</v>
      </c>
      <c r="S1446" s="3" t="s">
        <v>65</v>
      </c>
      <c r="T1446">
        <v>2014</v>
      </c>
      <c r="U1446" t="s">
        <v>527</v>
      </c>
      <c r="V1446" s="2">
        <v>0.28999999999999998</v>
      </c>
    </row>
    <row r="1447" spans="1:22" x14ac:dyDescent="0.25">
      <c r="A1447" t="s">
        <v>3623</v>
      </c>
      <c r="B1447" s="1">
        <v>42289</v>
      </c>
      <c r="C1447" s="1">
        <v>42294</v>
      </c>
      <c r="D1447" t="s">
        <v>23</v>
      </c>
      <c r="E1447" t="s">
        <v>3624</v>
      </c>
      <c r="F1447" t="s">
        <v>3625</v>
      </c>
      <c r="G1447" t="s">
        <v>26</v>
      </c>
      <c r="H1447" t="s">
        <v>27</v>
      </c>
      <c r="I1447" t="s">
        <v>481</v>
      </c>
      <c r="J1447" t="s">
        <v>426</v>
      </c>
      <c r="K1447" t="s">
        <v>30</v>
      </c>
      <c r="L1447" t="s">
        <v>1264</v>
      </c>
      <c r="M1447" t="s">
        <v>32</v>
      </c>
      <c r="N1447" t="s">
        <v>51</v>
      </c>
      <c r="O1447" t="s">
        <v>1265</v>
      </c>
      <c r="P1447">
        <v>17.899999999999999</v>
      </c>
      <c r="Q1447">
        <v>2</v>
      </c>
      <c r="R1447">
        <v>3.4009999999999998</v>
      </c>
      <c r="S1447" s="3" t="s">
        <v>35</v>
      </c>
      <c r="T1447">
        <v>2015</v>
      </c>
      <c r="U1447" t="s">
        <v>133</v>
      </c>
      <c r="V1447" s="2">
        <v>0.19</v>
      </c>
    </row>
    <row r="1448" spans="1:22" x14ac:dyDescent="0.25">
      <c r="A1448" t="s">
        <v>3626</v>
      </c>
      <c r="B1448" s="1">
        <v>42919</v>
      </c>
      <c r="C1448" s="1">
        <v>42925</v>
      </c>
      <c r="D1448" t="s">
        <v>23</v>
      </c>
      <c r="E1448" t="s">
        <v>1959</v>
      </c>
      <c r="F1448" t="s">
        <v>1960</v>
      </c>
      <c r="G1448" t="s">
        <v>26</v>
      </c>
      <c r="H1448" t="s">
        <v>27</v>
      </c>
      <c r="I1448" t="s">
        <v>460</v>
      </c>
      <c r="J1448" t="s">
        <v>154</v>
      </c>
      <c r="K1448" t="s">
        <v>155</v>
      </c>
      <c r="L1448" t="s">
        <v>96</v>
      </c>
      <c r="M1448" t="s">
        <v>32</v>
      </c>
      <c r="N1448" t="s">
        <v>51</v>
      </c>
      <c r="O1448" t="s">
        <v>97</v>
      </c>
      <c r="P1448">
        <v>24</v>
      </c>
      <c r="Q1448">
        <v>2</v>
      </c>
      <c r="R1448">
        <v>-2.7</v>
      </c>
      <c r="S1448" s="3" t="s">
        <v>107</v>
      </c>
      <c r="T1448">
        <v>2017</v>
      </c>
      <c r="U1448" t="s">
        <v>332</v>
      </c>
      <c r="V1448" s="2">
        <v>-0.1125</v>
      </c>
    </row>
    <row r="1449" spans="1:22" x14ac:dyDescent="0.25">
      <c r="A1449" t="s">
        <v>3627</v>
      </c>
      <c r="B1449" s="1">
        <v>43072</v>
      </c>
      <c r="C1449" s="1">
        <v>43075</v>
      </c>
      <c r="D1449" t="s">
        <v>40</v>
      </c>
      <c r="E1449" t="s">
        <v>144</v>
      </c>
      <c r="F1449" t="s">
        <v>145</v>
      </c>
      <c r="G1449" t="s">
        <v>26</v>
      </c>
      <c r="H1449" t="s">
        <v>27</v>
      </c>
      <c r="I1449" t="s">
        <v>2419</v>
      </c>
      <c r="J1449" t="s">
        <v>147</v>
      </c>
      <c r="K1449" t="s">
        <v>30</v>
      </c>
      <c r="L1449" t="s">
        <v>1364</v>
      </c>
      <c r="M1449" t="s">
        <v>32</v>
      </c>
      <c r="N1449" t="s">
        <v>51</v>
      </c>
      <c r="O1449" t="s">
        <v>1365</v>
      </c>
      <c r="P1449">
        <v>76.751999999999995</v>
      </c>
      <c r="Q1449">
        <v>6</v>
      </c>
      <c r="R1449">
        <v>10.5534</v>
      </c>
      <c r="S1449" s="3" t="s">
        <v>172</v>
      </c>
      <c r="T1449">
        <v>2017</v>
      </c>
      <c r="U1449" t="s">
        <v>66</v>
      </c>
      <c r="V1449" s="2">
        <v>0.13750000000000001</v>
      </c>
    </row>
    <row r="1450" spans="1:22" x14ac:dyDescent="0.25">
      <c r="A1450" t="s">
        <v>3627</v>
      </c>
      <c r="B1450" s="1">
        <v>43072</v>
      </c>
      <c r="C1450" s="1">
        <v>43075</v>
      </c>
      <c r="D1450" t="s">
        <v>40</v>
      </c>
      <c r="E1450" t="s">
        <v>144</v>
      </c>
      <c r="F1450" t="s">
        <v>145</v>
      </c>
      <c r="G1450" t="s">
        <v>26</v>
      </c>
      <c r="H1450" t="s">
        <v>27</v>
      </c>
      <c r="I1450" t="s">
        <v>2419</v>
      </c>
      <c r="J1450" t="s">
        <v>147</v>
      </c>
      <c r="K1450" t="s">
        <v>30</v>
      </c>
      <c r="L1450" t="s">
        <v>1364</v>
      </c>
      <c r="M1450" t="s">
        <v>32</v>
      </c>
      <c r="N1450" t="s">
        <v>51</v>
      </c>
      <c r="O1450" t="s">
        <v>1365</v>
      </c>
      <c r="P1450">
        <v>102.336</v>
      </c>
      <c r="Q1450">
        <v>8</v>
      </c>
      <c r="R1450">
        <v>14.071199999999999</v>
      </c>
      <c r="S1450" s="3" t="s">
        <v>172</v>
      </c>
      <c r="T1450">
        <v>2017</v>
      </c>
      <c r="U1450" t="s">
        <v>66</v>
      </c>
      <c r="V1450" s="2">
        <v>0.13750000000000001</v>
      </c>
    </row>
    <row r="1451" spans="1:22" x14ac:dyDescent="0.25">
      <c r="A1451" t="s">
        <v>3628</v>
      </c>
      <c r="B1451" s="1">
        <v>42729</v>
      </c>
      <c r="C1451" s="1">
        <v>42733</v>
      </c>
      <c r="D1451" t="s">
        <v>23</v>
      </c>
      <c r="E1451" t="s">
        <v>3629</v>
      </c>
      <c r="F1451" t="s">
        <v>3630</v>
      </c>
      <c r="G1451" t="s">
        <v>26</v>
      </c>
      <c r="H1451" t="s">
        <v>27</v>
      </c>
      <c r="I1451" t="s">
        <v>2269</v>
      </c>
      <c r="J1451" t="s">
        <v>1011</v>
      </c>
      <c r="K1451" t="s">
        <v>155</v>
      </c>
      <c r="L1451" t="s">
        <v>788</v>
      </c>
      <c r="M1451" t="s">
        <v>32</v>
      </c>
      <c r="N1451" t="s">
        <v>51</v>
      </c>
      <c r="O1451" t="s">
        <v>789</v>
      </c>
      <c r="P1451">
        <v>399.98</v>
      </c>
      <c r="Q1451">
        <v>2</v>
      </c>
      <c r="R1451">
        <v>171.9914</v>
      </c>
      <c r="S1451" s="3" t="s">
        <v>53</v>
      </c>
      <c r="T1451">
        <v>2016</v>
      </c>
      <c r="U1451" t="s">
        <v>66</v>
      </c>
      <c r="V1451" s="2">
        <v>0.43</v>
      </c>
    </row>
    <row r="1452" spans="1:22" x14ac:dyDescent="0.25">
      <c r="A1452" t="s">
        <v>3631</v>
      </c>
      <c r="B1452" s="1">
        <v>42960</v>
      </c>
      <c r="C1452" s="1">
        <v>42965</v>
      </c>
      <c r="D1452" t="s">
        <v>23</v>
      </c>
      <c r="E1452" t="s">
        <v>3632</v>
      </c>
      <c r="F1452" t="s">
        <v>3633</v>
      </c>
      <c r="G1452" t="s">
        <v>26</v>
      </c>
      <c r="H1452" t="s">
        <v>27</v>
      </c>
      <c r="I1452" t="s">
        <v>3634</v>
      </c>
      <c r="J1452" t="s">
        <v>2319</v>
      </c>
      <c r="K1452" t="s">
        <v>155</v>
      </c>
      <c r="L1452" t="s">
        <v>1956</v>
      </c>
      <c r="M1452" t="s">
        <v>32</v>
      </c>
      <c r="N1452" t="s">
        <v>51</v>
      </c>
      <c r="O1452" t="s">
        <v>1957</v>
      </c>
      <c r="P1452">
        <v>1.5840000000000001</v>
      </c>
      <c r="Q1452">
        <v>2</v>
      </c>
      <c r="R1452">
        <v>0.47520000000000001</v>
      </c>
      <c r="S1452" s="3" t="s">
        <v>35</v>
      </c>
      <c r="T1452">
        <v>2017</v>
      </c>
      <c r="U1452" t="s">
        <v>46</v>
      </c>
      <c r="V1452" s="2">
        <v>0.3</v>
      </c>
    </row>
    <row r="1453" spans="1:22" x14ac:dyDescent="0.25">
      <c r="A1453" t="s">
        <v>3635</v>
      </c>
      <c r="B1453" s="1">
        <v>42903</v>
      </c>
      <c r="C1453" s="1">
        <v>42907</v>
      </c>
      <c r="D1453" t="s">
        <v>23</v>
      </c>
      <c r="E1453" t="s">
        <v>3636</v>
      </c>
      <c r="F1453" t="s">
        <v>3637</v>
      </c>
      <c r="G1453" t="s">
        <v>70</v>
      </c>
      <c r="H1453" t="s">
        <v>27</v>
      </c>
      <c r="I1453" t="s">
        <v>103</v>
      </c>
      <c r="J1453" t="s">
        <v>104</v>
      </c>
      <c r="K1453" t="s">
        <v>95</v>
      </c>
      <c r="L1453" t="s">
        <v>3638</v>
      </c>
      <c r="M1453" t="s">
        <v>32</v>
      </c>
      <c r="N1453" t="s">
        <v>215</v>
      </c>
      <c r="O1453" t="s">
        <v>3639</v>
      </c>
      <c r="P1453">
        <v>3404.5</v>
      </c>
      <c r="Q1453">
        <v>5</v>
      </c>
      <c r="R1453">
        <v>1668.2049999999999</v>
      </c>
      <c r="S1453" s="3" t="s">
        <v>53</v>
      </c>
      <c r="T1453">
        <v>2017</v>
      </c>
      <c r="U1453" t="s">
        <v>36</v>
      </c>
      <c r="V1453" s="2">
        <v>0.49</v>
      </c>
    </row>
    <row r="1454" spans="1:22" x14ac:dyDescent="0.25">
      <c r="A1454" t="s">
        <v>3635</v>
      </c>
      <c r="B1454" s="1">
        <v>42903</v>
      </c>
      <c r="C1454" s="1">
        <v>42907</v>
      </c>
      <c r="D1454" t="s">
        <v>23</v>
      </c>
      <c r="E1454" t="s">
        <v>3636</v>
      </c>
      <c r="F1454" t="s">
        <v>3637</v>
      </c>
      <c r="G1454" t="s">
        <v>70</v>
      </c>
      <c r="H1454" t="s">
        <v>27</v>
      </c>
      <c r="I1454" t="s">
        <v>103</v>
      </c>
      <c r="J1454" t="s">
        <v>104</v>
      </c>
      <c r="K1454" t="s">
        <v>95</v>
      </c>
      <c r="L1454" t="s">
        <v>2941</v>
      </c>
      <c r="M1454" t="s">
        <v>32</v>
      </c>
      <c r="N1454" t="s">
        <v>51</v>
      </c>
      <c r="O1454" t="s">
        <v>2942</v>
      </c>
      <c r="P1454">
        <v>101.34</v>
      </c>
      <c r="Q1454">
        <v>3</v>
      </c>
      <c r="R1454">
        <v>8.1072000000000006</v>
      </c>
      <c r="S1454" s="3" t="s">
        <v>53</v>
      </c>
      <c r="T1454">
        <v>2017</v>
      </c>
      <c r="U1454" t="s">
        <v>36</v>
      </c>
      <c r="V1454" s="2">
        <v>0.08</v>
      </c>
    </row>
    <row r="1455" spans="1:22" x14ac:dyDescent="0.25">
      <c r="A1455" t="s">
        <v>3640</v>
      </c>
      <c r="B1455" s="1">
        <v>42993</v>
      </c>
      <c r="C1455" s="1">
        <v>42999</v>
      </c>
      <c r="D1455" t="s">
        <v>23</v>
      </c>
      <c r="E1455" t="s">
        <v>2003</v>
      </c>
      <c r="F1455" t="s">
        <v>2004</v>
      </c>
      <c r="G1455" t="s">
        <v>70</v>
      </c>
      <c r="H1455" t="s">
        <v>27</v>
      </c>
      <c r="I1455" t="s">
        <v>3231</v>
      </c>
      <c r="J1455" t="s">
        <v>1451</v>
      </c>
      <c r="K1455" t="s">
        <v>95</v>
      </c>
      <c r="L1455" t="s">
        <v>2452</v>
      </c>
      <c r="M1455" t="s">
        <v>32</v>
      </c>
      <c r="N1455" t="s">
        <v>51</v>
      </c>
      <c r="O1455" t="s">
        <v>2453</v>
      </c>
      <c r="P1455">
        <v>59.98</v>
      </c>
      <c r="Q1455">
        <v>2</v>
      </c>
      <c r="R1455">
        <v>10.7964</v>
      </c>
      <c r="S1455" s="3" t="s">
        <v>107</v>
      </c>
      <c r="T1455">
        <v>2017</v>
      </c>
      <c r="U1455" t="s">
        <v>81</v>
      </c>
      <c r="V1455" s="2">
        <v>0.18</v>
      </c>
    </row>
    <row r="1456" spans="1:22" x14ac:dyDescent="0.25">
      <c r="A1456" t="s">
        <v>3641</v>
      </c>
      <c r="B1456" s="1">
        <v>43002</v>
      </c>
      <c r="C1456" s="1">
        <v>43007</v>
      </c>
      <c r="D1456" t="s">
        <v>23</v>
      </c>
      <c r="E1456" t="s">
        <v>1171</v>
      </c>
      <c r="F1456" t="s">
        <v>1172</v>
      </c>
      <c r="G1456" t="s">
        <v>70</v>
      </c>
      <c r="H1456" t="s">
        <v>27</v>
      </c>
      <c r="I1456" t="s">
        <v>3642</v>
      </c>
      <c r="J1456" t="s">
        <v>288</v>
      </c>
      <c r="K1456" t="s">
        <v>155</v>
      </c>
      <c r="L1456" t="s">
        <v>2077</v>
      </c>
      <c r="M1456" t="s">
        <v>32</v>
      </c>
      <c r="N1456" t="s">
        <v>33</v>
      </c>
      <c r="O1456" t="s">
        <v>2078</v>
      </c>
      <c r="P1456">
        <v>383.96</v>
      </c>
      <c r="Q1456">
        <v>5</v>
      </c>
      <c r="R1456">
        <v>38.396000000000001</v>
      </c>
      <c r="S1456" s="3" t="s">
        <v>35</v>
      </c>
      <c r="T1456">
        <v>2017</v>
      </c>
      <c r="U1456" t="s">
        <v>81</v>
      </c>
      <c r="V1456" s="2">
        <v>0.1</v>
      </c>
    </row>
    <row r="1457" spans="1:22" x14ac:dyDescent="0.25">
      <c r="A1457" t="s">
        <v>3643</v>
      </c>
      <c r="B1457" s="1">
        <v>43059</v>
      </c>
      <c r="C1457" s="1">
        <v>43063</v>
      </c>
      <c r="D1457" t="s">
        <v>40</v>
      </c>
      <c r="E1457" t="s">
        <v>3424</v>
      </c>
      <c r="F1457" t="s">
        <v>3425</v>
      </c>
      <c r="G1457" t="s">
        <v>59</v>
      </c>
      <c r="H1457" t="s">
        <v>27</v>
      </c>
      <c r="I1457" t="s">
        <v>103</v>
      </c>
      <c r="J1457" t="s">
        <v>104</v>
      </c>
      <c r="K1457" t="s">
        <v>95</v>
      </c>
      <c r="L1457" t="s">
        <v>1965</v>
      </c>
      <c r="M1457" t="s">
        <v>32</v>
      </c>
      <c r="N1457" t="s">
        <v>51</v>
      </c>
      <c r="O1457" t="s">
        <v>1966</v>
      </c>
      <c r="P1457">
        <v>2.97</v>
      </c>
      <c r="Q1457">
        <v>3</v>
      </c>
      <c r="R1457">
        <v>1.3365</v>
      </c>
      <c r="S1457" s="3" t="s">
        <v>53</v>
      </c>
      <c r="T1457">
        <v>2017</v>
      </c>
      <c r="U1457" t="s">
        <v>118</v>
      </c>
      <c r="V1457" s="2">
        <v>0.45</v>
      </c>
    </row>
    <row r="1458" spans="1:22" x14ac:dyDescent="0.25">
      <c r="A1458" t="s">
        <v>3643</v>
      </c>
      <c r="B1458" s="1">
        <v>43059</v>
      </c>
      <c r="C1458" s="1">
        <v>43063</v>
      </c>
      <c r="D1458" t="s">
        <v>40</v>
      </c>
      <c r="E1458" t="s">
        <v>3424</v>
      </c>
      <c r="F1458" t="s">
        <v>3425</v>
      </c>
      <c r="G1458" t="s">
        <v>59</v>
      </c>
      <c r="H1458" t="s">
        <v>27</v>
      </c>
      <c r="I1458" t="s">
        <v>103</v>
      </c>
      <c r="J1458" t="s">
        <v>104</v>
      </c>
      <c r="K1458" t="s">
        <v>95</v>
      </c>
      <c r="L1458" t="s">
        <v>512</v>
      </c>
      <c r="M1458" t="s">
        <v>32</v>
      </c>
      <c r="N1458" t="s">
        <v>33</v>
      </c>
      <c r="O1458" t="s">
        <v>513</v>
      </c>
      <c r="P1458">
        <v>569.99</v>
      </c>
      <c r="Q1458">
        <v>1</v>
      </c>
      <c r="R1458">
        <v>170.99700000000001</v>
      </c>
      <c r="S1458" s="3" t="s">
        <v>53</v>
      </c>
      <c r="T1458">
        <v>2017</v>
      </c>
      <c r="U1458" t="s">
        <v>118</v>
      </c>
      <c r="V1458" s="2">
        <v>0.3</v>
      </c>
    </row>
    <row r="1459" spans="1:22" x14ac:dyDescent="0.25">
      <c r="A1459" t="s">
        <v>3644</v>
      </c>
      <c r="B1459" s="1">
        <v>42964</v>
      </c>
      <c r="C1459" s="1">
        <v>42971</v>
      </c>
      <c r="D1459" t="s">
        <v>23</v>
      </c>
      <c r="E1459" t="s">
        <v>1189</v>
      </c>
      <c r="F1459" t="s">
        <v>1190</v>
      </c>
      <c r="G1459" t="s">
        <v>59</v>
      </c>
      <c r="H1459" t="s">
        <v>27</v>
      </c>
      <c r="I1459" t="s">
        <v>324</v>
      </c>
      <c r="J1459" t="s">
        <v>29</v>
      </c>
      <c r="K1459" t="s">
        <v>30</v>
      </c>
      <c r="L1459" t="s">
        <v>1202</v>
      </c>
      <c r="M1459" t="s">
        <v>32</v>
      </c>
      <c r="N1459" t="s">
        <v>33</v>
      </c>
      <c r="O1459" t="s">
        <v>1203</v>
      </c>
      <c r="P1459">
        <v>71.975999999999999</v>
      </c>
      <c r="Q1459">
        <v>3</v>
      </c>
      <c r="R1459">
        <v>8.9969999999999999</v>
      </c>
      <c r="S1459" s="3" t="s">
        <v>132</v>
      </c>
      <c r="T1459">
        <v>2017</v>
      </c>
      <c r="U1459" t="s">
        <v>46</v>
      </c>
      <c r="V1459" s="2">
        <v>0.125</v>
      </c>
    </row>
    <row r="1460" spans="1:22" x14ac:dyDescent="0.25">
      <c r="A1460" t="s">
        <v>3645</v>
      </c>
      <c r="B1460" s="1">
        <v>42327</v>
      </c>
      <c r="C1460" s="1">
        <v>42332</v>
      </c>
      <c r="D1460" t="s">
        <v>23</v>
      </c>
      <c r="E1460" t="s">
        <v>1220</v>
      </c>
      <c r="F1460" t="s">
        <v>1221</v>
      </c>
      <c r="G1460" t="s">
        <v>26</v>
      </c>
      <c r="H1460" t="s">
        <v>27</v>
      </c>
      <c r="I1460" t="s">
        <v>103</v>
      </c>
      <c r="J1460" t="s">
        <v>104</v>
      </c>
      <c r="K1460" t="s">
        <v>95</v>
      </c>
      <c r="L1460" t="s">
        <v>1060</v>
      </c>
      <c r="M1460" t="s">
        <v>32</v>
      </c>
      <c r="N1460" t="s">
        <v>33</v>
      </c>
      <c r="O1460" t="s">
        <v>2090</v>
      </c>
      <c r="P1460">
        <v>861.76</v>
      </c>
      <c r="Q1460">
        <v>4</v>
      </c>
      <c r="R1460">
        <v>249.91040000000001</v>
      </c>
      <c r="S1460" s="3" t="s">
        <v>35</v>
      </c>
      <c r="T1460">
        <v>2015</v>
      </c>
      <c r="U1460" t="s">
        <v>118</v>
      </c>
      <c r="V1460" s="2">
        <v>0.28999999999999998</v>
      </c>
    </row>
    <row r="1461" spans="1:22" x14ac:dyDescent="0.25">
      <c r="A1461" t="s">
        <v>3646</v>
      </c>
      <c r="B1461" s="1">
        <v>43013</v>
      </c>
      <c r="C1461" s="1">
        <v>43018</v>
      </c>
      <c r="D1461" t="s">
        <v>23</v>
      </c>
      <c r="E1461" t="s">
        <v>1391</v>
      </c>
      <c r="F1461" t="s">
        <v>1392</v>
      </c>
      <c r="G1461" t="s">
        <v>59</v>
      </c>
      <c r="H1461" t="s">
        <v>27</v>
      </c>
      <c r="I1461" t="s">
        <v>3647</v>
      </c>
      <c r="J1461" t="s">
        <v>29</v>
      </c>
      <c r="K1461" t="s">
        <v>30</v>
      </c>
      <c r="L1461" t="s">
        <v>386</v>
      </c>
      <c r="M1461" t="s">
        <v>32</v>
      </c>
      <c r="N1461" t="s">
        <v>33</v>
      </c>
      <c r="O1461" t="s">
        <v>387</v>
      </c>
      <c r="P1461">
        <v>7.992</v>
      </c>
      <c r="Q1461">
        <v>1</v>
      </c>
      <c r="R1461">
        <v>2.6972999999999998</v>
      </c>
      <c r="S1461" s="3" t="s">
        <v>35</v>
      </c>
      <c r="T1461">
        <v>2017</v>
      </c>
      <c r="U1461" t="s">
        <v>133</v>
      </c>
      <c r="V1461" s="2">
        <v>0.33750000000000002</v>
      </c>
    </row>
    <row r="1462" spans="1:22" x14ac:dyDescent="0.25">
      <c r="A1462" t="s">
        <v>3648</v>
      </c>
      <c r="B1462" s="1">
        <v>42653</v>
      </c>
      <c r="C1462" s="1">
        <v>42655</v>
      </c>
      <c r="D1462" t="s">
        <v>56</v>
      </c>
      <c r="E1462" t="s">
        <v>2248</v>
      </c>
      <c r="F1462" t="s">
        <v>2249</v>
      </c>
      <c r="G1462" t="s">
        <v>59</v>
      </c>
      <c r="H1462" t="s">
        <v>27</v>
      </c>
      <c r="I1462" t="s">
        <v>588</v>
      </c>
      <c r="J1462" t="s">
        <v>147</v>
      </c>
      <c r="K1462" t="s">
        <v>30</v>
      </c>
      <c r="L1462" t="s">
        <v>2915</v>
      </c>
      <c r="M1462" t="s">
        <v>32</v>
      </c>
      <c r="N1462" t="s">
        <v>33</v>
      </c>
      <c r="O1462" t="s">
        <v>2916</v>
      </c>
      <c r="P1462">
        <v>15.992000000000001</v>
      </c>
      <c r="Q1462">
        <v>1</v>
      </c>
      <c r="R1462">
        <v>-2.9984999999999999</v>
      </c>
      <c r="S1462" s="3" t="s">
        <v>65</v>
      </c>
      <c r="T1462">
        <v>2016</v>
      </c>
      <c r="U1462" t="s">
        <v>133</v>
      </c>
      <c r="V1462" s="2">
        <v>-0.1875</v>
      </c>
    </row>
    <row r="1463" spans="1:22" x14ac:dyDescent="0.25">
      <c r="A1463" t="s">
        <v>3649</v>
      </c>
      <c r="B1463" s="1">
        <v>42232</v>
      </c>
      <c r="C1463" s="1">
        <v>42236</v>
      </c>
      <c r="D1463" t="s">
        <v>23</v>
      </c>
      <c r="E1463" t="s">
        <v>2439</v>
      </c>
      <c r="F1463" t="s">
        <v>2440</v>
      </c>
      <c r="G1463" t="s">
        <v>59</v>
      </c>
      <c r="H1463" t="s">
        <v>27</v>
      </c>
      <c r="I1463" t="s">
        <v>206</v>
      </c>
      <c r="J1463" t="s">
        <v>207</v>
      </c>
      <c r="K1463" t="s">
        <v>95</v>
      </c>
      <c r="L1463" t="s">
        <v>1231</v>
      </c>
      <c r="M1463" t="s">
        <v>32</v>
      </c>
      <c r="N1463" t="s">
        <v>33</v>
      </c>
      <c r="O1463" t="s">
        <v>1232</v>
      </c>
      <c r="P1463">
        <v>519.79200000000003</v>
      </c>
      <c r="Q1463">
        <v>4</v>
      </c>
      <c r="R1463">
        <v>-112.6216</v>
      </c>
      <c r="S1463" s="3" t="s">
        <v>53</v>
      </c>
      <c r="T1463">
        <v>2015</v>
      </c>
      <c r="U1463" t="s">
        <v>46</v>
      </c>
      <c r="V1463" s="2">
        <v>-0.21666666666666701</v>
      </c>
    </row>
    <row r="1464" spans="1:22" x14ac:dyDescent="0.25">
      <c r="A1464" t="s">
        <v>3649</v>
      </c>
      <c r="B1464" s="1">
        <v>42232</v>
      </c>
      <c r="C1464" s="1">
        <v>42236</v>
      </c>
      <c r="D1464" t="s">
        <v>23</v>
      </c>
      <c r="E1464" t="s">
        <v>2439</v>
      </c>
      <c r="F1464" t="s">
        <v>2440</v>
      </c>
      <c r="G1464" t="s">
        <v>59</v>
      </c>
      <c r="H1464" t="s">
        <v>27</v>
      </c>
      <c r="I1464" t="s">
        <v>206</v>
      </c>
      <c r="J1464" t="s">
        <v>207</v>
      </c>
      <c r="K1464" t="s">
        <v>95</v>
      </c>
      <c r="L1464" t="s">
        <v>1939</v>
      </c>
      <c r="M1464" t="s">
        <v>32</v>
      </c>
      <c r="N1464" t="s">
        <v>51</v>
      </c>
      <c r="O1464" t="s">
        <v>1940</v>
      </c>
      <c r="P1464">
        <v>31.175999999999998</v>
      </c>
      <c r="Q1464">
        <v>3</v>
      </c>
      <c r="R1464">
        <v>-5.4558</v>
      </c>
      <c r="S1464" s="3" t="s">
        <v>53</v>
      </c>
      <c r="T1464">
        <v>2015</v>
      </c>
      <c r="U1464" t="s">
        <v>46</v>
      </c>
      <c r="V1464" s="2">
        <v>-0.17499999999999999</v>
      </c>
    </row>
    <row r="1465" spans="1:22" x14ac:dyDescent="0.25">
      <c r="A1465" t="s">
        <v>3650</v>
      </c>
      <c r="B1465" s="1">
        <v>41790</v>
      </c>
      <c r="C1465" s="1">
        <v>41795</v>
      </c>
      <c r="D1465" t="s">
        <v>23</v>
      </c>
      <c r="E1465" t="s">
        <v>3487</v>
      </c>
      <c r="F1465" t="s">
        <v>3488</v>
      </c>
      <c r="G1465" t="s">
        <v>26</v>
      </c>
      <c r="H1465" t="s">
        <v>27</v>
      </c>
      <c r="I1465" t="s">
        <v>687</v>
      </c>
      <c r="J1465" t="s">
        <v>688</v>
      </c>
      <c r="K1465" t="s">
        <v>155</v>
      </c>
      <c r="L1465" t="s">
        <v>487</v>
      </c>
      <c r="M1465" t="s">
        <v>32</v>
      </c>
      <c r="N1465" t="s">
        <v>33</v>
      </c>
      <c r="O1465" t="s">
        <v>488</v>
      </c>
      <c r="P1465">
        <v>659.97</v>
      </c>
      <c r="Q1465">
        <v>3</v>
      </c>
      <c r="R1465">
        <v>197.99100000000001</v>
      </c>
      <c r="S1465" s="3" t="s">
        <v>35</v>
      </c>
      <c r="T1465">
        <v>2014</v>
      </c>
      <c r="U1465" t="s">
        <v>527</v>
      </c>
      <c r="V1465" s="2">
        <v>0.3</v>
      </c>
    </row>
    <row r="1466" spans="1:22" x14ac:dyDescent="0.25">
      <c r="A1466" t="s">
        <v>3650</v>
      </c>
      <c r="B1466" s="1">
        <v>41790</v>
      </c>
      <c r="C1466" s="1">
        <v>41795</v>
      </c>
      <c r="D1466" t="s">
        <v>23</v>
      </c>
      <c r="E1466" t="s">
        <v>3487</v>
      </c>
      <c r="F1466" t="s">
        <v>3488</v>
      </c>
      <c r="G1466" t="s">
        <v>26</v>
      </c>
      <c r="H1466" t="s">
        <v>27</v>
      </c>
      <c r="I1466" t="s">
        <v>687</v>
      </c>
      <c r="J1466" t="s">
        <v>688</v>
      </c>
      <c r="K1466" t="s">
        <v>155</v>
      </c>
      <c r="L1466" t="s">
        <v>631</v>
      </c>
      <c r="M1466" t="s">
        <v>32</v>
      </c>
      <c r="N1466" t="s">
        <v>33</v>
      </c>
      <c r="O1466" t="s">
        <v>632</v>
      </c>
      <c r="P1466">
        <v>113.73</v>
      </c>
      <c r="Q1466">
        <v>3</v>
      </c>
      <c r="R1466">
        <v>32.981699999999996</v>
      </c>
      <c r="S1466" s="3" t="s">
        <v>35</v>
      </c>
      <c r="T1466">
        <v>2014</v>
      </c>
      <c r="U1466" t="s">
        <v>527</v>
      </c>
      <c r="V1466" s="2">
        <v>0.28999999999999998</v>
      </c>
    </row>
    <row r="1467" spans="1:22" x14ac:dyDescent="0.25">
      <c r="A1467" t="s">
        <v>3651</v>
      </c>
      <c r="B1467" s="1">
        <v>42571</v>
      </c>
      <c r="C1467" s="1">
        <v>42574</v>
      </c>
      <c r="D1467" t="s">
        <v>40</v>
      </c>
      <c r="E1467" t="s">
        <v>785</v>
      </c>
      <c r="F1467" t="s">
        <v>786</v>
      </c>
      <c r="G1467" t="s">
        <v>26</v>
      </c>
      <c r="H1467" t="s">
        <v>27</v>
      </c>
      <c r="I1467" t="s">
        <v>1256</v>
      </c>
      <c r="J1467" t="s">
        <v>104</v>
      </c>
      <c r="K1467" t="s">
        <v>95</v>
      </c>
      <c r="L1467" t="s">
        <v>998</v>
      </c>
      <c r="M1467" t="s">
        <v>32</v>
      </c>
      <c r="N1467" t="s">
        <v>33</v>
      </c>
      <c r="O1467" t="s">
        <v>999</v>
      </c>
      <c r="P1467">
        <v>89.95</v>
      </c>
      <c r="Q1467">
        <v>5</v>
      </c>
      <c r="R1467">
        <v>43.176000000000002</v>
      </c>
      <c r="S1467" s="3" t="s">
        <v>172</v>
      </c>
      <c r="T1467">
        <v>2016</v>
      </c>
      <c r="U1467" t="s">
        <v>332</v>
      </c>
      <c r="V1467" s="2">
        <v>0.48</v>
      </c>
    </row>
    <row r="1468" spans="1:22" x14ac:dyDescent="0.25">
      <c r="A1468" t="s">
        <v>3652</v>
      </c>
      <c r="B1468" s="1">
        <v>42605</v>
      </c>
      <c r="C1468" s="1">
        <v>42611</v>
      </c>
      <c r="D1468" t="s">
        <v>23</v>
      </c>
      <c r="E1468" t="s">
        <v>2160</v>
      </c>
      <c r="F1468" t="s">
        <v>2161</v>
      </c>
      <c r="G1468" t="s">
        <v>70</v>
      </c>
      <c r="H1468" t="s">
        <v>27</v>
      </c>
      <c r="I1468" t="s">
        <v>3653</v>
      </c>
      <c r="J1468" t="s">
        <v>185</v>
      </c>
      <c r="K1468" t="s">
        <v>62</v>
      </c>
      <c r="L1468" t="s">
        <v>1965</v>
      </c>
      <c r="M1468" t="s">
        <v>32</v>
      </c>
      <c r="N1468" t="s">
        <v>51</v>
      </c>
      <c r="O1468" t="s">
        <v>1966</v>
      </c>
      <c r="P1468">
        <v>1.98</v>
      </c>
      <c r="Q1468">
        <v>2</v>
      </c>
      <c r="R1468">
        <v>0.89100000000000001</v>
      </c>
      <c r="S1468" s="3" t="s">
        <v>107</v>
      </c>
      <c r="T1468">
        <v>2016</v>
      </c>
      <c r="U1468" t="s">
        <v>46</v>
      </c>
      <c r="V1468" s="2">
        <v>0.45</v>
      </c>
    </row>
    <row r="1469" spans="1:22" x14ac:dyDescent="0.25">
      <c r="A1469" t="s">
        <v>3654</v>
      </c>
      <c r="B1469" s="1">
        <v>42535</v>
      </c>
      <c r="C1469" s="1">
        <v>42538</v>
      </c>
      <c r="D1469" t="s">
        <v>56</v>
      </c>
      <c r="E1469" t="s">
        <v>2362</v>
      </c>
      <c r="F1469" t="s">
        <v>2363</v>
      </c>
      <c r="G1469" t="s">
        <v>26</v>
      </c>
      <c r="H1469" t="s">
        <v>27</v>
      </c>
      <c r="I1469" t="s">
        <v>3655</v>
      </c>
      <c r="J1469" t="s">
        <v>288</v>
      </c>
      <c r="K1469" t="s">
        <v>155</v>
      </c>
      <c r="L1469" t="s">
        <v>2355</v>
      </c>
      <c r="M1469" t="s">
        <v>32</v>
      </c>
      <c r="N1469" t="s">
        <v>51</v>
      </c>
      <c r="O1469" t="s">
        <v>2356</v>
      </c>
      <c r="P1469">
        <v>18.463999999999999</v>
      </c>
      <c r="Q1469">
        <v>2</v>
      </c>
      <c r="R1469">
        <v>2.3079999999999998</v>
      </c>
      <c r="S1469" s="3" t="s">
        <v>172</v>
      </c>
      <c r="T1469">
        <v>2016</v>
      </c>
      <c r="U1469" t="s">
        <v>36</v>
      </c>
      <c r="V1469" s="2">
        <v>0.125</v>
      </c>
    </row>
    <row r="1470" spans="1:22" x14ac:dyDescent="0.25">
      <c r="A1470" t="s">
        <v>3656</v>
      </c>
      <c r="B1470" s="1">
        <v>43042</v>
      </c>
      <c r="C1470" s="1">
        <v>43044</v>
      </c>
      <c r="D1470" t="s">
        <v>56</v>
      </c>
      <c r="E1470" t="s">
        <v>3657</v>
      </c>
      <c r="F1470" t="s">
        <v>3658</v>
      </c>
      <c r="G1470" t="s">
        <v>70</v>
      </c>
      <c r="H1470" t="s">
        <v>27</v>
      </c>
      <c r="I1470" t="s">
        <v>300</v>
      </c>
      <c r="J1470" t="s">
        <v>29</v>
      </c>
      <c r="K1470" t="s">
        <v>30</v>
      </c>
      <c r="L1470" t="s">
        <v>325</v>
      </c>
      <c r="M1470" t="s">
        <v>32</v>
      </c>
      <c r="N1470" t="s">
        <v>51</v>
      </c>
      <c r="O1470" t="s">
        <v>326</v>
      </c>
      <c r="P1470">
        <v>199.75</v>
      </c>
      <c r="Q1470">
        <v>5</v>
      </c>
      <c r="R1470">
        <v>87.89</v>
      </c>
      <c r="S1470" s="3" t="s">
        <v>65</v>
      </c>
      <c r="T1470">
        <v>2017</v>
      </c>
      <c r="U1470" t="s">
        <v>118</v>
      </c>
      <c r="V1470" s="2">
        <v>0.44</v>
      </c>
    </row>
    <row r="1471" spans="1:22" x14ac:dyDescent="0.25">
      <c r="A1471" t="s">
        <v>3659</v>
      </c>
      <c r="B1471" s="1">
        <v>42316</v>
      </c>
      <c r="C1471" s="1">
        <v>42320</v>
      </c>
      <c r="D1471" t="s">
        <v>23</v>
      </c>
      <c r="E1471" t="s">
        <v>1353</v>
      </c>
      <c r="F1471" t="s">
        <v>1354</v>
      </c>
      <c r="G1471" t="s">
        <v>26</v>
      </c>
      <c r="H1471" t="s">
        <v>27</v>
      </c>
      <c r="I1471" t="s">
        <v>3660</v>
      </c>
      <c r="J1471" t="s">
        <v>755</v>
      </c>
      <c r="K1471" t="s">
        <v>62</v>
      </c>
      <c r="L1471" t="s">
        <v>951</v>
      </c>
      <c r="M1471" t="s">
        <v>32</v>
      </c>
      <c r="N1471" t="s">
        <v>33</v>
      </c>
      <c r="O1471" t="s">
        <v>952</v>
      </c>
      <c r="P1471">
        <v>263.95999999999998</v>
      </c>
      <c r="Q1471">
        <v>4</v>
      </c>
      <c r="R1471">
        <v>76.548400000000001</v>
      </c>
      <c r="S1471" s="3" t="s">
        <v>53</v>
      </c>
      <c r="T1471">
        <v>2015</v>
      </c>
      <c r="U1471" t="s">
        <v>118</v>
      </c>
      <c r="V1471" s="2">
        <v>0.28999999999999998</v>
      </c>
    </row>
    <row r="1472" spans="1:22" x14ac:dyDescent="0.25">
      <c r="A1472" t="s">
        <v>3661</v>
      </c>
      <c r="B1472" s="1">
        <v>42350</v>
      </c>
      <c r="C1472" s="1">
        <v>42353</v>
      </c>
      <c r="D1472" t="s">
        <v>56</v>
      </c>
      <c r="E1472" t="s">
        <v>975</v>
      </c>
      <c r="F1472" t="s">
        <v>976</v>
      </c>
      <c r="G1472" t="s">
        <v>26</v>
      </c>
      <c r="H1472" t="s">
        <v>27</v>
      </c>
      <c r="I1472" t="s">
        <v>28</v>
      </c>
      <c r="J1472" t="s">
        <v>29</v>
      </c>
      <c r="K1472" t="s">
        <v>30</v>
      </c>
      <c r="L1472" t="s">
        <v>1413</v>
      </c>
      <c r="M1472" t="s">
        <v>32</v>
      </c>
      <c r="N1472" t="s">
        <v>51</v>
      </c>
      <c r="O1472" t="s">
        <v>1414</v>
      </c>
      <c r="P1472">
        <v>299.94</v>
      </c>
      <c r="Q1472">
        <v>6</v>
      </c>
      <c r="R1472">
        <v>128.9742</v>
      </c>
      <c r="S1472" s="3" t="s">
        <v>172</v>
      </c>
      <c r="T1472">
        <v>2015</v>
      </c>
      <c r="U1472" t="s">
        <v>66</v>
      </c>
      <c r="V1472" s="2">
        <v>0.43</v>
      </c>
    </row>
    <row r="1473" spans="1:22" x14ac:dyDescent="0.25">
      <c r="A1473" t="s">
        <v>3662</v>
      </c>
      <c r="B1473" s="1">
        <v>41974</v>
      </c>
      <c r="C1473" s="1">
        <v>41976</v>
      </c>
      <c r="D1473" t="s">
        <v>56</v>
      </c>
      <c r="E1473" t="s">
        <v>2497</v>
      </c>
      <c r="F1473" t="s">
        <v>2498</v>
      </c>
      <c r="G1473" t="s">
        <v>26</v>
      </c>
      <c r="H1473" t="s">
        <v>27</v>
      </c>
      <c r="I1473" t="s">
        <v>2123</v>
      </c>
      <c r="J1473" t="s">
        <v>1249</v>
      </c>
      <c r="K1473" t="s">
        <v>95</v>
      </c>
      <c r="L1473" t="s">
        <v>2519</v>
      </c>
      <c r="M1473" t="s">
        <v>32</v>
      </c>
      <c r="N1473" t="s">
        <v>33</v>
      </c>
      <c r="O1473" t="s">
        <v>2520</v>
      </c>
      <c r="P1473">
        <v>271.89999999999998</v>
      </c>
      <c r="Q1473">
        <v>2</v>
      </c>
      <c r="R1473">
        <v>78.850999999999999</v>
      </c>
      <c r="S1473" s="3" t="s">
        <v>65</v>
      </c>
      <c r="T1473">
        <v>2014</v>
      </c>
      <c r="U1473" t="s">
        <v>66</v>
      </c>
      <c r="V1473" s="2">
        <v>0.28999999999999998</v>
      </c>
    </row>
    <row r="1474" spans="1:22" x14ac:dyDescent="0.25">
      <c r="A1474" t="s">
        <v>3663</v>
      </c>
      <c r="B1474" s="1">
        <v>42175</v>
      </c>
      <c r="C1474" s="1">
        <v>42178</v>
      </c>
      <c r="D1474" t="s">
        <v>56</v>
      </c>
      <c r="E1474" t="s">
        <v>2982</v>
      </c>
      <c r="F1474" t="s">
        <v>2983</v>
      </c>
      <c r="G1474" t="s">
        <v>26</v>
      </c>
      <c r="H1474" t="s">
        <v>27</v>
      </c>
      <c r="I1474" t="s">
        <v>146</v>
      </c>
      <c r="J1474" t="s">
        <v>147</v>
      </c>
      <c r="K1474" t="s">
        <v>30</v>
      </c>
      <c r="L1474" t="s">
        <v>3383</v>
      </c>
      <c r="M1474" t="s">
        <v>32</v>
      </c>
      <c r="N1474" t="s">
        <v>33</v>
      </c>
      <c r="O1474" t="s">
        <v>3384</v>
      </c>
      <c r="P1474">
        <v>125.944</v>
      </c>
      <c r="Q1474">
        <v>7</v>
      </c>
      <c r="R1474">
        <v>15.743</v>
      </c>
      <c r="S1474" s="3" t="s">
        <v>172</v>
      </c>
      <c r="T1474">
        <v>2015</v>
      </c>
      <c r="U1474" t="s">
        <v>36</v>
      </c>
      <c r="V1474" s="2">
        <v>0.125</v>
      </c>
    </row>
    <row r="1475" spans="1:22" x14ac:dyDescent="0.25">
      <c r="A1475" t="s">
        <v>3664</v>
      </c>
      <c r="B1475" s="1">
        <v>42880</v>
      </c>
      <c r="C1475" s="1">
        <v>42880</v>
      </c>
      <c r="D1475" t="s">
        <v>677</v>
      </c>
      <c r="E1475" t="s">
        <v>2944</v>
      </c>
      <c r="F1475" t="s">
        <v>2945</v>
      </c>
      <c r="G1475" t="s">
        <v>26</v>
      </c>
      <c r="H1475" t="s">
        <v>27</v>
      </c>
      <c r="I1475" t="s">
        <v>103</v>
      </c>
      <c r="J1475" t="s">
        <v>104</v>
      </c>
      <c r="K1475" t="s">
        <v>95</v>
      </c>
      <c r="L1475" t="s">
        <v>96</v>
      </c>
      <c r="M1475" t="s">
        <v>32</v>
      </c>
      <c r="N1475" t="s">
        <v>51</v>
      </c>
      <c r="O1475" t="s">
        <v>97</v>
      </c>
      <c r="P1475">
        <v>120</v>
      </c>
      <c r="Q1475">
        <v>8</v>
      </c>
      <c r="R1475">
        <v>13.2</v>
      </c>
      <c r="S1475" s="3" t="s">
        <v>683</v>
      </c>
      <c r="T1475">
        <v>2017</v>
      </c>
      <c r="U1475" t="s">
        <v>527</v>
      </c>
      <c r="V1475" s="2">
        <v>0.11</v>
      </c>
    </row>
    <row r="1476" spans="1:22" x14ac:dyDescent="0.25">
      <c r="A1476" t="s">
        <v>3665</v>
      </c>
      <c r="B1476" s="1">
        <v>43025</v>
      </c>
      <c r="C1476" s="1">
        <v>43027</v>
      </c>
      <c r="D1476" t="s">
        <v>40</v>
      </c>
      <c r="E1476" t="s">
        <v>2894</v>
      </c>
      <c r="F1476" t="s">
        <v>2895</v>
      </c>
      <c r="G1476" t="s">
        <v>59</v>
      </c>
      <c r="H1476" t="s">
        <v>27</v>
      </c>
      <c r="I1476" t="s">
        <v>3495</v>
      </c>
      <c r="J1476" t="s">
        <v>29</v>
      </c>
      <c r="K1476" t="s">
        <v>30</v>
      </c>
      <c r="L1476" t="s">
        <v>257</v>
      </c>
      <c r="M1476" t="s">
        <v>32</v>
      </c>
      <c r="N1476" t="s">
        <v>33</v>
      </c>
      <c r="O1476" t="s">
        <v>258</v>
      </c>
      <c r="P1476">
        <v>52.792000000000002</v>
      </c>
      <c r="Q1476">
        <v>1</v>
      </c>
      <c r="R1476">
        <v>4.6193</v>
      </c>
      <c r="S1476" s="3" t="s">
        <v>65</v>
      </c>
      <c r="T1476">
        <v>2017</v>
      </c>
      <c r="U1476" t="s">
        <v>133</v>
      </c>
      <c r="V1476" s="2">
        <v>8.7499999999999994E-2</v>
      </c>
    </row>
    <row r="1477" spans="1:22" x14ac:dyDescent="0.25">
      <c r="A1477" t="s">
        <v>3666</v>
      </c>
      <c r="B1477" s="1">
        <v>42258</v>
      </c>
      <c r="C1477" s="1">
        <v>42262</v>
      </c>
      <c r="D1477" t="s">
        <v>40</v>
      </c>
      <c r="E1477" t="s">
        <v>3667</v>
      </c>
      <c r="F1477" t="s">
        <v>3668</v>
      </c>
      <c r="G1477" t="s">
        <v>59</v>
      </c>
      <c r="H1477" t="s">
        <v>27</v>
      </c>
      <c r="I1477" t="s">
        <v>103</v>
      </c>
      <c r="J1477" t="s">
        <v>104</v>
      </c>
      <c r="K1477" t="s">
        <v>95</v>
      </c>
      <c r="L1477" t="s">
        <v>130</v>
      </c>
      <c r="M1477" t="s">
        <v>32</v>
      </c>
      <c r="N1477" t="s">
        <v>51</v>
      </c>
      <c r="O1477" t="s">
        <v>131</v>
      </c>
      <c r="P1477">
        <v>19.989999999999998</v>
      </c>
      <c r="Q1477">
        <v>1</v>
      </c>
      <c r="R1477">
        <v>6.7965999999999998</v>
      </c>
      <c r="S1477" s="3" t="s">
        <v>53</v>
      </c>
      <c r="T1477">
        <v>2015</v>
      </c>
      <c r="U1477" t="s">
        <v>81</v>
      </c>
      <c r="V1477" s="2">
        <v>0.34</v>
      </c>
    </row>
    <row r="1478" spans="1:22" x14ac:dyDescent="0.25">
      <c r="A1478" t="s">
        <v>3669</v>
      </c>
      <c r="B1478" s="1">
        <v>42664</v>
      </c>
      <c r="C1478" s="1">
        <v>42668</v>
      </c>
      <c r="D1478" t="s">
        <v>23</v>
      </c>
      <c r="E1478" t="s">
        <v>2688</v>
      </c>
      <c r="F1478" t="s">
        <v>2689</v>
      </c>
      <c r="G1478" t="s">
        <v>26</v>
      </c>
      <c r="H1478" t="s">
        <v>27</v>
      </c>
      <c r="I1478" t="s">
        <v>213</v>
      </c>
      <c r="J1478" t="s">
        <v>61</v>
      </c>
      <c r="K1478" t="s">
        <v>62</v>
      </c>
      <c r="L1478" t="s">
        <v>239</v>
      </c>
      <c r="M1478" t="s">
        <v>32</v>
      </c>
      <c r="N1478" t="s">
        <v>51</v>
      </c>
      <c r="O1478" t="s">
        <v>240</v>
      </c>
      <c r="P1478">
        <v>106.08</v>
      </c>
      <c r="Q1478">
        <v>6</v>
      </c>
      <c r="R1478">
        <v>-9.282</v>
      </c>
      <c r="S1478" s="3" t="s">
        <v>53</v>
      </c>
      <c r="T1478">
        <v>2016</v>
      </c>
      <c r="U1478" t="s">
        <v>133</v>
      </c>
      <c r="V1478" s="2">
        <v>-8.7499999999999994E-2</v>
      </c>
    </row>
    <row r="1479" spans="1:22" x14ac:dyDescent="0.25">
      <c r="A1479" t="s">
        <v>3670</v>
      </c>
      <c r="B1479" s="1">
        <v>42968</v>
      </c>
      <c r="C1479" s="1">
        <v>42972</v>
      </c>
      <c r="D1479" t="s">
        <v>40</v>
      </c>
      <c r="E1479" t="s">
        <v>3319</v>
      </c>
      <c r="F1479" t="s">
        <v>3320</v>
      </c>
      <c r="G1479" t="s">
        <v>59</v>
      </c>
      <c r="H1479" t="s">
        <v>27</v>
      </c>
      <c r="I1479" t="s">
        <v>481</v>
      </c>
      <c r="J1479" t="s">
        <v>426</v>
      </c>
      <c r="K1479" t="s">
        <v>30</v>
      </c>
      <c r="L1479" t="s">
        <v>1771</v>
      </c>
      <c r="M1479" t="s">
        <v>32</v>
      </c>
      <c r="N1479" t="s">
        <v>51</v>
      </c>
      <c r="O1479" t="s">
        <v>1772</v>
      </c>
      <c r="P1479">
        <v>33.18</v>
      </c>
      <c r="Q1479">
        <v>2</v>
      </c>
      <c r="R1479">
        <v>11.613</v>
      </c>
      <c r="S1479" s="3" t="s">
        <v>53</v>
      </c>
      <c r="T1479">
        <v>2017</v>
      </c>
      <c r="U1479" t="s">
        <v>46</v>
      </c>
      <c r="V1479" s="2">
        <v>0.35</v>
      </c>
    </row>
    <row r="1480" spans="1:22" x14ac:dyDescent="0.25">
      <c r="A1480" t="s">
        <v>3671</v>
      </c>
      <c r="B1480" s="1">
        <v>42805</v>
      </c>
      <c r="C1480" s="1">
        <v>42809</v>
      </c>
      <c r="D1480" t="s">
        <v>23</v>
      </c>
      <c r="E1480" t="s">
        <v>993</v>
      </c>
      <c r="F1480" t="s">
        <v>994</v>
      </c>
      <c r="G1480" t="s">
        <v>70</v>
      </c>
      <c r="H1480" t="s">
        <v>27</v>
      </c>
      <c r="I1480" t="s">
        <v>3189</v>
      </c>
      <c r="J1480" t="s">
        <v>1249</v>
      </c>
      <c r="K1480" t="s">
        <v>95</v>
      </c>
      <c r="L1480" t="s">
        <v>478</v>
      </c>
      <c r="M1480" t="s">
        <v>32</v>
      </c>
      <c r="N1480" t="s">
        <v>51</v>
      </c>
      <c r="O1480" t="s">
        <v>479</v>
      </c>
      <c r="P1480">
        <v>63.88</v>
      </c>
      <c r="Q1480">
        <v>4</v>
      </c>
      <c r="R1480">
        <v>24.9132</v>
      </c>
      <c r="S1480" s="3" t="s">
        <v>53</v>
      </c>
      <c r="T1480">
        <v>2017</v>
      </c>
      <c r="U1480" t="s">
        <v>89</v>
      </c>
      <c r="V1480" s="2">
        <v>0.39</v>
      </c>
    </row>
    <row r="1481" spans="1:22" x14ac:dyDescent="0.25">
      <c r="A1481" t="s">
        <v>3672</v>
      </c>
      <c r="B1481" s="1">
        <v>42244</v>
      </c>
      <c r="C1481" s="1">
        <v>42251</v>
      </c>
      <c r="D1481" t="s">
        <v>23</v>
      </c>
      <c r="E1481" t="s">
        <v>3673</v>
      </c>
      <c r="F1481" t="s">
        <v>3674</v>
      </c>
      <c r="G1481" t="s">
        <v>26</v>
      </c>
      <c r="H1481" t="s">
        <v>27</v>
      </c>
      <c r="I1481" t="s">
        <v>28</v>
      </c>
      <c r="J1481" t="s">
        <v>29</v>
      </c>
      <c r="K1481" t="s">
        <v>30</v>
      </c>
      <c r="L1481" t="s">
        <v>998</v>
      </c>
      <c r="M1481" t="s">
        <v>32</v>
      </c>
      <c r="N1481" t="s">
        <v>33</v>
      </c>
      <c r="O1481" t="s">
        <v>999</v>
      </c>
      <c r="P1481">
        <v>43.176000000000002</v>
      </c>
      <c r="Q1481">
        <v>3</v>
      </c>
      <c r="R1481">
        <v>15.111599999999999</v>
      </c>
      <c r="S1481" s="3" t="s">
        <v>132</v>
      </c>
      <c r="T1481">
        <v>2015</v>
      </c>
      <c r="U1481" t="s">
        <v>46</v>
      </c>
      <c r="V1481" s="2">
        <v>0.35</v>
      </c>
    </row>
    <row r="1482" spans="1:22" x14ac:dyDescent="0.25">
      <c r="A1482" t="s">
        <v>3675</v>
      </c>
      <c r="B1482" s="1">
        <v>42681</v>
      </c>
      <c r="C1482" s="1">
        <v>42683</v>
      </c>
      <c r="D1482" t="s">
        <v>56</v>
      </c>
      <c r="E1482" t="s">
        <v>1552</v>
      </c>
      <c r="F1482" t="s">
        <v>1553</v>
      </c>
      <c r="G1482" t="s">
        <v>26</v>
      </c>
      <c r="H1482" t="s">
        <v>27</v>
      </c>
      <c r="I1482" t="s">
        <v>129</v>
      </c>
      <c r="J1482" t="s">
        <v>104</v>
      </c>
      <c r="K1482" t="s">
        <v>95</v>
      </c>
      <c r="L1482" t="s">
        <v>589</v>
      </c>
      <c r="M1482" t="s">
        <v>32</v>
      </c>
      <c r="N1482" t="s">
        <v>33</v>
      </c>
      <c r="O1482" t="s">
        <v>590</v>
      </c>
      <c r="P1482">
        <v>263.95999999999998</v>
      </c>
      <c r="Q1482">
        <v>4</v>
      </c>
      <c r="R1482">
        <v>71.269199999999998</v>
      </c>
      <c r="S1482" s="3" t="s">
        <v>65</v>
      </c>
      <c r="T1482">
        <v>2016</v>
      </c>
      <c r="U1482" t="s">
        <v>118</v>
      </c>
      <c r="V1482" s="2">
        <v>0.27</v>
      </c>
    </row>
    <row r="1483" spans="1:22" x14ac:dyDescent="0.25">
      <c r="A1483" t="s">
        <v>3675</v>
      </c>
      <c r="B1483" s="1">
        <v>42681</v>
      </c>
      <c r="C1483" s="1">
        <v>42683</v>
      </c>
      <c r="D1483" t="s">
        <v>56</v>
      </c>
      <c r="E1483" t="s">
        <v>1552</v>
      </c>
      <c r="F1483" t="s">
        <v>1553</v>
      </c>
      <c r="G1483" t="s">
        <v>26</v>
      </c>
      <c r="H1483" t="s">
        <v>27</v>
      </c>
      <c r="I1483" t="s">
        <v>129</v>
      </c>
      <c r="J1483" t="s">
        <v>104</v>
      </c>
      <c r="K1483" t="s">
        <v>95</v>
      </c>
      <c r="L1483" t="s">
        <v>1542</v>
      </c>
      <c r="M1483" t="s">
        <v>32</v>
      </c>
      <c r="N1483" t="s">
        <v>33</v>
      </c>
      <c r="O1483" t="s">
        <v>1543</v>
      </c>
      <c r="P1483">
        <v>359.97</v>
      </c>
      <c r="Q1483">
        <v>3</v>
      </c>
      <c r="R1483">
        <v>100.7916</v>
      </c>
      <c r="S1483" s="3" t="s">
        <v>65</v>
      </c>
      <c r="T1483">
        <v>2016</v>
      </c>
      <c r="U1483" t="s">
        <v>118</v>
      </c>
      <c r="V1483" s="2">
        <v>0.28000000000000003</v>
      </c>
    </row>
    <row r="1484" spans="1:22" x14ac:dyDescent="0.25">
      <c r="A1484" t="s">
        <v>3676</v>
      </c>
      <c r="B1484" s="1">
        <v>42297</v>
      </c>
      <c r="C1484" s="1">
        <v>42301</v>
      </c>
      <c r="D1484" t="s">
        <v>23</v>
      </c>
      <c r="E1484" t="s">
        <v>2731</v>
      </c>
      <c r="F1484" t="s">
        <v>2732</v>
      </c>
      <c r="G1484" t="s">
        <v>59</v>
      </c>
      <c r="H1484" t="s">
        <v>27</v>
      </c>
      <c r="I1484" t="s">
        <v>43</v>
      </c>
      <c r="J1484" t="s">
        <v>29</v>
      </c>
      <c r="K1484" t="s">
        <v>30</v>
      </c>
      <c r="L1484" t="s">
        <v>502</v>
      </c>
      <c r="M1484" t="s">
        <v>32</v>
      </c>
      <c r="N1484" t="s">
        <v>51</v>
      </c>
      <c r="O1484" t="s">
        <v>503</v>
      </c>
      <c r="P1484">
        <v>239.97</v>
      </c>
      <c r="Q1484">
        <v>3</v>
      </c>
      <c r="R1484">
        <v>86.389200000000002</v>
      </c>
      <c r="S1484" s="3" t="s">
        <v>53</v>
      </c>
      <c r="T1484">
        <v>2015</v>
      </c>
      <c r="U1484" t="s">
        <v>133</v>
      </c>
      <c r="V1484" s="2">
        <v>0.36</v>
      </c>
    </row>
    <row r="1485" spans="1:22" x14ac:dyDescent="0.25">
      <c r="A1485" t="s">
        <v>3677</v>
      </c>
      <c r="B1485" s="1">
        <v>42178</v>
      </c>
      <c r="C1485" s="1">
        <v>42184</v>
      </c>
      <c r="D1485" t="s">
        <v>23</v>
      </c>
      <c r="E1485" t="s">
        <v>2775</v>
      </c>
      <c r="F1485" t="s">
        <v>2776</v>
      </c>
      <c r="G1485" t="s">
        <v>59</v>
      </c>
      <c r="H1485" t="s">
        <v>27</v>
      </c>
      <c r="I1485" t="s">
        <v>3678</v>
      </c>
      <c r="J1485" t="s">
        <v>1006</v>
      </c>
      <c r="K1485" t="s">
        <v>155</v>
      </c>
      <c r="L1485" t="s">
        <v>1829</v>
      </c>
      <c r="M1485" t="s">
        <v>32</v>
      </c>
      <c r="N1485" t="s">
        <v>51</v>
      </c>
      <c r="O1485" t="s">
        <v>1830</v>
      </c>
      <c r="P1485">
        <v>75</v>
      </c>
      <c r="Q1485">
        <v>3</v>
      </c>
      <c r="R1485">
        <v>18</v>
      </c>
      <c r="S1485" s="3" t="s">
        <v>107</v>
      </c>
      <c r="T1485">
        <v>2015</v>
      </c>
      <c r="U1485" t="s">
        <v>36</v>
      </c>
      <c r="V1485" s="2">
        <v>0.24</v>
      </c>
    </row>
    <row r="1486" spans="1:22" x14ac:dyDescent="0.25">
      <c r="A1486" t="s">
        <v>3679</v>
      </c>
      <c r="B1486" s="1">
        <v>42943</v>
      </c>
      <c r="C1486" s="1">
        <v>42948</v>
      </c>
      <c r="D1486" t="s">
        <v>40</v>
      </c>
      <c r="E1486" t="s">
        <v>1645</v>
      </c>
      <c r="F1486" t="s">
        <v>1646</v>
      </c>
      <c r="G1486" t="s">
        <v>26</v>
      </c>
      <c r="H1486" t="s">
        <v>27</v>
      </c>
      <c r="I1486" t="s">
        <v>481</v>
      </c>
      <c r="J1486" t="s">
        <v>426</v>
      </c>
      <c r="K1486" t="s">
        <v>30</v>
      </c>
      <c r="L1486" t="s">
        <v>525</v>
      </c>
      <c r="M1486" t="s">
        <v>32</v>
      </c>
      <c r="N1486" t="s">
        <v>51</v>
      </c>
      <c r="O1486" t="s">
        <v>526</v>
      </c>
      <c r="P1486">
        <v>234.95</v>
      </c>
      <c r="Q1486">
        <v>5</v>
      </c>
      <c r="R1486">
        <v>32.893000000000001</v>
      </c>
      <c r="S1486" s="3" t="s">
        <v>35</v>
      </c>
      <c r="T1486">
        <v>2017</v>
      </c>
      <c r="U1486" t="s">
        <v>332</v>
      </c>
      <c r="V1486" s="2">
        <v>0.14000000000000001</v>
      </c>
    </row>
    <row r="1487" spans="1:22" x14ac:dyDescent="0.25">
      <c r="A1487" t="s">
        <v>3680</v>
      </c>
      <c r="B1487" s="1">
        <v>42439</v>
      </c>
      <c r="C1487" s="1">
        <v>42442</v>
      </c>
      <c r="D1487" t="s">
        <v>56</v>
      </c>
      <c r="E1487" t="s">
        <v>2382</v>
      </c>
      <c r="F1487" t="s">
        <v>2383</v>
      </c>
      <c r="G1487" t="s">
        <v>70</v>
      </c>
      <c r="H1487" t="s">
        <v>27</v>
      </c>
      <c r="I1487" t="s">
        <v>28</v>
      </c>
      <c r="J1487" t="s">
        <v>29</v>
      </c>
      <c r="K1487" t="s">
        <v>30</v>
      </c>
      <c r="L1487" t="s">
        <v>1264</v>
      </c>
      <c r="M1487" t="s">
        <v>32</v>
      </c>
      <c r="N1487" t="s">
        <v>51</v>
      </c>
      <c r="O1487" t="s">
        <v>1265</v>
      </c>
      <c r="P1487">
        <v>26.85</v>
      </c>
      <c r="Q1487">
        <v>3</v>
      </c>
      <c r="R1487">
        <v>5.1014999999999997</v>
      </c>
      <c r="S1487" s="3" t="s">
        <v>172</v>
      </c>
      <c r="T1487">
        <v>2016</v>
      </c>
      <c r="U1487" t="s">
        <v>89</v>
      </c>
      <c r="V1487" s="2">
        <v>0.19</v>
      </c>
    </row>
    <row r="1488" spans="1:22" x14ac:dyDescent="0.25">
      <c r="A1488" t="s">
        <v>3680</v>
      </c>
      <c r="B1488" s="1">
        <v>42439</v>
      </c>
      <c r="C1488" s="1">
        <v>42442</v>
      </c>
      <c r="D1488" t="s">
        <v>56</v>
      </c>
      <c r="E1488" t="s">
        <v>2382</v>
      </c>
      <c r="F1488" t="s">
        <v>2383</v>
      </c>
      <c r="G1488" t="s">
        <v>70</v>
      </c>
      <c r="H1488" t="s">
        <v>27</v>
      </c>
      <c r="I1488" t="s">
        <v>28</v>
      </c>
      <c r="J1488" t="s">
        <v>29</v>
      </c>
      <c r="K1488" t="s">
        <v>30</v>
      </c>
      <c r="L1488" t="s">
        <v>3681</v>
      </c>
      <c r="M1488" t="s">
        <v>32</v>
      </c>
      <c r="N1488" t="s">
        <v>215</v>
      </c>
      <c r="O1488" t="s">
        <v>3682</v>
      </c>
      <c r="P1488">
        <v>3357.6</v>
      </c>
      <c r="Q1488">
        <v>3</v>
      </c>
      <c r="R1488">
        <v>377.73</v>
      </c>
      <c r="S1488" s="3" t="s">
        <v>172</v>
      </c>
      <c r="T1488">
        <v>2016</v>
      </c>
      <c r="U1488" t="s">
        <v>89</v>
      </c>
      <c r="V1488" s="2">
        <v>0.1125</v>
      </c>
    </row>
    <row r="1489" spans="1:22" x14ac:dyDescent="0.25">
      <c r="A1489" t="s">
        <v>3683</v>
      </c>
      <c r="B1489" s="1">
        <v>42146</v>
      </c>
      <c r="C1489" s="1">
        <v>42150</v>
      </c>
      <c r="D1489" t="s">
        <v>23</v>
      </c>
      <c r="E1489" t="s">
        <v>3173</v>
      </c>
      <c r="F1489" t="s">
        <v>3174</v>
      </c>
      <c r="G1489" t="s">
        <v>26</v>
      </c>
      <c r="H1489" t="s">
        <v>27</v>
      </c>
      <c r="I1489" t="s">
        <v>28</v>
      </c>
      <c r="J1489" t="s">
        <v>29</v>
      </c>
      <c r="K1489" t="s">
        <v>30</v>
      </c>
      <c r="L1489" t="s">
        <v>812</v>
      </c>
      <c r="M1489" t="s">
        <v>32</v>
      </c>
      <c r="N1489" t="s">
        <v>215</v>
      </c>
      <c r="O1489" t="s">
        <v>813</v>
      </c>
      <c r="P1489">
        <v>2973.32</v>
      </c>
      <c r="Q1489">
        <v>7</v>
      </c>
      <c r="R1489">
        <v>334.49849999999998</v>
      </c>
      <c r="S1489" s="3" t="s">
        <v>53</v>
      </c>
      <c r="T1489">
        <v>2015</v>
      </c>
      <c r="U1489" t="s">
        <v>527</v>
      </c>
      <c r="V1489" s="2">
        <v>0.1125</v>
      </c>
    </row>
    <row r="1490" spans="1:22" x14ac:dyDescent="0.25">
      <c r="A1490" t="s">
        <v>3683</v>
      </c>
      <c r="B1490" s="1">
        <v>42146</v>
      </c>
      <c r="C1490" s="1">
        <v>42150</v>
      </c>
      <c r="D1490" t="s">
        <v>23</v>
      </c>
      <c r="E1490" t="s">
        <v>3173</v>
      </c>
      <c r="F1490" t="s">
        <v>3174</v>
      </c>
      <c r="G1490" t="s">
        <v>26</v>
      </c>
      <c r="H1490" t="s">
        <v>27</v>
      </c>
      <c r="I1490" t="s">
        <v>28</v>
      </c>
      <c r="J1490" t="s">
        <v>29</v>
      </c>
      <c r="K1490" t="s">
        <v>30</v>
      </c>
      <c r="L1490" t="s">
        <v>370</v>
      </c>
      <c r="M1490" t="s">
        <v>32</v>
      </c>
      <c r="N1490" t="s">
        <v>33</v>
      </c>
      <c r="O1490" t="s">
        <v>371</v>
      </c>
      <c r="P1490">
        <v>775.72799999999995</v>
      </c>
      <c r="Q1490">
        <v>6</v>
      </c>
      <c r="R1490">
        <v>58.179600000000001</v>
      </c>
      <c r="S1490" s="3" t="s">
        <v>53</v>
      </c>
      <c r="T1490">
        <v>2015</v>
      </c>
      <c r="U1490" t="s">
        <v>527</v>
      </c>
      <c r="V1490" s="2">
        <v>7.4999999999999997E-2</v>
      </c>
    </row>
    <row r="1491" spans="1:22" x14ac:dyDescent="0.25">
      <c r="A1491" t="s">
        <v>3684</v>
      </c>
      <c r="B1491" s="1">
        <v>42783</v>
      </c>
      <c r="C1491" s="1">
        <v>42785</v>
      </c>
      <c r="D1491" t="s">
        <v>56</v>
      </c>
      <c r="E1491" t="s">
        <v>2563</v>
      </c>
      <c r="F1491" t="s">
        <v>2564</v>
      </c>
      <c r="G1491" t="s">
        <v>70</v>
      </c>
      <c r="H1491" t="s">
        <v>27</v>
      </c>
      <c r="I1491" t="s">
        <v>71</v>
      </c>
      <c r="J1491" t="s">
        <v>61</v>
      </c>
      <c r="K1491" t="s">
        <v>62</v>
      </c>
      <c r="L1491" t="s">
        <v>1315</v>
      </c>
      <c r="M1491" t="s">
        <v>32</v>
      </c>
      <c r="N1491" t="s">
        <v>33</v>
      </c>
      <c r="O1491" t="s">
        <v>1316</v>
      </c>
      <c r="P1491">
        <v>438.33600000000001</v>
      </c>
      <c r="Q1491">
        <v>4</v>
      </c>
      <c r="R1491">
        <v>-87.667199999999994</v>
      </c>
      <c r="S1491" s="3" t="s">
        <v>65</v>
      </c>
      <c r="T1491">
        <v>2017</v>
      </c>
      <c r="U1491" t="s">
        <v>180</v>
      </c>
      <c r="V1491" s="2">
        <v>-0.2</v>
      </c>
    </row>
    <row r="1492" spans="1:22" x14ac:dyDescent="0.25">
      <c r="A1492" t="s">
        <v>3685</v>
      </c>
      <c r="B1492" s="1">
        <v>41982</v>
      </c>
      <c r="C1492" s="1">
        <v>41988</v>
      </c>
      <c r="D1492" t="s">
        <v>23</v>
      </c>
      <c r="E1492" t="s">
        <v>576</v>
      </c>
      <c r="F1492" t="s">
        <v>577</v>
      </c>
      <c r="G1492" t="s">
        <v>26</v>
      </c>
      <c r="H1492" t="s">
        <v>27</v>
      </c>
      <c r="I1492" t="s">
        <v>206</v>
      </c>
      <c r="J1492" t="s">
        <v>207</v>
      </c>
      <c r="K1492" t="s">
        <v>95</v>
      </c>
      <c r="L1492" t="s">
        <v>1320</v>
      </c>
      <c r="M1492" t="s">
        <v>32</v>
      </c>
      <c r="N1492" t="s">
        <v>381</v>
      </c>
      <c r="O1492" t="s">
        <v>1321</v>
      </c>
      <c r="P1492">
        <v>1079.9760000000001</v>
      </c>
      <c r="Q1492">
        <v>4</v>
      </c>
      <c r="R1492">
        <v>125.99720000000001</v>
      </c>
      <c r="S1492" s="3" t="s">
        <v>107</v>
      </c>
      <c r="T1492">
        <v>2014</v>
      </c>
      <c r="U1492" t="s">
        <v>66</v>
      </c>
      <c r="V1492" s="2">
        <v>0.116666666666667</v>
      </c>
    </row>
    <row r="1493" spans="1:22" x14ac:dyDescent="0.25">
      <c r="A1493" t="s">
        <v>3686</v>
      </c>
      <c r="B1493" s="1">
        <v>42041</v>
      </c>
      <c r="C1493" s="1">
        <v>42048</v>
      </c>
      <c r="D1493" t="s">
        <v>23</v>
      </c>
      <c r="E1493" t="s">
        <v>3629</v>
      </c>
      <c r="F1493" t="s">
        <v>3630</v>
      </c>
      <c r="G1493" t="s">
        <v>26</v>
      </c>
      <c r="H1493" t="s">
        <v>27</v>
      </c>
      <c r="I1493" t="s">
        <v>71</v>
      </c>
      <c r="J1493" t="s">
        <v>61</v>
      </c>
      <c r="K1493" t="s">
        <v>62</v>
      </c>
      <c r="L1493" t="s">
        <v>156</v>
      </c>
      <c r="M1493" t="s">
        <v>32</v>
      </c>
      <c r="N1493" t="s">
        <v>51</v>
      </c>
      <c r="O1493" t="s">
        <v>157</v>
      </c>
      <c r="P1493">
        <v>18.527999999999999</v>
      </c>
      <c r="Q1493">
        <v>2</v>
      </c>
      <c r="R1493">
        <v>4.4004000000000003</v>
      </c>
      <c r="S1493" s="3" t="s">
        <v>132</v>
      </c>
      <c r="T1493">
        <v>2015</v>
      </c>
      <c r="U1493" t="s">
        <v>180</v>
      </c>
      <c r="V1493" s="2">
        <v>0.23749999999999999</v>
      </c>
    </row>
    <row r="1494" spans="1:22" x14ac:dyDescent="0.25">
      <c r="A1494" t="s">
        <v>3687</v>
      </c>
      <c r="B1494" s="1">
        <v>41840</v>
      </c>
      <c r="C1494" s="1">
        <v>41843</v>
      </c>
      <c r="D1494" t="s">
        <v>56</v>
      </c>
      <c r="E1494" t="s">
        <v>384</v>
      </c>
      <c r="F1494" t="s">
        <v>385</v>
      </c>
      <c r="G1494" t="s">
        <v>59</v>
      </c>
      <c r="H1494" t="s">
        <v>27</v>
      </c>
      <c r="I1494" t="s">
        <v>3600</v>
      </c>
      <c r="J1494" t="s">
        <v>29</v>
      </c>
      <c r="K1494" t="s">
        <v>30</v>
      </c>
      <c r="L1494" t="s">
        <v>1107</v>
      </c>
      <c r="M1494" t="s">
        <v>32</v>
      </c>
      <c r="N1494" t="s">
        <v>51</v>
      </c>
      <c r="O1494" t="s">
        <v>1108</v>
      </c>
      <c r="P1494">
        <v>41.94</v>
      </c>
      <c r="Q1494">
        <v>2</v>
      </c>
      <c r="R1494">
        <v>15.0984</v>
      </c>
      <c r="S1494" s="3" t="s">
        <v>172</v>
      </c>
      <c r="T1494">
        <v>2014</v>
      </c>
      <c r="U1494" t="s">
        <v>332</v>
      </c>
      <c r="V1494" s="2">
        <v>0.36</v>
      </c>
    </row>
    <row r="1495" spans="1:22" x14ac:dyDescent="0.25">
      <c r="A1495" t="s">
        <v>3688</v>
      </c>
      <c r="B1495" s="1">
        <v>42405</v>
      </c>
      <c r="C1495" s="1">
        <v>42410</v>
      </c>
      <c r="D1495" t="s">
        <v>23</v>
      </c>
      <c r="E1495" t="s">
        <v>3201</v>
      </c>
      <c r="F1495" t="s">
        <v>3202</v>
      </c>
      <c r="G1495" t="s">
        <v>26</v>
      </c>
      <c r="H1495" t="s">
        <v>27</v>
      </c>
      <c r="I1495" t="s">
        <v>300</v>
      </c>
      <c r="J1495" t="s">
        <v>29</v>
      </c>
      <c r="K1495" t="s">
        <v>30</v>
      </c>
      <c r="L1495" t="s">
        <v>188</v>
      </c>
      <c r="M1495" t="s">
        <v>32</v>
      </c>
      <c r="N1495" t="s">
        <v>33</v>
      </c>
      <c r="O1495" t="s">
        <v>189</v>
      </c>
      <c r="P1495">
        <v>159.96799999999999</v>
      </c>
      <c r="Q1495">
        <v>4</v>
      </c>
      <c r="R1495">
        <v>-31.993600000000001</v>
      </c>
      <c r="S1495" s="3" t="s">
        <v>35</v>
      </c>
      <c r="T1495">
        <v>2016</v>
      </c>
      <c r="U1495" t="s">
        <v>180</v>
      </c>
      <c r="V1495" s="2">
        <v>-0.2</v>
      </c>
    </row>
    <row r="1496" spans="1:22" x14ac:dyDescent="0.25">
      <c r="A1496" t="s">
        <v>3689</v>
      </c>
      <c r="B1496" s="1">
        <v>42817</v>
      </c>
      <c r="C1496" s="1">
        <v>42819</v>
      </c>
      <c r="D1496" t="s">
        <v>56</v>
      </c>
      <c r="E1496" t="s">
        <v>469</v>
      </c>
      <c r="F1496" t="s">
        <v>470</v>
      </c>
      <c r="G1496" t="s">
        <v>26</v>
      </c>
      <c r="H1496" t="s">
        <v>27</v>
      </c>
      <c r="I1496" t="s">
        <v>481</v>
      </c>
      <c r="J1496" t="s">
        <v>426</v>
      </c>
      <c r="K1496" t="s">
        <v>30</v>
      </c>
      <c r="L1496" t="s">
        <v>1869</v>
      </c>
      <c r="M1496" t="s">
        <v>32</v>
      </c>
      <c r="N1496" t="s">
        <v>381</v>
      </c>
      <c r="O1496" t="s">
        <v>1870</v>
      </c>
      <c r="P1496">
        <v>13999.96</v>
      </c>
      <c r="Q1496">
        <v>4</v>
      </c>
      <c r="R1496">
        <v>6719.9808000000003</v>
      </c>
      <c r="S1496" s="3" t="s">
        <v>65</v>
      </c>
      <c r="T1496">
        <v>2017</v>
      </c>
      <c r="U1496" t="s">
        <v>89</v>
      </c>
      <c r="V1496" s="2">
        <v>0.48</v>
      </c>
    </row>
    <row r="1497" spans="1:22" x14ac:dyDescent="0.25">
      <c r="A1497" t="s">
        <v>3690</v>
      </c>
      <c r="B1497" s="1">
        <v>42814</v>
      </c>
      <c r="C1497" s="1">
        <v>42818</v>
      </c>
      <c r="D1497" t="s">
        <v>23</v>
      </c>
      <c r="E1497" t="s">
        <v>2621</v>
      </c>
      <c r="F1497" t="s">
        <v>2622</v>
      </c>
      <c r="G1497" t="s">
        <v>26</v>
      </c>
      <c r="H1497" t="s">
        <v>27</v>
      </c>
      <c r="I1497" t="s">
        <v>3691</v>
      </c>
      <c r="J1497" t="s">
        <v>1451</v>
      </c>
      <c r="K1497" t="s">
        <v>95</v>
      </c>
      <c r="L1497" t="s">
        <v>1513</v>
      </c>
      <c r="M1497" t="s">
        <v>32</v>
      </c>
      <c r="N1497" t="s">
        <v>51</v>
      </c>
      <c r="O1497" t="s">
        <v>1514</v>
      </c>
      <c r="P1497">
        <v>238</v>
      </c>
      <c r="Q1497">
        <v>2</v>
      </c>
      <c r="R1497">
        <v>38.08</v>
      </c>
      <c r="S1497" s="3" t="s">
        <v>53</v>
      </c>
      <c r="T1497">
        <v>2017</v>
      </c>
      <c r="U1497" t="s">
        <v>89</v>
      </c>
      <c r="V1497" s="2">
        <v>0.16</v>
      </c>
    </row>
    <row r="1498" spans="1:22" x14ac:dyDescent="0.25">
      <c r="A1498" t="s">
        <v>3692</v>
      </c>
      <c r="B1498" s="1">
        <v>42692</v>
      </c>
      <c r="C1498" s="1">
        <v>42696</v>
      </c>
      <c r="D1498" t="s">
        <v>23</v>
      </c>
      <c r="E1498" t="s">
        <v>798</v>
      </c>
      <c r="F1498" t="s">
        <v>799</v>
      </c>
      <c r="G1498" t="s">
        <v>26</v>
      </c>
      <c r="H1498" t="s">
        <v>27</v>
      </c>
      <c r="I1498" t="s">
        <v>300</v>
      </c>
      <c r="J1498" t="s">
        <v>29</v>
      </c>
      <c r="K1498" t="s">
        <v>30</v>
      </c>
      <c r="L1498" t="s">
        <v>1513</v>
      </c>
      <c r="M1498" t="s">
        <v>32</v>
      </c>
      <c r="N1498" t="s">
        <v>51</v>
      </c>
      <c r="O1498" t="s">
        <v>1514</v>
      </c>
      <c r="P1498">
        <v>595</v>
      </c>
      <c r="Q1498">
        <v>5</v>
      </c>
      <c r="R1498">
        <v>95.2</v>
      </c>
      <c r="S1498" s="3" t="s">
        <v>53</v>
      </c>
      <c r="T1498">
        <v>2016</v>
      </c>
      <c r="U1498" t="s">
        <v>118</v>
      </c>
      <c r="V1498" s="2">
        <v>0.16</v>
      </c>
    </row>
    <row r="1499" spans="1:22" x14ac:dyDescent="0.25">
      <c r="A1499" t="s">
        <v>3693</v>
      </c>
      <c r="B1499" s="1">
        <v>42438</v>
      </c>
      <c r="C1499" s="1">
        <v>42442</v>
      </c>
      <c r="D1499" t="s">
        <v>23</v>
      </c>
      <c r="E1499" t="s">
        <v>138</v>
      </c>
      <c r="F1499" t="s">
        <v>139</v>
      </c>
      <c r="G1499" t="s">
        <v>70</v>
      </c>
      <c r="H1499" t="s">
        <v>27</v>
      </c>
      <c r="I1499" t="s">
        <v>3694</v>
      </c>
      <c r="J1499" t="s">
        <v>1451</v>
      </c>
      <c r="K1499" t="s">
        <v>95</v>
      </c>
      <c r="L1499" t="s">
        <v>325</v>
      </c>
      <c r="M1499" t="s">
        <v>32</v>
      </c>
      <c r="N1499" t="s">
        <v>51</v>
      </c>
      <c r="O1499" t="s">
        <v>326</v>
      </c>
      <c r="P1499">
        <v>199.75</v>
      </c>
      <c r="Q1499">
        <v>5</v>
      </c>
      <c r="R1499">
        <v>87.89</v>
      </c>
      <c r="S1499" s="3" t="s">
        <v>53</v>
      </c>
      <c r="T1499">
        <v>2016</v>
      </c>
      <c r="U1499" t="s">
        <v>89</v>
      </c>
      <c r="V1499" s="2">
        <v>0.44</v>
      </c>
    </row>
    <row r="1500" spans="1:22" x14ac:dyDescent="0.25">
      <c r="A1500" t="s">
        <v>3695</v>
      </c>
      <c r="B1500" s="1">
        <v>42275</v>
      </c>
      <c r="C1500" s="1">
        <v>42280</v>
      </c>
      <c r="D1500" t="s">
        <v>40</v>
      </c>
      <c r="E1500" t="s">
        <v>3696</v>
      </c>
      <c r="F1500" t="s">
        <v>3697</v>
      </c>
      <c r="G1500" t="s">
        <v>26</v>
      </c>
      <c r="H1500" t="s">
        <v>27</v>
      </c>
      <c r="I1500" t="s">
        <v>103</v>
      </c>
      <c r="J1500" t="s">
        <v>104</v>
      </c>
      <c r="K1500" t="s">
        <v>95</v>
      </c>
      <c r="L1500" t="s">
        <v>427</v>
      </c>
      <c r="M1500" t="s">
        <v>32</v>
      </c>
      <c r="N1500" t="s">
        <v>33</v>
      </c>
      <c r="O1500" t="s">
        <v>428</v>
      </c>
      <c r="P1500">
        <v>307.98</v>
      </c>
      <c r="Q1500">
        <v>2</v>
      </c>
      <c r="R1500">
        <v>89.3142</v>
      </c>
      <c r="S1500" s="3" t="s">
        <v>35</v>
      </c>
      <c r="T1500">
        <v>2015</v>
      </c>
      <c r="U1500" t="s">
        <v>81</v>
      </c>
      <c r="V1500" s="2">
        <v>0.28999999999999998</v>
      </c>
    </row>
    <row r="1501" spans="1:22" x14ac:dyDescent="0.25">
      <c r="A1501" t="s">
        <v>3698</v>
      </c>
      <c r="B1501" s="1">
        <v>43045</v>
      </c>
      <c r="C1501" s="1">
        <v>43052</v>
      </c>
      <c r="D1501" t="s">
        <v>23</v>
      </c>
      <c r="E1501" t="s">
        <v>392</v>
      </c>
      <c r="F1501" t="s">
        <v>393</v>
      </c>
      <c r="G1501" t="s">
        <v>70</v>
      </c>
      <c r="H1501" t="s">
        <v>27</v>
      </c>
      <c r="I1501" t="s">
        <v>481</v>
      </c>
      <c r="J1501" t="s">
        <v>426</v>
      </c>
      <c r="K1501" t="s">
        <v>30</v>
      </c>
      <c r="L1501" t="s">
        <v>571</v>
      </c>
      <c r="M1501" t="s">
        <v>32</v>
      </c>
      <c r="N1501" t="s">
        <v>51</v>
      </c>
      <c r="O1501" t="s">
        <v>572</v>
      </c>
      <c r="P1501">
        <v>108.96</v>
      </c>
      <c r="Q1501">
        <v>3</v>
      </c>
      <c r="R1501">
        <v>32.688000000000002</v>
      </c>
      <c r="S1501" s="3" t="s">
        <v>132</v>
      </c>
      <c r="T1501">
        <v>2017</v>
      </c>
      <c r="U1501" t="s">
        <v>118</v>
      </c>
      <c r="V1501" s="2">
        <v>0.3</v>
      </c>
    </row>
    <row r="1502" spans="1:22" x14ac:dyDescent="0.25">
      <c r="A1502" t="s">
        <v>3699</v>
      </c>
      <c r="B1502" s="1">
        <v>43091</v>
      </c>
      <c r="C1502" s="1">
        <v>43093</v>
      </c>
      <c r="D1502" t="s">
        <v>56</v>
      </c>
      <c r="E1502" t="s">
        <v>1135</v>
      </c>
      <c r="F1502" t="s">
        <v>1136</v>
      </c>
      <c r="G1502" t="s">
        <v>26</v>
      </c>
      <c r="H1502" t="s">
        <v>27</v>
      </c>
      <c r="I1502" t="s">
        <v>28</v>
      </c>
      <c r="J1502" t="s">
        <v>29</v>
      </c>
      <c r="K1502" t="s">
        <v>30</v>
      </c>
      <c r="L1502" t="s">
        <v>2199</v>
      </c>
      <c r="M1502" t="s">
        <v>32</v>
      </c>
      <c r="N1502" t="s">
        <v>51</v>
      </c>
      <c r="O1502" t="s">
        <v>2200</v>
      </c>
      <c r="P1502">
        <v>474.95</v>
      </c>
      <c r="Q1502">
        <v>5</v>
      </c>
      <c r="R1502">
        <v>142.48500000000001</v>
      </c>
      <c r="S1502" s="3" t="s">
        <v>65</v>
      </c>
      <c r="T1502">
        <v>2017</v>
      </c>
      <c r="U1502" t="s">
        <v>66</v>
      </c>
      <c r="V1502" s="2">
        <v>0.3</v>
      </c>
    </row>
    <row r="1503" spans="1:22" x14ac:dyDescent="0.25">
      <c r="A1503" t="s">
        <v>3700</v>
      </c>
      <c r="B1503" s="1">
        <v>42615</v>
      </c>
      <c r="C1503" s="1">
        <v>42621</v>
      </c>
      <c r="D1503" t="s">
        <v>23</v>
      </c>
      <c r="E1503" t="s">
        <v>3451</v>
      </c>
      <c r="F1503" t="s">
        <v>3452</v>
      </c>
      <c r="G1503" t="s">
        <v>26</v>
      </c>
      <c r="H1503" t="s">
        <v>27</v>
      </c>
      <c r="I1503" t="s">
        <v>425</v>
      </c>
      <c r="J1503" t="s">
        <v>426</v>
      </c>
      <c r="K1503" t="s">
        <v>30</v>
      </c>
      <c r="L1503" t="s">
        <v>737</v>
      </c>
      <c r="M1503" t="s">
        <v>32</v>
      </c>
      <c r="N1503" t="s">
        <v>381</v>
      </c>
      <c r="O1503" t="s">
        <v>738</v>
      </c>
      <c r="P1503">
        <v>999.98</v>
      </c>
      <c r="Q1503">
        <v>2</v>
      </c>
      <c r="R1503">
        <v>449.99099999999999</v>
      </c>
      <c r="S1503" s="3" t="s">
        <v>107</v>
      </c>
      <c r="T1503">
        <v>2016</v>
      </c>
      <c r="U1503" t="s">
        <v>81</v>
      </c>
      <c r="V1503" s="2">
        <v>0.45</v>
      </c>
    </row>
    <row r="1504" spans="1:22" x14ac:dyDescent="0.25">
      <c r="A1504" t="s">
        <v>3701</v>
      </c>
      <c r="B1504" s="1">
        <v>42329</v>
      </c>
      <c r="C1504" s="1">
        <v>42333</v>
      </c>
      <c r="D1504" t="s">
        <v>23</v>
      </c>
      <c r="E1504" t="s">
        <v>2825</v>
      </c>
      <c r="F1504" t="s">
        <v>2826</v>
      </c>
      <c r="G1504" t="s">
        <v>26</v>
      </c>
      <c r="H1504" t="s">
        <v>27</v>
      </c>
      <c r="I1504" t="s">
        <v>206</v>
      </c>
      <c r="J1504" t="s">
        <v>207</v>
      </c>
      <c r="K1504" t="s">
        <v>95</v>
      </c>
      <c r="L1504" t="s">
        <v>831</v>
      </c>
      <c r="M1504" t="s">
        <v>32</v>
      </c>
      <c r="N1504" t="s">
        <v>33</v>
      </c>
      <c r="O1504" t="s">
        <v>832</v>
      </c>
      <c r="P1504">
        <v>110.97</v>
      </c>
      <c r="Q1504">
        <v>5</v>
      </c>
      <c r="R1504">
        <v>-24.043500000000002</v>
      </c>
      <c r="S1504" s="3" t="s">
        <v>53</v>
      </c>
      <c r="T1504">
        <v>2015</v>
      </c>
      <c r="U1504" t="s">
        <v>118</v>
      </c>
      <c r="V1504" s="2">
        <v>-0.21666666666666701</v>
      </c>
    </row>
    <row r="1505" spans="1:22" x14ac:dyDescent="0.25">
      <c r="A1505" t="s">
        <v>3702</v>
      </c>
      <c r="B1505" s="1">
        <v>42983</v>
      </c>
      <c r="C1505" s="1">
        <v>42987</v>
      </c>
      <c r="D1505" t="s">
        <v>23</v>
      </c>
      <c r="E1505" t="s">
        <v>3703</v>
      </c>
      <c r="F1505" t="s">
        <v>3704</v>
      </c>
      <c r="G1505" t="s">
        <v>26</v>
      </c>
      <c r="H1505" t="s">
        <v>27</v>
      </c>
      <c r="I1505" t="s">
        <v>3705</v>
      </c>
      <c r="J1505" t="s">
        <v>2319</v>
      </c>
      <c r="K1505" t="s">
        <v>155</v>
      </c>
      <c r="L1505" t="s">
        <v>1405</v>
      </c>
      <c r="M1505" t="s">
        <v>32</v>
      </c>
      <c r="N1505" t="s">
        <v>51</v>
      </c>
      <c r="O1505" t="s">
        <v>1406</v>
      </c>
      <c r="P1505">
        <v>89.567999999999998</v>
      </c>
      <c r="Q1505">
        <v>4</v>
      </c>
      <c r="R1505">
        <v>-1.1195999999999999</v>
      </c>
      <c r="S1505" s="3" t="s">
        <v>53</v>
      </c>
      <c r="T1505">
        <v>2017</v>
      </c>
      <c r="U1505" t="s">
        <v>81</v>
      </c>
      <c r="V1505" s="2">
        <v>-1.2500000000000001E-2</v>
      </c>
    </row>
    <row r="1506" spans="1:22" x14ac:dyDescent="0.25">
      <c r="A1506" t="s">
        <v>3706</v>
      </c>
      <c r="B1506" s="1">
        <v>42316</v>
      </c>
      <c r="C1506" s="1">
        <v>42316</v>
      </c>
      <c r="D1506" t="s">
        <v>677</v>
      </c>
      <c r="E1506" t="s">
        <v>3707</v>
      </c>
      <c r="F1506" t="s">
        <v>3708</v>
      </c>
      <c r="G1506" t="s">
        <v>59</v>
      </c>
      <c r="H1506" t="s">
        <v>27</v>
      </c>
      <c r="I1506" t="s">
        <v>103</v>
      </c>
      <c r="J1506" t="s">
        <v>104</v>
      </c>
      <c r="K1506" t="s">
        <v>95</v>
      </c>
      <c r="L1506" t="s">
        <v>1082</v>
      </c>
      <c r="M1506" t="s">
        <v>32</v>
      </c>
      <c r="N1506" t="s">
        <v>33</v>
      </c>
      <c r="O1506" t="s">
        <v>1083</v>
      </c>
      <c r="P1506">
        <v>549.98</v>
      </c>
      <c r="Q1506">
        <v>2</v>
      </c>
      <c r="R1506">
        <v>142.9948</v>
      </c>
      <c r="S1506" s="3" t="s">
        <v>683</v>
      </c>
      <c r="T1506">
        <v>2015</v>
      </c>
      <c r="U1506" t="s">
        <v>118</v>
      </c>
      <c r="V1506" s="2">
        <v>0.26</v>
      </c>
    </row>
    <row r="1507" spans="1:22" x14ac:dyDescent="0.25">
      <c r="A1507" t="s">
        <v>3706</v>
      </c>
      <c r="B1507" s="1">
        <v>42316</v>
      </c>
      <c r="C1507" s="1">
        <v>42316</v>
      </c>
      <c r="D1507" t="s">
        <v>677</v>
      </c>
      <c r="E1507" t="s">
        <v>3707</v>
      </c>
      <c r="F1507" t="s">
        <v>3708</v>
      </c>
      <c r="G1507" t="s">
        <v>59</v>
      </c>
      <c r="H1507" t="s">
        <v>27</v>
      </c>
      <c r="I1507" t="s">
        <v>103</v>
      </c>
      <c r="J1507" t="s">
        <v>104</v>
      </c>
      <c r="K1507" t="s">
        <v>95</v>
      </c>
      <c r="L1507" t="s">
        <v>2813</v>
      </c>
      <c r="M1507" t="s">
        <v>32</v>
      </c>
      <c r="N1507" t="s">
        <v>215</v>
      </c>
      <c r="O1507" t="s">
        <v>2814</v>
      </c>
      <c r="P1507">
        <v>4643.8</v>
      </c>
      <c r="Q1507">
        <v>4</v>
      </c>
      <c r="R1507">
        <v>2229.0239999999999</v>
      </c>
      <c r="S1507" s="3" t="s">
        <v>683</v>
      </c>
      <c r="T1507">
        <v>2015</v>
      </c>
      <c r="U1507" t="s">
        <v>118</v>
      </c>
      <c r="V1507" s="2">
        <v>0.48</v>
      </c>
    </row>
    <row r="1508" spans="1:22" x14ac:dyDescent="0.25">
      <c r="A1508" t="s">
        <v>3709</v>
      </c>
      <c r="B1508" s="1">
        <v>42464</v>
      </c>
      <c r="C1508" s="1">
        <v>42468</v>
      </c>
      <c r="D1508" t="s">
        <v>40</v>
      </c>
      <c r="E1508" t="s">
        <v>2323</v>
      </c>
      <c r="F1508" t="s">
        <v>2324</v>
      </c>
      <c r="G1508" t="s">
        <v>70</v>
      </c>
      <c r="H1508" t="s">
        <v>27</v>
      </c>
      <c r="I1508" t="s">
        <v>111</v>
      </c>
      <c r="J1508" t="s">
        <v>104</v>
      </c>
      <c r="K1508" t="s">
        <v>95</v>
      </c>
      <c r="L1508" t="s">
        <v>1233</v>
      </c>
      <c r="M1508" t="s">
        <v>32</v>
      </c>
      <c r="N1508" t="s">
        <v>51</v>
      </c>
      <c r="O1508" t="s">
        <v>1234</v>
      </c>
      <c r="P1508">
        <v>89.97</v>
      </c>
      <c r="Q1508">
        <v>3</v>
      </c>
      <c r="R1508">
        <v>37.787399999999998</v>
      </c>
      <c r="S1508" s="3" t="s">
        <v>53</v>
      </c>
      <c r="T1508">
        <v>2016</v>
      </c>
      <c r="U1508" t="s">
        <v>291</v>
      </c>
      <c r="V1508" s="2">
        <v>0.42</v>
      </c>
    </row>
    <row r="1509" spans="1:22" x14ac:dyDescent="0.25">
      <c r="A1509" t="s">
        <v>3710</v>
      </c>
      <c r="B1509" s="1">
        <v>41883</v>
      </c>
      <c r="C1509" s="1">
        <v>41887</v>
      </c>
      <c r="D1509" t="s">
        <v>23</v>
      </c>
      <c r="E1509" t="s">
        <v>91</v>
      </c>
      <c r="F1509" t="s">
        <v>92</v>
      </c>
      <c r="G1509" t="s">
        <v>26</v>
      </c>
      <c r="H1509" t="s">
        <v>27</v>
      </c>
      <c r="I1509" t="s">
        <v>103</v>
      </c>
      <c r="J1509" t="s">
        <v>104</v>
      </c>
      <c r="K1509" t="s">
        <v>95</v>
      </c>
      <c r="L1509" t="s">
        <v>1513</v>
      </c>
      <c r="M1509" t="s">
        <v>32</v>
      </c>
      <c r="N1509" t="s">
        <v>51</v>
      </c>
      <c r="O1509" t="s">
        <v>1514</v>
      </c>
      <c r="P1509">
        <v>357</v>
      </c>
      <c r="Q1509">
        <v>3</v>
      </c>
      <c r="R1509">
        <v>57.12</v>
      </c>
      <c r="S1509" s="3" t="s">
        <v>53</v>
      </c>
      <c r="T1509">
        <v>2014</v>
      </c>
      <c r="U1509" t="s">
        <v>81</v>
      </c>
      <c r="V1509" s="2">
        <v>0.16</v>
      </c>
    </row>
    <row r="1510" spans="1:22" x14ac:dyDescent="0.25">
      <c r="A1510" t="s">
        <v>3711</v>
      </c>
      <c r="B1510" s="1">
        <v>41863</v>
      </c>
      <c r="C1510" s="1">
        <v>41867</v>
      </c>
      <c r="D1510" t="s">
        <v>23</v>
      </c>
      <c r="E1510" t="s">
        <v>3712</v>
      </c>
      <c r="F1510" t="s">
        <v>3713</v>
      </c>
      <c r="G1510" t="s">
        <v>26</v>
      </c>
      <c r="H1510" t="s">
        <v>27</v>
      </c>
      <c r="I1510" t="s">
        <v>43</v>
      </c>
      <c r="J1510" t="s">
        <v>29</v>
      </c>
      <c r="K1510" t="s">
        <v>30</v>
      </c>
      <c r="L1510" t="s">
        <v>1933</v>
      </c>
      <c r="M1510" t="s">
        <v>32</v>
      </c>
      <c r="N1510" t="s">
        <v>33</v>
      </c>
      <c r="O1510" t="s">
        <v>1934</v>
      </c>
      <c r="P1510">
        <v>806.33600000000001</v>
      </c>
      <c r="Q1510">
        <v>8</v>
      </c>
      <c r="R1510">
        <v>50.396000000000001</v>
      </c>
      <c r="S1510" s="3" t="s">
        <v>53</v>
      </c>
      <c r="T1510">
        <v>2014</v>
      </c>
      <c r="U1510" t="s">
        <v>46</v>
      </c>
      <c r="V1510" s="2">
        <v>6.25E-2</v>
      </c>
    </row>
    <row r="1511" spans="1:22" x14ac:dyDescent="0.25">
      <c r="A1511" t="s">
        <v>3714</v>
      </c>
      <c r="B1511" s="1">
        <v>42500</v>
      </c>
      <c r="C1511" s="1">
        <v>42503</v>
      </c>
      <c r="D1511" t="s">
        <v>40</v>
      </c>
      <c r="E1511" t="s">
        <v>285</v>
      </c>
      <c r="F1511" t="s">
        <v>286</v>
      </c>
      <c r="G1511" t="s">
        <v>70</v>
      </c>
      <c r="H1511" t="s">
        <v>27</v>
      </c>
      <c r="I1511" t="s">
        <v>206</v>
      </c>
      <c r="J1511" t="s">
        <v>207</v>
      </c>
      <c r="K1511" t="s">
        <v>95</v>
      </c>
      <c r="L1511" t="s">
        <v>773</v>
      </c>
      <c r="M1511" t="s">
        <v>32</v>
      </c>
      <c r="N1511" t="s">
        <v>33</v>
      </c>
      <c r="O1511" t="s">
        <v>774</v>
      </c>
      <c r="P1511">
        <v>743.98800000000006</v>
      </c>
      <c r="Q1511">
        <v>2</v>
      </c>
      <c r="R1511">
        <v>-123.998</v>
      </c>
      <c r="S1511" s="3" t="s">
        <v>172</v>
      </c>
      <c r="T1511">
        <v>2016</v>
      </c>
      <c r="U1511" t="s">
        <v>527</v>
      </c>
      <c r="V1511" s="2">
        <v>-0.16666666666666699</v>
      </c>
    </row>
    <row r="1512" spans="1:22" x14ac:dyDescent="0.25">
      <c r="A1512" t="s">
        <v>3715</v>
      </c>
      <c r="B1512" s="1">
        <v>42959</v>
      </c>
      <c r="C1512" s="1">
        <v>42966</v>
      </c>
      <c r="D1512" t="s">
        <v>23</v>
      </c>
      <c r="E1512" t="s">
        <v>2482</v>
      </c>
      <c r="F1512" t="s">
        <v>2483</v>
      </c>
      <c r="G1512" t="s">
        <v>26</v>
      </c>
      <c r="H1512" t="s">
        <v>27</v>
      </c>
      <c r="I1512" t="s">
        <v>481</v>
      </c>
      <c r="J1512" t="s">
        <v>426</v>
      </c>
      <c r="K1512" t="s">
        <v>30</v>
      </c>
      <c r="L1512" t="s">
        <v>1728</v>
      </c>
      <c r="M1512" t="s">
        <v>32</v>
      </c>
      <c r="N1512" t="s">
        <v>381</v>
      </c>
      <c r="O1512" t="s">
        <v>1729</v>
      </c>
      <c r="P1512">
        <v>299.99</v>
      </c>
      <c r="Q1512">
        <v>1</v>
      </c>
      <c r="R1512">
        <v>89.997</v>
      </c>
      <c r="S1512" s="3" t="s">
        <v>132</v>
      </c>
      <c r="T1512">
        <v>2017</v>
      </c>
      <c r="U1512" t="s">
        <v>46</v>
      </c>
      <c r="V1512" s="2">
        <v>0.3</v>
      </c>
    </row>
    <row r="1513" spans="1:22" x14ac:dyDescent="0.25">
      <c r="A1513" t="s">
        <v>3715</v>
      </c>
      <c r="B1513" s="1">
        <v>42959</v>
      </c>
      <c r="C1513" s="1">
        <v>42966</v>
      </c>
      <c r="D1513" t="s">
        <v>23</v>
      </c>
      <c r="E1513" t="s">
        <v>2482</v>
      </c>
      <c r="F1513" t="s">
        <v>2483</v>
      </c>
      <c r="G1513" t="s">
        <v>26</v>
      </c>
      <c r="H1513" t="s">
        <v>27</v>
      </c>
      <c r="I1513" t="s">
        <v>481</v>
      </c>
      <c r="J1513" t="s">
        <v>426</v>
      </c>
      <c r="K1513" t="s">
        <v>30</v>
      </c>
      <c r="L1513" t="s">
        <v>631</v>
      </c>
      <c r="M1513" t="s">
        <v>32</v>
      </c>
      <c r="N1513" t="s">
        <v>33</v>
      </c>
      <c r="O1513" t="s">
        <v>632</v>
      </c>
      <c r="P1513">
        <v>242.624</v>
      </c>
      <c r="Q1513">
        <v>8</v>
      </c>
      <c r="R1513">
        <v>27.295200000000001</v>
      </c>
      <c r="S1513" s="3" t="s">
        <v>132</v>
      </c>
      <c r="T1513">
        <v>2017</v>
      </c>
      <c r="U1513" t="s">
        <v>46</v>
      </c>
      <c r="V1513" s="2">
        <v>0.1125</v>
      </c>
    </row>
    <row r="1514" spans="1:22" x14ac:dyDescent="0.25">
      <c r="A1514" t="s">
        <v>3715</v>
      </c>
      <c r="B1514" s="1">
        <v>42959</v>
      </c>
      <c r="C1514" s="1">
        <v>42966</v>
      </c>
      <c r="D1514" t="s">
        <v>23</v>
      </c>
      <c r="E1514" t="s">
        <v>2482</v>
      </c>
      <c r="F1514" t="s">
        <v>2483</v>
      </c>
      <c r="G1514" t="s">
        <v>26</v>
      </c>
      <c r="H1514" t="s">
        <v>27</v>
      </c>
      <c r="I1514" t="s">
        <v>481</v>
      </c>
      <c r="J1514" t="s">
        <v>426</v>
      </c>
      <c r="K1514" t="s">
        <v>30</v>
      </c>
      <c r="L1514" t="s">
        <v>2058</v>
      </c>
      <c r="M1514" t="s">
        <v>32</v>
      </c>
      <c r="N1514" t="s">
        <v>51</v>
      </c>
      <c r="O1514" t="s">
        <v>2059</v>
      </c>
      <c r="P1514">
        <v>174.95</v>
      </c>
      <c r="Q1514">
        <v>5</v>
      </c>
      <c r="R1514">
        <v>12.246499999999999</v>
      </c>
      <c r="S1514" s="3" t="s">
        <v>132</v>
      </c>
      <c r="T1514">
        <v>2017</v>
      </c>
      <c r="U1514" t="s">
        <v>46</v>
      </c>
      <c r="V1514" s="2">
        <v>7.0000000000000007E-2</v>
      </c>
    </row>
    <row r="1515" spans="1:22" x14ac:dyDescent="0.25">
      <c r="A1515" t="s">
        <v>3716</v>
      </c>
      <c r="B1515" s="1">
        <v>41758</v>
      </c>
      <c r="C1515" s="1">
        <v>41763</v>
      </c>
      <c r="D1515" t="s">
        <v>23</v>
      </c>
      <c r="E1515" t="s">
        <v>3717</v>
      </c>
      <c r="F1515" t="s">
        <v>3718</v>
      </c>
      <c r="G1515" t="s">
        <v>26</v>
      </c>
      <c r="H1515" t="s">
        <v>27</v>
      </c>
      <c r="I1515" t="s">
        <v>93</v>
      </c>
      <c r="J1515" t="s">
        <v>94</v>
      </c>
      <c r="K1515" t="s">
        <v>95</v>
      </c>
      <c r="L1515" t="s">
        <v>518</v>
      </c>
      <c r="M1515" t="s">
        <v>32</v>
      </c>
      <c r="N1515" t="s">
        <v>33</v>
      </c>
      <c r="O1515" t="s">
        <v>519</v>
      </c>
      <c r="P1515">
        <v>19.98</v>
      </c>
      <c r="Q1515">
        <v>2</v>
      </c>
      <c r="R1515">
        <v>5.1947999999999999</v>
      </c>
      <c r="S1515" s="3" t="s">
        <v>35</v>
      </c>
      <c r="T1515">
        <v>2014</v>
      </c>
      <c r="U1515" t="s">
        <v>291</v>
      </c>
      <c r="V1515" s="2">
        <v>0.26</v>
      </c>
    </row>
    <row r="1516" spans="1:22" x14ac:dyDescent="0.25">
      <c r="A1516" t="s">
        <v>3719</v>
      </c>
      <c r="B1516" s="1">
        <v>42765</v>
      </c>
      <c r="C1516" s="1">
        <v>42772</v>
      </c>
      <c r="D1516" t="s">
        <v>23</v>
      </c>
      <c r="E1516" t="s">
        <v>3703</v>
      </c>
      <c r="F1516" t="s">
        <v>3704</v>
      </c>
      <c r="G1516" t="s">
        <v>26</v>
      </c>
      <c r="H1516" t="s">
        <v>27</v>
      </c>
      <c r="I1516" t="s">
        <v>146</v>
      </c>
      <c r="J1516" t="s">
        <v>78</v>
      </c>
      <c r="K1516" t="s">
        <v>62</v>
      </c>
      <c r="L1516" t="s">
        <v>2822</v>
      </c>
      <c r="M1516" t="s">
        <v>32</v>
      </c>
      <c r="N1516" t="s">
        <v>33</v>
      </c>
      <c r="O1516" t="s">
        <v>2823</v>
      </c>
      <c r="P1516">
        <v>2003.1679999999999</v>
      </c>
      <c r="Q1516">
        <v>4</v>
      </c>
      <c r="R1516">
        <v>250.39599999999999</v>
      </c>
      <c r="S1516" s="3" t="s">
        <v>132</v>
      </c>
      <c r="T1516">
        <v>2017</v>
      </c>
      <c r="U1516" t="s">
        <v>54</v>
      </c>
      <c r="V1516" s="2">
        <v>0.125</v>
      </c>
    </row>
    <row r="1517" spans="1:22" x14ac:dyDescent="0.25">
      <c r="A1517" t="s">
        <v>3720</v>
      </c>
      <c r="B1517" s="1">
        <v>42359</v>
      </c>
      <c r="C1517" s="1">
        <v>42364</v>
      </c>
      <c r="D1517" t="s">
        <v>40</v>
      </c>
      <c r="E1517" t="s">
        <v>2903</v>
      </c>
      <c r="F1517" t="s">
        <v>2904</v>
      </c>
      <c r="G1517" t="s">
        <v>70</v>
      </c>
      <c r="H1517" t="s">
        <v>27</v>
      </c>
      <c r="I1517" t="s">
        <v>3433</v>
      </c>
      <c r="J1517" t="s">
        <v>78</v>
      </c>
      <c r="K1517" t="s">
        <v>62</v>
      </c>
      <c r="L1517" t="s">
        <v>1017</v>
      </c>
      <c r="M1517" t="s">
        <v>32</v>
      </c>
      <c r="N1517" t="s">
        <v>215</v>
      </c>
      <c r="O1517" t="s">
        <v>1018</v>
      </c>
      <c r="P1517">
        <v>600.53</v>
      </c>
      <c r="Q1517">
        <v>2</v>
      </c>
      <c r="R1517">
        <v>137.26400000000001</v>
      </c>
      <c r="S1517" s="3" t="s">
        <v>35</v>
      </c>
      <c r="T1517">
        <v>2015</v>
      </c>
      <c r="U1517" t="s">
        <v>66</v>
      </c>
      <c r="V1517" s="2">
        <v>0.22857142857142901</v>
      </c>
    </row>
    <row r="1518" spans="1:22" x14ac:dyDescent="0.25">
      <c r="A1518" t="s">
        <v>3720</v>
      </c>
      <c r="B1518" s="1">
        <v>42359</v>
      </c>
      <c r="C1518" s="1">
        <v>42364</v>
      </c>
      <c r="D1518" t="s">
        <v>40</v>
      </c>
      <c r="E1518" t="s">
        <v>2903</v>
      </c>
      <c r="F1518" t="s">
        <v>2904</v>
      </c>
      <c r="G1518" t="s">
        <v>70</v>
      </c>
      <c r="H1518" t="s">
        <v>27</v>
      </c>
      <c r="I1518" t="s">
        <v>3433</v>
      </c>
      <c r="J1518" t="s">
        <v>78</v>
      </c>
      <c r="K1518" t="s">
        <v>62</v>
      </c>
      <c r="L1518" t="s">
        <v>930</v>
      </c>
      <c r="M1518" t="s">
        <v>32</v>
      </c>
      <c r="N1518" t="s">
        <v>51</v>
      </c>
      <c r="O1518" t="s">
        <v>931</v>
      </c>
      <c r="P1518">
        <v>637.44000000000005</v>
      </c>
      <c r="Q1518">
        <v>8</v>
      </c>
      <c r="R1518">
        <v>135.45599999999999</v>
      </c>
      <c r="S1518" s="3" t="s">
        <v>35</v>
      </c>
      <c r="T1518">
        <v>2015</v>
      </c>
      <c r="U1518" t="s">
        <v>66</v>
      </c>
      <c r="V1518" s="2">
        <v>0.21249999999999999</v>
      </c>
    </row>
    <row r="1519" spans="1:22" x14ac:dyDescent="0.25">
      <c r="A1519" t="s">
        <v>3721</v>
      </c>
      <c r="B1519" s="1">
        <v>41863</v>
      </c>
      <c r="C1519" s="1">
        <v>41867</v>
      </c>
      <c r="D1519" t="s">
        <v>23</v>
      </c>
      <c r="E1519" t="s">
        <v>3722</v>
      </c>
      <c r="F1519" t="s">
        <v>3723</v>
      </c>
      <c r="G1519" t="s">
        <v>70</v>
      </c>
      <c r="H1519" t="s">
        <v>27</v>
      </c>
      <c r="I1519" t="s">
        <v>643</v>
      </c>
      <c r="J1519" t="s">
        <v>288</v>
      </c>
      <c r="K1519" t="s">
        <v>155</v>
      </c>
      <c r="L1519" t="s">
        <v>876</v>
      </c>
      <c r="M1519" t="s">
        <v>32</v>
      </c>
      <c r="N1519" t="s">
        <v>51</v>
      </c>
      <c r="O1519" t="s">
        <v>877</v>
      </c>
      <c r="P1519">
        <v>158.928</v>
      </c>
      <c r="Q1519">
        <v>7</v>
      </c>
      <c r="R1519">
        <v>41.718600000000002</v>
      </c>
      <c r="S1519" s="3" t="s">
        <v>53</v>
      </c>
      <c r="T1519">
        <v>2014</v>
      </c>
      <c r="U1519" t="s">
        <v>46</v>
      </c>
      <c r="V1519" s="2">
        <v>0.26250000000000001</v>
      </c>
    </row>
    <row r="1520" spans="1:22" x14ac:dyDescent="0.25">
      <c r="A1520" t="s">
        <v>3724</v>
      </c>
      <c r="B1520" s="1">
        <v>42807</v>
      </c>
      <c r="C1520" s="1">
        <v>42811</v>
      </c>
      <c r="D1520" t="s">
        <v>23</v>
      </c>
      <c r="E1520" t="s">
        <v>3725</v>
      </c>
      <c r="F1520" t="s">
        <v>3726</v>
      </c>
      <c r="G1520" t="s">
        <v>26</v>
      </c>
      <c r="H1520" t="s">
        <v>27</v>
      </c>
      <c r="I1520" t="s">
        <v>103</v>
      </c>
      <c r="J1520" t="s">
        <v>104</v>
      </c>
      <c r="K1520" t="s">
        <v>95</v>
      </c>
      <c r="L1520" t="s">
        <v>1485</v>
      </c>
      <c r="M1520" t="s">
        <v>32</v>
      </c>
      <c r="N1520" t="s">
        <v>33</v>
      </c>
      <c r="O1520" t="s">
        <v>1486</v>
      </c>
      <c r="P1520">
        <v>299.89999999999998</v>
      </c>
      <c r="Q1520">
        <v>2</v>
      </c>
      <c r="R1520">
        <v>74.974999999999994</v>
      </c>
      <c r="S1520" s="3" t="s">
        <v>53</v>
      </c>
      <c r="T1520">
        <v>2017</v>
      </c>
      <c r="U1520" t="s">
        <v>89</v>
      </c>
      <c r="V1520" s="2">
        <v>0.25</v>
      </c>
    </row>
    <row r="1521" spans="1:22" x14ac:dyDescent="0.25">
      <c r="A1521" t="s">
        <v>3727</v>
      </c>
      <c r="B1521" s="1">
        <v>42520</v>
      </c>
      <c r="C1521" s="1">
        <v>42524</v>
      </c>
      <c r="D1521" t="s">
        <v>23</v>
      </c>
      <c r="E1521" t="s">
        <v>1936</v>
      </c>
      <c r="F1521" t="s">
        <v>1937</v>
      </c>
      <c r="G1521" t="s">
        <v>59</v>
      </c>
      <c r="H1521" t="s">
        <v>27</v>
      </c>
      <c r="I1521" t="s">
        <v>1490</v>
      </c>
      <c r="J1521" t="s">
        <v>693</v>
      </c>
      <c r="K1521" t="s">
        <v>155</v>
      </c>
      <c r="L1521" t="s">
        <v>271</v>
      </c>
      <c r="M1521" t="s">
        <v>32</v>
      </c>
      <c r="N1521" t="s">
        <v>51</v>
      </c>
      <c r="O1521" t="s">
        <v>272</v>
      </c>
      <c r="P1521">
        <v>111.98</v>
      </c>
      <c r="Q1521">
        <v>2</v>
      </c>
      <c r="R1521">
        <v>26.8752</v>
      </c>
      <c r="S1521" s="3" t="s">
        <v>53</v>
      </c>
      <c r="T1521">
        <v>2016</v>
      </c>
      <c r="U1521" t="s">
        <v>527</v>
      </c>
      <c r="V1521" s="2">
        <v>0.24</v>
      </c>
    </row>
    <row r="1522" spans="1:22" x14ac:dyDescent="0.25">
      <c r="A1522" t="s">
        <v>3728</v>
      </c>
      <c r="B1522" s="1">
        <v>42942</v>
      </c>
      <c r="C1522" s="1">
        <v>42948</v>
      </c>
      <c r="D1522" t="s">
        <v>23</v>
      </c>
      <c r="E1522" t="s">
        <v>3729</v>
      </c>
      <c r="F1522" t="s">
        <v>3730</v>
      </c>
      <c r="G1522" t="s">
        <v>59</v>
      </c>
      <c r="H1522" t="s">
        <v>27</v>
      </c>
      <c r="I1522" t="s">
        <v>28</v>
      </c>
      <c r="J1522" t="s">
        <v>29</v>
      </c>
      <c r="K1522" t="s">
        <v>30</v>
      </c>
      <c r="L1522" t="s">
        <v>2955</v>
      </c>
      <c r="M1522" t="s">
        <v>32</v>
      </c>
      <c r="N1522" t="s">
        <v>51</v>
      </c>
      <c r="O1522" t="s">
        <v>2956</v>
      </c>
      <c r="P1522">
        <v>1649.95</v>
      </c>
      <c r="Q1522">
        <v>5</v>
      </c>
      <c r="R1522">
        <v>659.98</v>
      </c>
      <c r="S1522" s="3" t="s">
        <v>107</v>
      </c>
      <c r="T1522">
        <v>2017</v>
      </c>
      <c r="U1522" t="s">
        <v>332</v>
      </c>
      <c r="V1522" s="2">
        <v>0.4</v>
      </c>
    </row>
    <row r="1523" spans="1:22" x14ac:dyDescent="0.25">
      <c r="A1523" t="s">
        <v>3731</v>
      </c>
      <c r="B1523" s="1">
        <v>41943</v>
      </c>
      <c r="C1523" s="1">
        <v>41945</v>
      </c>
      <c r="D1523" t="s">
        <v>40</v>
      </c>
      <c r="E1523" t="s">
        <v>3732</v>
      </c>
      <c r="F1523" t="s">
        <v>3733</v>
      </c>
      <c r="G1523" t="s">
        <v>70</v>
      </c>
      <c r="H1523" t="s">
        <v>27</v>
      </c>
      <c r="I1523" t="s">
        <v>43</v>
      </c>
      <c r="J1523" t="s">
        <v>29</v>
      </c>
      <c r="K1523" t="s">
        <v>30</v>
      </c>
      <c r="L1523" t="s">
        <v>614</v>
      </c>
      <c r="M1523" t="s">
        <v>32</v>
      </c>
      <c r="N1523" t="s">
        <v>33</v>
      </c>
      <c r="O1523" t="s">
        <v>615</v>
      </c>
      <c r="P1523">
        <v>73.584000000000003</v>
      </c>
      <c r="Q1523">
        <v>2</v>
      </c>
      <c r="R1523">
        <v>8.2782</v>
      </c>
      <c r="S1523" s="3" t="s">
        <v>65</v>
      </c>
      <c r="T1523">
        <v>2014</v>
      </c>
      <c r="U1523" t="s">
        <v>133</v>
      </c>
      <c r="V1523" s="2">
        <v>0.1125</v>
      </c>
    </row>
    <row r="1524" spans="1:22" x14ac:dyDescent="0.25">
      <c r="A1524" t="s">
        <v>3734</v>
      </c>
      <c r="B1524" s="1">
        <v>42761</v>
      </c>
      <c r="C1524" s="1">
        <v>42766</v>
      </c>
      <c r="D1524" t="s">
        <v>23</v>
      </c>
      <c r="E1524" t="s">
        <v>559</v>
      </c>
      <c r="F1524" t="s">
        <v>560</v>
      </c>
      <c r="G1524" t="s">
        <v>26</v>
      </c>
      <c r="H1524" t="s">
        <v>27</v>
      </c>
      <c r="I1524" t="s">
        <v>176</v>
      </c>
      <c r="J1524" t="s">
        <v>1006</v>
      </c>
      <c r="K1524" t="s">
        <v>155</v>
      </c>
      <c r="L1524" t="s">
        <v>2021</v>
      </c>
      <c r="M1524" t="s">
        <v>32</v>
      </c>
      <c r="N1524" t="s">
        <v>33</v>
      </c>
      <c r="O1524" t="s">
        <v>2022</v>
      </c>
      <c r="P1524">
        <v>2939.93</v>
      </c>
      <c r="Q1524">
        <v>7</v>
      </c>
      <c r="R1524">
        <v>764.3818</v>
      </c>
      <c r="S1524" s="3" t="s">
        <v>35</v>
      </c>
      <c r="T1524">
        <v>2017</v>
      </c>
      <c r="U1524" t="s">
        <v>54</v>
      </c>
      <c r="V1524" s="2">
        <v>0.26</v>
      </c>
    </row>
    <row r="1525" spans="1:22" x14ac:dyDescent="0.25">
      <c r="A1525" t="s">
        <v>3735</v>
      </c>
      <c r="B1525" s="1">
        <v>42986</v>
      </c>
      <c r="C1525" s="1">
        <v>42987</v>
      </c>
      <c r="D1525" t="s">
        <v>56</v>
      </c>
      <c r="E1525" t="s">
        <v>3273</v>
      </c>
      <c r="F1525" t="s">
        <v>3274</v>
      </c>
      <c r="G1525" t="s">
        <v>70</v>
      </c>
      <c r="H1525" t="s">
        <v>27</v>
      </c>
      <c r="I1525" t="s">
        <v>3054</v>
      </c>
      <c r="J1525" t="s">
        <v>288</v>
      </c>
      <c r="K1525" t="s">
        <v>155</v>
      </c>
      <c r="L1525" t="s">
        <v>1191</v>
      </c>
      <c r="M1525" t="s">
        <v>32</v>
      </c>
      <c r="N1525" t="s">
        <v>33</v>
      </c>
      <c r="O1525" t="s">
        <v>1192</v>
      </c>
      <c r="P1525">
        <v>158.376</v>
      </c>
      <c r="Q1525">
        <v>3</v>
      </c>
      <c r="R1525">
        <v>13.857900000000001</v>
      </c>
      <c r="S1525" s="3" t="s">
        <v>112</v>
      </c>
      <c r="T1525">
        <v>2017</v>
      </c>
      <c r="U1525" t="s">
        <v>81</v>
      </c>
      <c r="V1525" s="2">
        <v>8.7499999999999994E-2</v>
      </c>
    </row>
    <row r="1526" spans="1:22" x14ac:dyDescent="0.25">
      <c r="A1526" t="s">
        <v>3736</v>
      </c>
      <c r="B1526" s="1">
        <v>43046</v>
      </c>
      <c r="C1526" s="1">
        <v>43050</v>
      </c>
      <c r="D1526" t="s">
        <v>23</v>
      </c>
      <c r="E1526" t="s">
        <v>576</v>
      </c>
      <c r="F1526" t="s">
        <v>577</v>
      </c>
      <c r="G1526" t="s">
        <v>26</v>
      </c>
      <c r="H1526" t="s">
        <v>27</v>
      </c>
      <c r="I1526" t="s">
        <v>103</v>
      </c>
      <c r="J1526" t="s">
        <v>104</v>
      </c>
      <c r="K1526" t="s">
        <v>95</v>
      </c>
      <c r="L1526" t="s">
        <v>3737</v>
      </c>
      <c r="M1526" t="s">
        <v>32</v>
      </c>
      <c r="N1526" t="s">
        <v>51</v>
      </c>
      <c r="O1526" t="s">
        <v>3738</v>
      </c>
      <c r="P1526">
        <v>7.88</v>
      </c>
      <c r="Q1526">
        <v>4</v>
      </c>
      <c r="R1526">
        <v>2.5215999999999998</v>
      </c>
      <c r="S1526" s="3" t="s">
        <v>53</v>
      </c>
      <c r="T1526">
        <v>2017</v>
      </c>
      <c r="U1526" t="s">
        <v>118</v>
      </c>
      <c r="V1526" s="2">
        <v>0.32</v>
      </c>
    </row>
    <row r="1527" spans="1:22" x14ac:dyDescent="0.25">
      <c r="A1527" t="s">
        <v>3739</v>
      </c>
      <c r="B1527" s="1">
        <v>42000</v>
      </c>
      <c r="C1527" s="1">
        <v>42007</v>
      </c>
      <c r="D1527" t="s">
        <v>23</v>
      </c>
      <c r="E1527" t="s">
        <v>3350</v>
      </c>
      <c r="F1527" t="s">
        <v>3351</v>
      </c>
      <c r="G1527" t="s">
        <v>59</v>
      </c>
      <c r="H1527" t="s">
        <v>27</v>
      </c>
      <c r="I1527" t="s">
        <v>222</v>
      </c>
      <c r="J1527" t="s">
        <v>555</v>
      </c>
      <c r="K1527" t="s">
        <v>155</v>
      </c>
      <c r="L1527" t="s">
        <v>930</v>
      </c>
      <c r="M1527" t="s">
        <v>32</v>
      </c>
      <c r="N1527" t="s">
        <v>51</v>
      </c>
      <c r="O1527" t="s">
        <v>931</v>
      </c>
      <c r="P1527">
        <v>498</v>
      </c>
      <c r="Q1527">
        <v>5</v>
      </c>
      <c r="R1527">
        <v>184.26</v>
      </c>
      <c r="S1527" s="3" t="s">
        <v>132</v>
      </c>
      <c r="T1527">
        <v>2014</v>
      </c>
      <c r="U1527" t="s">
        <v>66</v>
      </c>
      <c r="V1527" s="2">
        <v>0.37</v>
      </c>
    </row>
    <row r="1528" spans="1:22" x14ac:dyDescent="0.25">
      <c r="A1528" t="s">
        <v>3740</v>
      </c>
      <c r="B1528" s="1">
        <v>42124</v>
      </c>
      <c r="C1528" s="1">
        <v>42128</v>
      </c>
      <c r="D1528" t="s">
        <v>23</v>
      </c>
      <c r="E1528" t="s">
        <v>3741</v>
      </c>
      <c r="F1528" t="s">
        <v>3742</v>
      </c>
      <c r="G1528" t="s">
        <v>59</v>
      </c>
      <c r="H1528" t="s">
        <v>27</v>
      </c>
      <c r="I1528" t="s">
        <v>2429</v>
      </c>
      <c r="J1528" t="s">
        <v>1249</v>
      </c>
      <c r="K1528" t="s">
        <v>95</v>
      </c>
      <c r="L1528" t="s">
        <v>1238</v>
      </c>
      <c r="M1528" t="s">
        <v>32</v>
      </c>
      <c r="N1528" t="s">
        <v>33</v>
      </c>
      <c r="O1528" t="s">
        <v>1239</v>
      </c>
      <c r="P1528">
        <v>209.5</v>
      </c>
      <c r="Q1528">
        <v>10</v>
      </c>
      <c r="R1528">
        <v>58.66</v>
      </c>
      <c r="S1528" s="3" t="s">
        <v>53</v>
      </c>
      <c r="T1528">
        <v>2015</v>
      </c>
      <c r="U1528" t="s">
        <v>291</v>
      </c>
      <c r="V1528" s="2">
        <v>0.28000000000000003</v>
      </c>
    </row>
    <row r="1529" spans="1:22" x14ac:dyDescent="0.25">
      <c r="A1529" t="s">
        <v>3743</v>
      </c>
      <c r="B1529" s="1">
        <v>41740</v>
      </c>
      <c r="C1529" s="1">
        <v>41747</v>
      </c>
      <c r="D1529" t="s">
        <v>23</v>
      </c>
      <c r="E1529" t="s">
        <v>2966</v>
      </c>
      <c r="F1529" t="s">
        <v>2967</v>
      </c>
      <c r="G1529" t="s">
        <v>26</v>
      </c>
      <c r="H1529" t="s">
        <v>27</v>
      </c>
      <c r="I1529" t="s">
        <v>538</v>
      </c>
      <c r="J1529" t="s">
        <v>539</v>
      </c>
      <c r="K1529" t="s">
        <v>30</v>
      </c>
      <c r="L1529" t="s">
        <v>589</v>
      </c>
      <c r="M1529" t="s">
        <v>32</v>
      </c>
      <c r="N1529" t="s">
        <v>33</v>
      </c>
      <c r="O1529" t="s">
        <v>590</v>
      </c>
      <c r="P1529">
        <v>105.584</v>
      </c>
      <c r="Q1529">
        <v>2</v>
      </c>
      <c r="R1529">
        <v>9.2385999999999999</v>
      </c>
      <c r="S1529" s="3" t="s">
        <v>132</v>
      </c>
      <c r="T1529">
        <v>2014</v>
      </c>
      <c r="U1529" t="s">
        <v>291</v>
      </c>
      <c r="V1529" s="2">
        <v>8.7499999999999994E-2</v>
      </c>
    </row>
    <row r="1530" spans="1:22" x14ac:dyDescent="0.25">
      <c r="A1530" t="s">
        <v>3743</v>
      </c>
      <c r="B1530" s="1">
        <v>41740</v>
      </c>
      <c r="C1530" s="1">
        <v>41747</v>
      </c>
      <c r="D1530" t="s">
        <v>23</v>
      </c>
      <c r="E1530" t="s">
        <v>2966</v>
      </c>
      <c r="F1530" t="s">
        <v>2967</v>
      </c>
      <c r="G1530" t="s">
        <v>26</v>
      </c>
      <c r="H1530" t="s">
        <v>27</v>
      </c>
      <c r="I1530" t="s">
        <v>538</v>
      </c>
      <c r="J1530" t="s">
        <v>539</v>
      </c>
      <c r="K1530" t="s">
        <v>30</v>
      </c>
      <c r="L1530" t="s">
        <v>2185</v>
      </c>
      <c r="M1530" t="s">
        <v>32</v>
      </c>
      <c r="N1530" t="s">
        <v>51</v>
      </c>
      <c r="O1530" t="s">
        <v>2186</v>
      </c>
      <c r="P1530">
        <v>217.44</v>
      </c>
      <c r="Q1530">
        <v>6</v>
      </c>
      <c r="R1530">
        <v>91.324799999999996</v>
      </c>
      <c r="S1530" s="3" t="s">
        <v>132</v>
      </c>
      <c r="T1530">
        <v>2014</v>
      </c>
      <c r="U1530" t="s">
        <v>291</v>
      </c>
      <c r="V1530" s="2">
        <v>0.42</v>
      </c>
    </row>
    <row r="1531" spans="1:22" x14ac:dyDescent="0.25">
      <c r="A1531" t="s">
        <v>3744</v>
      </c>
      <c r="B1531" s="1">
        <v>42853</v>
      </c>
      <c r="C1531" s="1">
        <v>42857</v>
      </c>
      <c r="D1531" t="s">
        <v>23</v>
      </c>
      <c r="E1531" t="s">
        <v>3745</v>
      </c>
      <c r="F1531" t="s">
        <v>3746</v>
      </c>
      <c r="G1531" t="s">
        <v>26</v>
      </c>
      <c r="H1531" t="s">
        <v>27</v>
      </c>
      <c r="I1531" t="s">
        <v>3747</v>
      </c>
      <c r="J1531" t="s">
        <v>288</v>
      </c>
      <c r="K1531" t="s">
        <v>155</v>
      </c>
      <c r="L1531" t="s">
        <v>1426</v>
      </c>
      <c r="M1531" t="s">
        <v>32</v>
      </c>
      <c r="N1531" t="s">
        <v>33</v>
      </c>
      <c r="O1531" t="s">
        <v>1427</v>
      </c>
      <c r="P1531">
        <v>751.98400000000004</v>
      </c>
      <c r="Q1531">
        <v>2</v>
      </c>
      <c r="R1531">
        <v>84.598200000000006</v>
      </c>
      <c r="S1531" s="3" t="s">
        <v>53</v>
      </c>
      <c r="T1531">
        <v>2017</v>
      </c>
      <c r="U1531" t="s">
        <v>291</v>
      </c>
      <c r="V1531" s="2">
        <v>0.1125</v>
      </c>
    </row>
    <row r="1532" spans="1:22" x14ac:dyDescent="0.25">
      <c r="A1532" t="s">
        <v>3748</v>
      </c>
      <c r="B1532" s="1">
        <v>42765</v>
      </c>
      <c r="C1532" s="1">
        <v>42768</v>
      </c>
      <c r="D1532" t="s">
        <v>56</v>
      </c>
      <c r="E1532" t="s">
        <v>2903</v>
      </c>
      <c r="F1532" t="s">
        <v>2904</v>
      </c>
      <c r="G1532" t="s">
        <v>70</v>
      </c>
      <c r="H1532" t="s">
        <v>27</v>
      </c>
      <c r="I1532" t="s">
        <v>481</v>
      </c>
      <c r="J1532" t="s">
        <v>426</v>
      </c>
      <c r="K1532" t="s">
        <v>30</v>
      </c>
      <c r="L1532" t="s">
        <v>31</v>
      </c>
      <c r="M1532" t="s">
        <v>32</v>
      </c>
      <c r="N1532" t="s">
        <v>33</v>
      </c>
      <c r="O1532" t="s">
        <v>34</v>
      </c>
      <c r="P1532">
        <v>604.76800000000003</v>
      </c>
      <c r="Q1532">
        <v>4</v>
      </c>
      <c r="R1532">
        <v>60.476799999999997</v>
      </c>
      <c r="S1532" s="3" t="s">
        <v>172</v>
      </c>
      <c r="T1532">
        <v>2017</v>
      </c>
      <c r="U1532" t="s">
        <v>54</v>
      </c>
      <c r="V1532" s="2">
        <v>0.1</v>
      </c>
    </row>
    <row r="1533" spans="1:22" x14ac:dyDescent="0.25">
      <c r="A1533" t="s">
        <v>3749</v>
      </c>
      <c r="B1533" s="1">
        <v>42446</v>
      </c>
      <c r="C1533" s="1">
        <v>42448</v>
      </c>
      <c r="D1533" t="s">
        <v>40</v>
      </c>
      <c r="E1533" t="s">
        <v>3154</v>
      </c>
      <c r="F1533" t="s">
        <v>3155</v>
      </c>
      <c r="G1533" t="s">
        <v>26</v>
      </c>
      <c r="H1533" t="s">
        <v>27</v>
      </c>
      <c r="I1533" t="s">
        <v>43</v>
      </c>
      <c r="J1533" t="s">
        <v>29</v>
      </c>
      <c r="K1533" t="s">
        <v>30</v>
      </c>
      <c r="L1533" t="s">
        <v>595</v>
      </c>
      <c r="M1533" t="s">
        <v>32</v>
      </c>
      <c r="N1533" t="s">
        <v>33</v>
      </c>
      <c r="O1533" t="s">
        <v>596</v>
      </c>
      <c r="P1533">
        <v>84.784000000000006</v>
      </c>
      <c r="Q1533">
        <v>2</v>
      </c>
      <c r="R1533">
        <v>-20.136199999999999</v>
      </c>
      <c r="S1533" s="3" t="s">
        <v>65</v>
      </c>
      <c r="T1533">
        <v>2016</v>
      </c>
      <c r="U1533" t="s">
        <v>89</v>
      </c>
      <c r="V1533" s="2">
        <v>-0.23749999999999999</v>
      </c>
    </row>
    <row r="1534" spans="1:22" x14ac:dyDescent="0.25">
      <c r="A1534" t="s">
        <v>3750</v>
      </c>
      <c r="B1534" s="1">
        <v>42700</v>
      </c>
      <c r="C1534" s="1">
        <v>42702</v>
      </c>
      <c r="D1534" t="s">
        <v>56</v>
      </c>
      <c r="E1534" t="s">
        <v>1802</v>
      </c>
      <c r="F1534" t="s">
        <v>1803</v>
      </c>
      <c r="G1534" t="s">
        <v>70</v>
      </c>
      <c r="H1534" t="s">
        <v>27</v>
      </c>
      <c r="I1534" t="s">
        <v>3751</v>
      </c>
      <c r="J1534" t="s">
        <v>1451</v>
      </c>
      <c r="K1534" t="s">
        <v>95</v>
      </c>
      <c r="L1534" t="s">
        <v>972</v>
      </c>
      <c r="M1534" t="s">
        <v>32</v>
      </c>
      <c r="N1534" t="s">
        <v>51</v>
      </c>
      <c r="O1534" t="s">
        <v>973</v>
      </c>
      <c r="P1534">
        <v>59.97</v>
      </c>
      <c r="Q1534">
        <v>3</v>
      </c>
      <c r="R1534">
        <v>14.9925</v>
      </c>
      <c r="S1534" s="3" t="s">
        <v>65</v>
      </c>
      <c r="T1534">
        <v>2016</v>
      </c>
      <c r="U1534" t="s">
        <v>118</v>
      </c>
      <c r="V1534" s="2">
        <v>0.25</v>
      </c>
    </row>
    <row r="1535" spans="1:22" x14ac:dyDescent="0.25">
      <c r="A1535" t="s">
        <v>3752</v>
      </c>
      <c r="B1535" s="1">
        <v>42705</v>
      </c>
      <c r="C1535" s="1">
        <v>42710</v>
      </c>
      <c r="D1535" t="s">
        <v>40</v>
      </c>
      <c r="E1535" t="s">
        <v>2897</v>
      </c>
      <c r="F1535" t="s">
        <v>2898</v>
      </c>
      <c r="G1535" t="s">
        <v>26</v>
      </c>
      <c r="H1535" t="s">
        <v>27</v>
      </c>
      <c r="I1535" t="s">
        <v>184</v>
      </c>
      <c r="J1535" t="s">
        <v>1249</v>
      </c>
      <c r="K1535" t="s">
        <v>95</v>
      </c>
      <c r="L1535" t="s">
        <v>2671</v>
      </c>
      <c r="M1535" t="s">
        <v>32</v>
      </c>
      <c r="N1535" t="s">
        <v>33</v>
      </c>
      <c r="O1535" t="s">
        <v>2672</v>
      </c>
      <c r="P1535">
        <v>137.94</v>
      </c>
      <c r="Q1535">
        <v>3</v>
      </c>
      <c r="R1535">
        <v>35.864400000000003</v>
      </c>
      <c r="S1535" s="3" t="s">
        <v>35</v>
      </c>
      <c r="T1535">
        <v>2016</v>
      </c>
      <c r="U1535" t="s">
        <v>66</v>
      </c>
      <c r="V1535" s="2">
        <v>0.26</v>
      </c>
    </row>
    <row r="1536" spans="1:22" x14ac:dyDescent="0.25">
      <c r="A1536" t="s">
        <v>3753</v>
      </c>
      <c r="B1536" s="1">
        <v>42924</v>
      </c>
      <c r="C1536" s="1">
        <v>42928</v>
      </c>
      <c r="D1536" t="s">
        <v>23</v>
      </c>
      <c r="E1536" t="s">
        <v>3754</v>
      </c>
      <c r="F1536" t="s">
        <v>3755</v>
      </c>
      <c r="G1536" t="s">
        <v>59</v>
      </c>
      <c r="H1536" t="s">
        <v>27</v>
      </c>
      <c r="I1536" t="s">
        <v>1458</v>
      </c>
      <c r="J1536" t="s">
        <v>94</v>
      </c>
      <c r="K1536" t="s">
        <v>95</v>
      </c>
      <c r="L1536" t="s">
        <v>876</v>
      </c>
      <c r="M1536" t="s">
        <v>32</v>
      </c>
      <c r="N1536" t="s">
        <v>51</v>
      </c>
      <c r="O1536" t="s">
        <v>877</v>
      </c>
      <c r="P1536">
        <v>141.9</v>
      </c>
      <c r="Q1536">
        <v>5</v>
      </c>
      <c r="R1536">
        <v>58.179000000000002</v>
      </c>
      <c r="S1536" s="3" t="s">
        <v>53</v>
      </c>
      <c r="T1536">
        <v>2017</v>
      </c>
      <c r="U1536" t="s">
        <v>332</v>
      </c>
      <c r="V1536" s="2">
        <v>0.41</v>
      </c>
    </row>
    <row r="1537" spans="1:22" x14ac:dyDescent="0.25">
      <c r="A1537" t="s">
        <v>3756</v>
      </c>
      <c r="B1537" s="1">
        <v>42721</v>
      </c>
      <c r="C1537" s="1">
        <v>42725</v>
      </c>
      <c r="D1537" t="s">
        <v>23</v>
      </c>
      <c r="E1537" t="s">
        <v>3757</v>
      </c>
      <c r="F1537" t="s">
        <v>3758</v>
      </c>
      <c r="G1537" t="s">
        <v>59</v>
      </c>
      <c r="H1537" t="s">
        <v>27</v>
      </c>
      <c r="I1537" t="s">
        <v>1490</v>
      </c>
      <c r="J1537" t="s">
        <v>61</v>
      </c>
      <c r="K1537" t="s">
        <v>62</v>
      </c>
      <c r="L1537" t="s">
        <v>2485</v>
      </c>
      <c r="M1537" t="s">
        <v>32</v>
      </c>
      <c r="N1537" t="s">
        <v>51</v>
      </c>
      <c r="O1537" t="s">
        <v>2486</v>
      </c>
      <c r="P1537">
        <v>165.6</v>
      </c>
      <c r="Q1537">
        <v>3</v>
      </c>
      <c r="R1537">
        <v>-6.21</v>
      </c>
      <c r="S1537" s="3" t="s">
        <v>53</v>
      </c>
      <c r="T1537">
        <v>2016</v>
      </c>
      <c r="U1537" t="s">
        <v>66</v>
      </c>
      <c r="V1537" s="2">
        <v>-3.7499999999999999E-2</v>
      </c>
    </row>
    <row r="1538" spans="1:22" x14ac:dyDescent="0.25">
      <c r="A1538" t="s">
        <v>3759</v>
      </c>
      <c r="B1538" s="1">
        <v>42864</v>
      </c>
      <c r="C1538" s="1">
        <v>42866</v>
      </c>
      <c r="D1538" t="s">
        <v>56</v>
      </c>
      <c r="E1538" t="s">
        <v>3559</v>
      </c>
      <c r="F1538" t="s">
        <v>3560</v>
      </c>
      <c r="G1538" t="s">
        <v>70</v>
      </c>
      <c r="H1538" t="s">
        <v>27</v>
      </c>
      <c r="I1538" t="s">
        <v>481</v>
      </c>
      <c r="J1538" t="s">
        <v>426</v>
      </c>
      <c r="K1538" t="s">
        <v>30</v>
      </c>
      <c r="L1538" t="s">
        <v>1756</v>
      </c>
      <c r="M1538" t="s">
        <v>32</v>
      </c>
      <c r="N1538" t="s">
        <v>51</v>
      </c>
      <c r="O1538" t="s">
        <v>1757</v>
      </c>
      <c r="P1538">
        <v>199.98</v>
      </c>
      <c r="Q1538">
        <v>2</v>
      </c>
      <c r="R1538">
        <v>87.991200000000006</v>
      </c>
      <c r="S1538" s="3" t="s">
        <v>65</v>
      </c>
      <c r="T1538">
        <v>2017</v>
      </c>
      <c r="U1538" t="s">
        <v>527</v>
      </c>
      <c r="V1538" s="2">
        <v>0.44</v>
      </c>
    </row>
    <row r="1539" spans="1:22" x14ac:dyDescent="0.25">
      <c r="A1539" t="s">
        <v>3760</v>
      </c>
      <c r="B1539" s="1">
        <v>43020</v>
      </c>
      <c r="C1539" s="1">
        <v>43024</v>
      </c>
      <c r="D1539" t="s">
        <v>23</v>
      </c>
      <c r="E1539" t="s">
        <v>197</v>
      </c>
      <c r="F1539" t="s">
        <v>198</v>
      </c>
      <c r="G1539" t="s">
        <v>26</v>
      </c>
      <c r="H1539" t="s">
        <v>27</v>
      </c>
      <c r="I1539" t="s">
        <v>1040</v>
      </c>
      <c r="J1539" t="s">
        <v>794</v>
      </c>
      <c r="K1539" t="s">
        <v>95</v>
      </c>
      <c r="L1539" t="s">
        <v>96</v>
      </c>
      <c r="M1539" t="s">
        <v>32</v>
      </c>
      <c r="N1539" t="s">
        <v>51</v>
      </c>
      <c r="O1539" t="s">
        <v>97</v>
      </c>
      <c r="P1539">
        <v>45</v>
      </c>
      <c r="Q1539">
        <v>3</v>
      </c>
      <c r="R1539">
        <v>4.95</v>
      </c>
      <c r="S1539" s="3" t="s">
        <v>53</v>
      </c>
      <c r="T1539">
        <v>2017</v>
      </c>
      <c r="U1539" t="s">
        <v>133</v>
      </c>
      <c r="V1539" s="2">
        <v>0.11</v>
      </c>
    </row>
    <row r="1540" spans="1:22" x14ac:dyDescent="0.25">
      <c r="A1540" t="s">
        <v>3761</v>
      </c>
      <c r="B1540" s="1">
        <v>43051</v>
      </c>
      <c r="C1540" s="1">
        <v>43055</v>
      </c>
      <c r="D1540" t="s">
        <v>23</v>
      </c>
      <c r="E1540" t="s">
        <v>1810</v>
      </c>
      <c r="F1540" t="s">
        <v>1811</v>
      </c>
      <c r="G1540" t="s">
        <v>59</v>
      </c>
      <c r="H1540" t="s">
        <v>27</v>
      </c>
      <c r="I1540" t="s">
        <v>2141</v>
      </c>
      <c r="J1540" t="s">
        <v>123</v>
      </c>
      <c r="K1540" t="s">
        <v>30</v>
      </c>
      <c r="L1540" t="s">
        <v>1939</v>
      </c>
      <c r="M1540" t="s">
        <v>32</v>
      </c>
      <c r="N1540" t="s">
        <v>51</v>
      </c>
      <c r="O1540" t="s">
        <v>1940</v>
      </c>
      <c r="P1540">
        <v>62.351999999999997</v>
      </c>
      <c r="Q1540">
        <v>6</v>
      </c>
      <c r="R1540">
        <v>-10.9116</v>
      </c>
      <c r="S1540" s="3" t="s">
        <v>53</v>
      </c>
      <c r="T1540">
        <v>2017</v>
      </c>
      <c r="U1540" t="s">
        <v>118</v>
      </c>
      <c r="V1540" s="2">
        <v>-0.17499999999999999</v>
      </c>
    </row>
    <row r="1541" spans="1:22" x14ac:dyDescent="0.25">
      <c r="A1541" t="s">
        <v>3762</v>
      </c>
      <c r="B1541" s="1">
        <v>42348</v>
      </c>
      <c r="C1541" s="1">
        <v>42354</v>
      </c>
      <c r="D1541" t="s">
        <v>23</v>
      </c>
      <c r="E1541" t="s">
        <v>3763</v>
      </c>
      <c r="F1541" t="s">
        <v>3764</v>
      </c>
      <c r="G1541" t="s">
        <v>26</v>
      </c>
      <c r="H1541" t="s">
        <v>27</v>
      </c>
      <c r="I1541" t="s">
        <v>1310</v>
      </c>
      <c r="J1541" t="s">
        <v>177</v>
      </c>
      <c r="K1541" t="s">
        <v>95</v>
      </c>
      <c r="L1541" t="s">
        <v>1807</v>
      </c>
      <c r="M1541" t="s">
        <v>32</v>
      </c>
      <c r="N1541" t="s">
        <v>51</v>
      </c>
      <c r="O1541" t="s">
        <v>1808</v>
      </c>
      <c r="P1541">
        <v>25.488</v>
      </c>
      <c r="Q1541">
        <v>2</v>
      </c>
      <c r="R1541">
        <v>4.4603999999999999</v>
      </c>
      <c r="S1541" s="3" t="s">
        <v>107</v>
      </c>
      <c r="T1541">
        <v>2015</v>
      </c>
      <c r="U1541" t="s">
        <v>66</v>
      </c>
      <c r="V1541" s="2">
        <v>0.17499999999999999</v>
      </c>
    </row>
    <row r="1542" spans="1:22" x14ac:dyDescent="0.25">
      <c r="A1542" t="s">
        <v>3765</v>
      </c>
      <c r="B1542" s="1">
        <v>42808</v>
      </c>
      <c r="C1542" s="1">
        <v>42811</v>
      </c>
      <c r="D1542" t="s">
        <v>40</v>
      </c>
      <c r="E1542" t="s">
        <v>700</v>
      </c>
      <c r="F1542" t="s">
        <v>701</v>
      </c>
      <c r="G1542" t="s">
        <v>59</v>
      </c>
      <c r="H1542" t="s">
        <v>27</v>
      </c>
      <c r="I1542" t="s">
        <v>140</v>
      </c>
      <c r="J1542" t="s">
        <v>78</v>
      </c>
      <c r="K1542" t="s">
        <v>62</v>
      </c>
      <c r="L1542" t="s">
        <v>2661</v>
      </c>
      <c r="M1542" t="s">
        <v>32</v>
      </c>
      <c r="N1542" t="s">
        <v>33</v>
      </c>
      <c r="O1542" t="s">
        <v>2662</v>
      </c>
      <c r="P1542">
        <v>49.616</v>
      </c>
      <c r="Q1542">
        <v>2</v>
      </c>
      <c r="R1542">
        <v>4.9615999999999998</v>
      </c>
      <c r="S1542" s="3" t="s">
        <v>172</v>
      </c>
      <c r="T1542">
        <v>2017</v>
      </c>
      <c r="U1542" t="s">
        <v>89</v>
      </c>
      <c r="V1542" s="2">
        <v>0.1</v>
      </c>
    </row>
    <row r="1543" spans="1:22" x14ac:dyDescent="0.25">
      <c r="A1543" t="s">
        <v>3766</v>
      </c>
      <c r="B1543" s="1">
        <v>42435</v>
      </c>
      <c r="C1543" s="1">
        <v>42439</v>
      </c>
      <c r="D1543" t="s">
        <v>23</v>
      </c>
      <c r="E1543" t="s">
        <v>3767</v>
      </c>
      <c r="F1543" t="s">
        <v>3768</v>
      </c>
      <c r="G1543" t="s">
        <v>70</v>
      </c>
      <c r="H1543" t="s">
        <v>27</v>
      </c>
      <c r="I1543" t="s">
        <v>206</v>
      </c>
      <c r="J1543" t="s">
        <v>207</v>
      </c>
      <c r="K1543" t="s">
        <v>95</v>
      </c>
      <c r="L1543" t="s">
        <v>1092</v>
      </c>
      <c r="M1543" t="s">
        <v>32</v>
      </c>
      <c r="N1543" t="s">
        <v>33</v>
      </c>
      <c r="O1543" t="s">
        <v>1093</v>
      </c>
      <c r="P1543">
        <v>431.94</v>
      </c>
      <c r="Q1543">
        <v>2</v>
      </c>
      <c r="R1543">
        <v>-71.989999999999995</v>
      </c>
      <c r="S1543" s="3" t="s">
        <v>53</v>
      </c>
      <c r="T1543">
        <v>2016</v>
      </c>
      <c r="U1543" t="s">
        <v>89</v>
      </c>
      <c r="V1543" s="2">
        <v>-0.16666666666666699</v>
      </c>
    </row>
    <row r="1544" spans="1:22" x14ac:dyDescent="0.25">
      <c r="A1544" t="s">
        <v>3766</v>
      </c>
      <c r="B1544" s="1">
        <v>42435</v>
      </c>
      <c r="C1544" s="1">
        <v>42439</v>
      </c>
      <c r="D1544" t="s">
        <v>23</v>
      </c>
      <c r="E1544" t="s">
        <v>3767</v>
      </c>
      <c r="F1544" t="s">
        <v>3768</v>
      </c>
      <c r="G1544" t="s">
        <v>70</v>
      </c>
      <c r="H1544" t="s">
        <v>27</v>
      </c>
      <c r="I1544" t="s">
        <v>206</v>
      </c>
      <c r="J1544" t="s">
        <v>207</v>
      </c>
      <c r="K1544" t="s">
        <v>95</v>
      </c>
      <c r="L1544" t="s">
        <v>631</v>
      </c>
      <c r="M1544" t="s">
        <v>32</v>
      </c>
      <c r="N1544" t="s">
        <v>33</v>
      </c>
      <c r="O1544" t="s">
        <v>632</v>
      </c>
      <c r="P1544">
        <v>68.238</v>
      </c>
      <c r="Q1544">
        <v>3</v>
      </c>
      <c r="R1544">
        <v>-12.510300000000001</v>
      </c>
      <c r="S1544" s="3" t="s">
        <v>53</v>
      </c>
      <c r="T1544">
        <v>2016</v>
      </c>
      <c r="U1544" t="s">
        <v>89</v>
      </c>
      <c r="V1544" s="2">
        <v>-0.18333333333333299</v>
      </c>
    </row>
    <row r="1545" spans="1:22" x14ac:dyDescent="0.25">
      <c r="A1545" t="s">
        <v>3769</v>
      </c>
      <c r="B1545" s="1">
        <v>41757</v>
      </c>
      <c r="C1545" s="1">
        <v>41759</v>
      </c>
      <c r="D1545" t="s">
        <v>56</v>
      </c>
      <c r="E1545" t="s">
        <v>2883</v>
      </c>
      <c r="F1545" t="s">
        <v>2884</v>
      </c>
      <c r="G1545" t="s">
        <v>26</v>
      </c>
      <c r="H1545" t="s">
        <v>27</v>
      </c>
      <c r="I1545" t="s">
        <v>43</v>
      </c>
      <c r="J1545" t="s">
        <v>29</v>
      </c>
      <c r="K1545" t="s">
        <v>30</v>
      </c>
      <c r="L1545" t="s">
        <v>2021</v>
      </c>
      <c r="M1545" t="s">
        <v>32</v>
      </c>
      <c r="N1545" t="s">
        <v>33</v>
      </c>
      <c r="O1545" t="s">
        <v>2022</v>
      </c>
      <c r="P1545">
        <v>1679.96</v>
      </c>
      <c r="Q1545">
        <v>5</v>
      </c>
      <c r="R1545">
        <v>125.997</v>
      </c>
      <c r="S1545" s="3" t="s">
        <v>65</v>
      </c>
      <c r="T1545">
        <v>2014</v>
      </c>
      <c r="U1545" t="s">
        <v>291</v>
      </c>
      <c r="V1545" s="2">
        <v>7.4999999999999997E-2</v>
      </c>
    </row>
    <row r="1546" spans="1:22" x14ac:dyDescent="0.25">
      <c r="A1546" t="s">
        <v>3770</v>
      </c>
      <c r="B1546" s="1">
        <v>42512</v>
      </c>
      <c r="C1546" s="1">
        <v>42519</v>
      </c>
      <c r="D1546" t="s">
        <v>23</v>
      </c>
      <c r="E1546" t="s">
        <v>1397</v>
      </c>
      <c r="F1546" t="s">
        <v>1398</v>
      </c>
      <c r="G1546" t="s">
        <v>59</v>
      </c>
      <c r="H1546" t="s">
        <v>27</v>
      </c>
      <c r="I1546" t="s">
        <v>28</v>
      </c>
      <c r="J1546" t="s">
        <v>29</v>
      </c>
      <c r="K1546" t="s">
        <v>30</v>
      </c>
      <c r="L1546" t="s">
        <v>250</v>
      </c>
      <c r="M1546" t="s">
        <v>32</v>
      </c>
      <c r="N1546" t="s">
        <v>33</v>
      </c>
      <c r="O1546" t="s">
        <v>251</v>
      </c>
      <c r="P1546">
        <v>222.38399999999999</v>
      </c>
      <c r="Q1546">
        <v>2</v>
      </c>
      <c r="R1546">
        <v>22.238399999999999</v>
      </c>
      <c r="S1546" s="3" t="s">
        <v>132</v>
      </c>
      <c r="T1546">
        <v>2016</v>
      </c>
      <c r="U1546" t="s">
        <v>527</v>
      </c>
      <c r="V1546" s="2">
        <v>0.1</v>
      </c>
    </row>
    <row r="1547" spans="1:22" x14ac:dyDescent="0.25">
      <c r="A1547" t="s">
        <v>3771</v>
      </c>
      <c r="B1547" s="1">
        <v>41726</v>
      </c>
      <c r="C1547" s="1">
        <v>41730</v>
      </c>
      <c r="D1547" t="s">
        <v>23</v>
      </c>
      <c r="E1547" t="s">
        <v>3567</v>
      </c>
      <c r="F1547" t="s">
        <v>3568</v>
      </c>
      <c r="G1547" t="s">
        <v>70</v>
      </c>
      <c r="H1547" t="s">
        <v>27</v>
      </c>
      <c r="I1547" t="s">
        <v>1749</v>
      </c>
      <c r="J1547" t="s">
        <v>889</v>
      </c>
      <c r="K1547" t="s">
        <v>30</v>
      </c>
      <c r="L1547" t="s">
        <v>230</v>
      </c>
      <c r="M1547" t="s">
        <v>32</v>
      </c>
      <c r="N1547" t="s">
        <v>33</v>
      </c>
      <c r="O1547" t="s">
        <v>231</v>
      </c>
      <c r="P1547">
        <v>302.37599999999998</v>
      </c>
      <c r="Q1547">
        <v>3</v>
      </c>
      <c r="R1547">
        <v>22.6782</v>
      </c>
      <c r="S1547" s="3" t="s">
        <v>53</v>
      </c>
      <c r="T1547">
        <v>2014</v>
      </c>
      <c r="U1547" t="s">
        <v>89</v>
      </c>
      <c r="V1547" s="2">
        <v>7.4999999999999997E-2</v>
      </c>
    </row>
    <row r="1548" spans="1:22" x14ac:dyDescent="0.25">
      <c r="A1548" t="s">
        <v>3772</v>
      </c>
      <c r="B1548" s="1">
        <v>42134</v>
      </c>
      <c r="C1548" s="1">
        <v>42139</v>
      </c>
      <c r="D1548" t="s">
        <v>23</v>
      </c>
      <c r="E1548" t="s">
        <v>695</v>
      </c>
      <c r="F1548" t="s">
        <v>696</v>
      </c>
      <c r="G1548" t="s">
        <v>26</v>
      </c>
      <c r="H1548" t="s">
        <v>27</v>
      </c>
      <c r="I1548" t="s">
        <v>444</v>
      </c>
      <c r="J1548" t="s">
        <v>147</v>
      </c>
      <c r="K1548" t="s">
        <v>30</v>
      </c>
      <c r="L1548" t="s">
        <v>1531</v>
      </c>
      <c r="M1548" t="s">
        <v>32</v>
      </c>
      <c r="N1548" t="s">
        <v>51</v>
      </c>
      <c r="O1548" t="s">
        <v>1532</v>
      </c>
      <c r="P1548">
        <v>46.688000000000002</v>
      </c>
      <c r="Q1548">
        <v>4</v>
      </c>
      <c r="R1548">
        <v>-2.9180000000000001</v>
      </c>
      <c r="S1548" s="3" t="s">
        <v>35</v>
      </c>
      <c r="T1548">
        <v>2015</v>
      </c>
      <c r="U1548" t="s">
        <v>527</v>
      </c>
      <c r="V1548" s="2">
        <v>-6.25E-2</v>
      </c>
    </row>
    <row r="1549" spans="1:22" x14ac:dyDescent="0.25">
      <c r="A1549" t="s">
        <v>3773</v>
      </c>
      <c r="B1549" s="1">
        <v>42848</v>
      </c>
      <c r="C1549" s="1">
        <v>42852</v>
      </c>
      <c r="D1549" t="s">
        <v>23</v>
      </c>
      <c r="E1549" t="s">
        <v>2379</v>
      </c>
      <c r="F1549" t="s">
        <v>2380</v>
      </c>
      <c r="G1549" t="s">
        <v>70</v>
      </c>
      <c r="H1549" t="s">
        <v>27</v>
      </c>
      <c r="I1549" t="s">
        <v>3774</v>
      </c>
      <c r="J1549" t="s">
        <v>2319</v>
      </c>
      <c r="K1549" t="s">
        <v>155</v>
      </c>
      <c r="L1549" t="s">
        <v>876</v>
      </c>
      <c r="M1549" t="s">
        <v>32</v>
      </c>
      <c r="N1549" t="s">
        <v>51</v>
      </c>
      <c r="O1549" t="s">
        <v>877</v>
      </c>
      <c r="P1549">
        <v>45.408000000000001</v>
      </c>
      <c r="Q1549">
        <v>2</v>
      </c>
      <c r="R1549">
        <v>11.919600000000001</v>
      </c>
      <c r="S1549" s="3" t="s">
        <v>53</v>
      </c>
      <c r="T1549">
        <v>2017</v>
      </c>
      <c r="U1549" t="s">
        <v>291</v>
      </c>
      <c r="V1549" s="2">
        <v>0.26250000000000001</v>
      </c>
    </row>
    <row r="1550" spans="1:22" x14ac:dyDescent="0.25">
      <c r="A1550" t="s">
        <v>3775</v>
      </c>
      <c r="B1550" s="1">
        <v>42307</v>
      </c>
      <c r="C1550" s="1">
        <v>42307</v>
      </c>
      <c r="D1550" t="s">
        <v>677</v>
      </c>
      <c r="E1550" t="s">
        <v>2894</v>
      </c>
      <c r="F1550" t="s">
        <v>2895</v>
      </c>
      <c r="G1550" t="s">
        <v>59</v>
      </c>
      <c r="H1550" t="s">
        <v>27</v>
      </c>
      <c r="I1550" t="s">
        <v>103</v>
      </c>
      <c r="J1550" t="s">
        <v>104</v>
      </c>
      <c r="K1550" t="s">
        <v>95</v>
      </c>
      <c r="L1550" t="s">
        <v>3776</v>
      </c>
      <c r="M1550" t="s">
        <v>32</v>
      </c>
      <c r="N1550" t="s">
        <v>215</v>
      </c>
      <c r="O1550" t="s">
        <v>3777</v>
      </c>
      <c r="P1550">
        <v>1035.8</v>
      </c>
      <c r="Q1550">
        <v>4</v>
      </c>
      <c r="R1550">
        <v>269.30799999999999</v>
      </c>
      <c r="S1550" s="3" t="s">
        <v>683</v>
      </c>
      <c r="T1550">
        <v>2015</v>
      </c>
      <c r="U1550" t="s">
        <v>133</v>
      </c>
      <c r="V1550" s="2">
        <v>0.26</v>
      </c>
    </row>
    <row r="1551" spans="1:22" x14ac:dyDescent="0.25">
      <c r="A1551" t="s">
        <v>3778</v>
      </c>
      <c r="B1551" s="1">
        <v>41841</v>
      </c>
      <c r="C1551" s="1">
        <v>41847</v>
      </c>
      <c r="D1551" t="s">
        <v>23</v>
      </c>
      <c r="E1551" t="s">
        <v>798</v>
      </c>
      <c r="F1551" t="s">
        <v>799</v>
      </c>
      <c r="G1551" t="s">
        <v>26</v>
      </c>
      <c r="H1551" t="s">
        <v>27</v>
      </c>
      <c r="I1551" t="s">
        <v>778</v>
      </c>
      <c r="J1551" t="s">
        <v>779</v>
      </c>
      <c r="K1551" t="s">
        <v>62</v>
      </c>
      <c r="L1551" t="s">
        <v>3082</v>
      </c>
      <c r="M1551" t="s">
        <v>32</v>
      </c>
      <c r="N1551" t="s">
        <v>33</v>
      </c>
      <c r="O1551" t="s">
        <v>3083</v>
      </c>
      <c r="P1551">
        <v>35.979999999999997</v>
      </c>
      <c r="Q1551">
        <v>2</v>
      </c>
      <c r="R1551">
        <v>10.074400000000001</v>
      </c>
      <c r="S1551" s="3" t="s">
        <v>107</v>
      </c>
      <c r="T1551">
        <v>2014</v>
      </c>
      <c r="U1551" t="s">
        <v>332</v>
      </c>
      <c r="V1551" s="2">
        <v>0.28000000000000003</v>
      </c>
    </row>
    <row r="1552" spans="1:22" x14ac:dyDescent="0.25">
      <c r="A1552" t="s">
        <v>3779</v>
      </c>
      <c r="B1552" s="1">
        <v>42402</v>
      </c>
      <c r="C1552" s="1">
        <v>42404</v>
      </c>
      <c r="D1552" t="s">
        <v>40</v>
      </c>
      <c r="E1552" t="s">
        <v>874</v>
      </c>
      <c r="F1552" t="s">
        <v>875</v>
      </c>
      <c r="G1552" t="s">
        <v>26</v>
      </c>
      <c r="H1552" t="s">
        <v>27</v>
      </c>
      <c r="I1552" t="s">
        <v>1490</v>
      </c>
      <c r="J1552" t="s">
        <v>693</v>
      </c>
      <c r="K1552" t="s">
        <v>155</v>
      </c>
      <c r="L1552" t="s">
        <v>2544</v>
      </c>
      <c r="M1552" t="s">
        <v>32</v>
      </c>
      <c r="N1552" t="s">
        <v>215</v>
      </c>
      <c r="O1552" t="s">
        <v>2545</v>
      </c>
      <c r="P1552">
        <v>8749.9500000000007</v>
      </c>
      <c r="Q1552">
        <v>5</v>
      </c>
      <c r="R1552">
        <v>2799.9839999999999</v>
      </c>
      <c r="S1552" s="3" t="s">
        <v>65</v>
      </c>
      <c r="T1552">
        <v>2016</v>
      </c>
      <c r="U1552" t="s">
        <v>180</v>
      </c>
      <c r="V1552" s="2">
        <v>0.32</v>
      </c>
    </row>
    <row r="1553" spans="1:22" x14ac:dyDescent="0.25">
      <c r="A1553" t="s">
        <v>3780</v>
      </c>
      <c r="B1553" s="1">
        <v>42300</v>
      </c>
      <c r="C1553" s="1">
        <v>42305</v>
      </c>
      <c r="D1553" t="s">
        <v>23</v>
      </c>
      <c r="E1553" t="s">
        <v>2406</v>
      </c>
      <c r="F1553" t="s">
        <v>2407</v>
      </c>
      <c r="G1553" t="s">
        <v>26</v>
      </c>
      <c r="H1553" t="s">
        <v>27</v>
      </c>
      <c r="I1553" t="s">
        <v>3781</v>
      </c>
      <c r="J1553" t="s">
        <v>61</v>
      </c>
      <c r="K1553" t="s">
        <v>62</v>
      </c>
      <c r="L1553" t="s">
        <v>2691</v>
      </c>
      <c r="M1553" t="s">
        <v>32</v>
      </c>
      <c r="N1553" t="s">
        <v>381</v>
      </c>
      <c r="O1553" t="s">
        <v>2692</v>
      </c>
      <c r="P1553">
        <v>479.976</v>
      </c>
      <c r="Q1553">
        <v>3</v>
      </c>
      <c r="R1553">
        <v>161.99189999999999</v>
      </c>
      <c r="S1553" s="3" t="s">
        <v>35</v>
      </c>
      <c r="T1553">
        <v>2015</v>
      </c>
      <c r="U1553" t="s">
        <v>133</v>
      </c>
      <c r="V1553" s="2">
        <v>0.33750000000000002</v>
      </c>
    </row>
    <row r="1554" spans="1:22" x14ac:dyDescent="0.25">
      <c r="A1554" t="s">
        <v>3782</v>
      </c>
      <c r="B1554" s="1">
        <v>42706</v>
      </c>
      <c r="C1554" s="1">
        <v>42712</v>
      </c>
      <c r="D1554" t="s">
        <v>23</v>
      </c>
      <c r="E1554" t="s">
        <v>1534</v>
      </c>
      <c r="F1554" t="s">
        <v>1535</v>
      </c>
      <c r="G1554" t="s">
        <v>59</v>
      </c>
      <c r="H1554" t="s">
        <v>27</v>
      </c>
      <c r="I1554" t="s">
        <v>3783</v>
      </c>
      <c r="J1554" t="s">
        <v>147</v>
      </c>
      <c r="K1554" t="s">
        <v>30</v>
      </c>
      <c r="L1554" t="s">
        <v>2485</v>
      </c>
      <c r="M1554" t="s">
        <v>32</v>
      </c>
      <c r="N1554" t="s">
        <v>51</v>
      </c>
      <c r="O1554" t="s">
        <v>2486</v>
      </c>
      <c r="P1554">
        <v>165.6</v>
      </c>
      <c r="Q1554">
        <v>3</v>
      </c>
      <c r="R1554">
        <v>-6.21</v>
      </c>
      <c r="S1554" s="3" t="s">
        <v>107</v>
      </c>
      <c r="T1554">
        <v>2016</v>
      </c>
      <c r="U1554" t="s">
        <v>66</v>
      </c>
      <c r="V1554" s="2">
        <v>-3.7499999999999999E-2</v>
      </c>
    </row>
    <row r="1555" spans="1:22" x14ac:dyDescent="0.25">
      <c r="A1555" t="s">
        <v>3784</v>
      </c>
      <c r="B1555" s="1">
        <v>41703</v>
      </c>
      <c r="C1555" s="1">
        <v>41706</v>
      </c>
      <c r="D1555" t="s">
        <v>40</v>
      </c>
      <c r="E1555" t="s">
        <v>1254</v>
      </c>
      <c r="F1555" t="s">
        <v>1255</v>
      </c>
      <c r="G1555" t="s">
        <v>26</v>
      </c>
      <c r="H1555" t="s">
        <v>27</v>
      </c>
      <c r="I1555" t="s">
        <v>977</v>
      </c>
      <c r="J1555" t="s">
        <v>104</v>
      </c>
      <c r="K1555" t="s">
        <v>95</v>
      </c>
      <c r="L1555" t="s">
        <v>346</v>
      </c>
      <c r="M1555" t="s">
        <v>32</v>
      </c>
      <c r="N1555" t="s">
        <v>51</v>
      </c>
      <c r="O1555" t="s">
        <v>347</v>
      </c>
      <c r="P1555">
        <v>479.97</v>
      </c>
      <c r="Q1555">
        <v>3</v>
      </c>
      <c r="R1555">
        <v>177.5889</v>
      </c>
      <c r="S1555" s="3" t="s">
        <v>172</v>
      </c>
      <c r="T1555">
        <v>2014</v>
      </c>
      <c r="U1555" t="s">
        <v>89</v>
      </c>
      <c r="V1555" s="2">
        <v>0.37</v>
      </c>
    </row>
    <row r="1556" spans="1:22" x14ac:dyDescent="0.25">
      <c r="A1556" t="s">
        <v>3785</v>
      </c>
      <c r="B1556" s="1">
        <v>42064</v>
      </c>
      <c r="C1556" s="1">
        <v>42066</v>
      </c>
      <c r="D1556" t="s">
        <v>40</v>
      </c>
      <c r="E1556" t="s">
        <v>2223</v>
      </c>
      <c r="F1556" t="s">
        <v>2224</v>
      </c>
      <c r="G1556" t="s">
        <v>59</v>
      </c>
      <c r="H1556" t="s">
        <v>27</v>
      </c>
      <c r="I1556" t="s">
        <v>28</v>
      </c>
      <c r="J1556" t="s">
        <v>29</v>
      </c>
      <c r="K1556" t="s">
        <v>30</v>
      </c>
      <c r="L1556" t="s">
        <v>518</v>
      </c>
      <c r="M1556" t="s">
        <v>32</v>
      </c>
      <c r="N1556" t="s">
        <v>33</v>
      </c>
      <c r="O1556" t="s">
        <v>519</v>
      </c>
      <c r="P1556">
        <v>15.984</v>
      </c>
      <c r="Q1556">
        <v>2</v>
      </c>
      <c r="R1556">
        <v>1.1988000000000001</v>
      </c>
      <c r="S1556" s="3" t="s">
        <v>65</v>
      </c>
      <c r="T1556">
        <v>2015</v>
      </c>
      <c r="U1556" t="s">
        <v>89</v>
      </c>
      <c r="V1556" s="2">
        <v>7.4999999999999997E-2</v>
      </c>
    </row>
    <row r="1557" spans="1:22" x14ac:dyDescent="0.25">
      <c r="A1557" t="s">
        <v>3786</v>
      </c>
      <c r="B1557" s="1">
        <v>42437</v>
      </c>
      <c r="C1557" s="1">
        <v>42441</v>
      </c>
      <c r="D1557" t="s">
        <v>23</v>
      </c>
      <c r="E1557" t="s">
        <v>2157</v>
      </c>
      <c r="F1557" t="s">
        <v>2158</v>
      </c>
      <c r="G1557" t="s">
        <v>70</v>
      </c>
      <c r="H1557" t="s">
        <v>27</v>
      </c>
      <c r="I1557" t="s">
        <v>262</v>
      </c>
      <c r="J1557" t="s">
        <v>61</v>
      </c>
      <c r="K1557" t="s">
        <v>62</v>
      </c>
      <c r="L1557" t="s">
        <v>116</v>
      </c>
      <c r="M1557" t="s">
        <v>32</v>
      </c>
      <c r="N1557" t="s">
        <v>51</v>
      </c>
      <c r="O1557" t="s">
        <v>117</v>
      </c>
      <c r="P1557">
        <v>27.96</v>
      </c>
      <c r="Q1557">
        <v>5</v>
      </c>
      <c r="R1557">
        <v>8.3879999999999999</v>
      </c>
      <c r="S1557" s="3" t="s">
        <v>53</v>
      </c>
      <c r="T1557">
        <v>2016</v>
      </c>
      <c r="U1557" t="s">
        <v>89</v>
      </c>
      <c r="V1557" s="2">
        <v>0.3</v>
      </c>
    </row>
    <row r="1558" spans="1:22" x14ac:dyDescent="0.25">
      <c r="A1558" t="s">
        <v>3787</v>
      </c>
      <c r="B1558" s="1">
        <v>42349</v>
      </c>
      <c r="C1558" s="1">
        <v>42352</v>
      </c>
      <c r="D1558" t="s">
        <v>56</v>
      </c>
      <c r="E1558" t="s">
        <v>3310</v>
      </c>
      <c r="F1558" t="s">
        <v>3311</v>
      </c>
      <c r="G1558" t="s">
        <v>26</v>
      </c>
      <c r="H1558" t="s">
        <v>27</v>
      </c>
      <c r="I1558" t="s">
        <v>851</v>
      </c>
      <c r="J1558" t="s">
        <v>256</v>
      </c>
      <c r="K1558" t="s">
        <v>62</v>
      </c>
      <c r="L1558" t="s">
        <v>956</v>
      </c>
      <c r="M1558" t="s">
        <v>32</v>
      </c>
      <c r="N1558" t="s">
        <v>51</v>
      </c>
      <c r="O1558" t="s">
        <v>957</v>
      </c>
      <c r="P1558">
        <v>175.23</v>
      </c>
      <c r="Q1558">
        <v>11</v>
      </c>
      <c r="R1558">
        <v>61.330500000000001</v>
      </c>
      <c r="S1558" s="3" t="s">
        <v>172</v>
      </c>
      <c r="T1558">
        <v>2015</v>
      </c>
      <c r="U1558" t="s">
        <v>66</v>
      </c>
      <c r="V1558" s="2">
        <v>0.35</v>
      </c>
    </row>
    <row r="1559" spans="1:22" x14ac:dyDescent="0.25">
      <c r="A1559" t="s">
        <v>3787</v>
      </c>
      <c r="B1559" s="1">
        <v>42349</v>
      </c>
      <c r="C1559" s="1">
        <v>42352</v>
      </c>
      <c r="D1559" t="s">
        <v>56</v>
      </c>
      <c r="E1559" t="s">
        <v>3310</v>
      </c>
      <c r="F1559" t="s">
        <v>3311</v>
      </c>
      <c r="G1559" t="s">
        <v>26</v>
      </c>
      <c r="H1559" t="s">
        <v>27</v>
      </c>
      <c r="I1559" t="s">
        <v>851</v>
      </c>
      <c r="J1559" t="s">
        <v>256</v>
      </c>
      <c r="K1559" t="s">
        <v>62</v>
      </c>
      <c r="L1559" t="s">
        <v>1933</v>
      </c>
      <c r="M1559" t="s">
        <v>32</v>
      </c>
      <c r="N1559" t="s">
        <v>33</v>
      </c>
      <c r="O1559" t="s">
        <v>1934</v>
      </c>
      <c r="P1559">
        <v>125.99</v>
      </c>
      <c r="Q1559">
        <v>1</v>
      </c>
      <c r="R1559">
        <v>31.497499999999999</v>
      </c>
      <c r="S1559" s="3" t="s">
        <v>172</v>
      </c>
      <c r="T1559">
        <v>2015</v>
      </c>
      <c r="U1559" t="s">
        <v>66</v>
      </c>
      <c r="V1559" s="2">
        <v>0.25</v>
      </c>
    </row>
    <row r="1560" spans="1:22" x14ac:dyDescent="0.25">
      <c r="A1560" t="s">
        <v>3788</v>
      </c>
      <c r="B1560" s="1">
        <v>42461</v>
      </c>
      <c r="C1560" s="1">
        <v>42467</v>
      </c>
      <c r="D1560" t="s">
        <v>23</v>
      </c>
      <c r="E1560" t="s">
        <v>2409</v>
      </c>
      <c r="F1560" t="s">
        <v>2410</v>
      </c>
      <c r="G1560" t="s">
        <v>59</v>
      </c>
      <c r="H1560" t="s">
        <v>27</v>
      </c>
      <c r="I1560" t="s">
        <v>872</v>
      </c>
      <c r="J1560" t="s">
        <v>185</v>
      </c>
      <c r="K1560" t="s">
        <v>62</v>
      </c>
      <c r="L1560" t="s">
        <v>947</v>
      </c>
      <c r="M1560" t="s">
        <v>32</v>
      </c>
      <c r="N1560" t="s">
        <v>33</v>
      </c>
      <c r="O1560" t="s">
        <v>948</v>
      </c>
      <c r="P1560">
        <v>12.99</v>
      </c>
      <c r="Q1560">
        <v>1</v>
      </c>
      <c r="R1560">
        <v>0.25979999999999998</v>
      </c>
      <c r="S1560" s="3" t="s">
        <v>107</v>
      </c>
      <c r="T1560">
        <v>2016</v>
      </c>
      <c r="U1560" t="s">
        <v>291</v>
      </c>
      <c r="V1560" s="2">
        <v>0.02</v>
      </c>
    </row>
    <row r="1561" spans="1:22" x14ac:dyDescent="0.25">
      <c r="A1561" t="s">
        <v>3789</v>
      </c>
      <c r="B1561" s="1">
        <v>42810</v>
      </c>
      <c r="C1561" s="1">
        <v>42810</v>
      </c>
      <c r="D1561" t="s">
        <v>677</v>
      </c>
      <c r="E1561" t="s">
        <v>3790</v>
      </c>
      <c r="F1561" t="s">
        <v>3791</v>
      </c>
      <c r="G1561" t="s">
        <v>26</v>
      </c>
      <c r="H1561" t="s">
        <v>27</v>
      </c>
      <c r="I1561" t="s">
        <v>176</v>
      </c>
      <c r="J1561" t="s">
        <v>177</v>
      </c>
      <c r="K1561" t="s">
        <v>95</v>
      </c>
      <c r="L1561" t="s">
        <v>1205</v>
      </c>
      <c r="M1561" t="s">
        <v>32</v>
      </c>
      <c r="N1561" t="s">
        <v>33</v>
      </c>
      <c r="O1561" t="s">
        <v>1206</v>
      </c>
      <c r="P1561">
        <v>44.375999999999998</v>
      </c>
      <c r="Q1561">
        <v>2</v>
      </c>
      <c r="R1561">
        <v>-7.3959999999999999</v>
      </c>
      <c r="S1561" s="3" t="s">
        <v>683</v>
      </c>
      <c r="T1561">
        <v>2017</v>
      </c>
      <c r="U1561" t="s">
        <v>89</v>
      </c>
      <c r="V1561" s="2">
        <v>-0.16666666666666699</v>
      </c>
    </row>
    <row r="1562" spans="1:22" x14ac:dyDescent="0.25">
      <c r="A1562" t="s">
        <v>3789</v>
      </c>
      <c r="B1562" s="1">
        <v>42810</v>
      </c>
      <c r="C1562" s="1">
        <v>42810</v>
      </c>
      <c r="D1562" t="s">
        <v>677</v>
      </c>
      <c r="E1562" t="s">
        <v>3790</v>
      </c>
      <c r="F1562" t="s">
        <v>3791</v>
      </c>
      <c r="G1562" t="s">
        <v>26</v>
      </c>
      <c r="H1562" t="s">
        <v>27</v>
      </c>
      <c r="I1562" t="s">
        <v>176</v>
      </c>
      <c r="J1562" t="s">
        <v>177</v>
      </c>
      <c r="K1562" t="s">
        <v>95</v>
      </c>
      <c r="L1562" t="s">
        <v>482</v>
      </c>
      <c r="M1562" t="s">
        <v>32</v>
      </c>
      <c r="N1562" t="s">
        <v>51</v>
      </c>
      <c r="O1562" t="s">
        <v>483</v>
      </c>
      <c r="P1562">
        <v>159.98400000000001</v>
      </c>
      <c r="Q1562">
        <v>2</v>
      </c>
      <c r="R1562">
        <v>43.995600000000003</v>
      </c>
      <c r="S1562" s="3" t="s">
        <v>683</v>
      </c>
      <c r="T1562">
        <v>2017</v>
      </c>
      <c r="U1562" t="s">
        <v>89</v>
      </c>
      <c r="V1562" s="2">
        <v>0.27500000000000002</v>
      </c>
    </row>
    <row r="1563" spans="1:22" x14ac:dyDescent="0.25">
      <c r="A1563" t="s">
        <v>3792</v>
      </c>
      <c r="B1563" s="1">
        <v>41775</v>
      </c>
      <c r="C1563" s="1">
        <v>41779</v>
      </c>
      <c r="D1563" t="s">
        <v>23</v>
      </c>
      <c r="E1563" t="s">
        <v>2584</v>
      </c>
      <c r="F1563" t="s">
        <v>2585</v>
      </c>
      <c r="G1563" t="s">
        <v>26</v>
      </c>
      <c r="H1563" t="s">
        <v>27</v>
      </c>
      <c r="I1563" t="s">
        <v>43</v>
      </c>
      <c r="J1563" t="s">
        <v>29</v>
      </c>
      <c r="K1563" t="s">
        <v>30</v>
      </c>
      <c r="L1563" t="s">
        <v>1518</v>
      </c>
      <c r="M1563" t="s">
        <v>32</v>
      </c>
      <c r="N1563" t="s">
        <v>51</v>
      </c>
      <c r="O1563" t="s">
        <v>1519</v>
      </c>
      <c r="P1563">
        <v>56.4</v>
      </c>
      <c r="Q1563">
        <v>3</v>
      </c>
      <c r="R1563">
        <v>3.3839999999999999</v>
      </c>
      <c r="S1563" s="3" t="s">
        <v>53</v>
      </c>
      <c r="T1563">
        <v>2014</v>
      </c>
      <c r="U1563" t="s">
        <v>527</v>
      </c>
      <c r="V1563" s="2">
        <v>0.06</v>
      </c>
    </row>
    <row r="1564" spans="1:22" x14ac:dyDescent="0.25">
      <c r="A1564" t="s">
        <v>3793</v>
      </c>
      <c r="B1564" s="1">
        <v>42803</v>
      </c>
      <c r="C1564" s="1">
        <v>42807</v>
      </c>
      <c r="D1564" t="s">
        <v>23</v>
      </c>
      <c r="E1564" t="s">
        <v>2613</v>
      </c>
      <c r="F1564" t="s">
        <v>2614</v>
      </c>
      <c r="G1564" t="s">
        <v>26</v>
      </c>
      <c r="H1564" t="s">
        <v>27</v>
      </c>
      <c r="I1564" t="s">
        <v>28</v>
      </c>
      <c r="J1564" t="s">
        <v>29</v>
      </c>
      <c r="K1564" t="s">
        <v>30</v>
      </c>
      <c r="L1564" t="s">
        <v>1728</v>
      </c>
      <c r="M1564" t="s">
        <v>32</v>
      </c>
      <c r="N1564" t="s">
        <v>381</v>
      </c>
      <c r="O1564" t="s">
        <v>1729</v>
      </c>
      <c r="P1564">
        <v>479.98399999999998</v>
      </c>
      <c r="Q1564">
        <v>2</v>
      </c>
      <c r="R1564">
        <v>59.997999999999998</v>
      </c>
      <c r="S1564" s="3" t="s">
        <v>53</v>
      </c>
      <c r="T1564">
        <v>2017</v>
      </c>
      <c r="U1564" t="s">
        <v>89</v>
      </c>
      <c r="V1564" s="2">
        <v>0.125</v>
      </c>
    </row>
    <row r="1565" spans="1:22" x14ac:dyDescent="0.25">
      <c r="A1565" t="s">
        <v>3794</v>
      </c>
      <c r="B1565" s="1">
        <v>41857</v>
      </c>
      <c r="C1565" s="1">
        <v>41862</v>
      </c>
      <c r="D1565" t="s">
        <v>23</v>
      </c>
      <c r="E1565" t="s">
        <v>2944</v>
      </c>
      <c r="F1565" t="s">
        <v>2945</v>
      </c>
      <c r="G1565" t="s">
        <v>26</v>
      </c>
      <c r="H1565" t="s">
        <v>27</v>
      </c>
      <c r="I1565" t="s">
        <v>103</v>
      </c>
      <c r="J1565" t="s">
        <v>104</v>
      </c>
      <c r="K1565" t="s">
        <v>95</v>
      </c>
      <c r="L1565" t="s">
        <v>482</v>
      </c>
      <c r="M1565" t="s">
        <v>32</v>
      </c>
      <c r="N1565" t="s">
        <v>51</v>
      </c>
      <c r="O1565" t="s">
        <v>483</v>
      </c>
      <c r="P1565">
        <v>199.98</v>
      </c>
      <c r="Q1565">
        <v>2</v>
      </c>
      <c r="R1565">
        <v>83.991600000000005</v>
      </c>
      <c r="S1565" s="3" t="s">
        <v>35</v>
      </c>
      <c r="T1565">
        <v>2014</v>
      </c>
      <c r="U1565" t="s">
        <v>46</v>
      </c>
      <c r="V1565" s="2">
        <v>0.42</v>
      </c>
    </row>
    <row r="1566" spans="1:22" x14ac:dyDescent="0.25">
      <c r="A1566" t="s">
        <v>3795</v>
      </c>
      <c r="B1566" s="1">
        <v>42343</v>
      </c>
      <c r="C1566" s="1">
        <v>42348</v>
      </c>
      <c r="D1566" t="s">
        <v>23</v>
      </c>
      <c r="E1566" t="s">
        <v>3796</v>
      </c>
      <c r="F1566" t="s">
        <v>3797</v>
      </c>
      <c r="G1566" t="s">
        <v>59</v>
      </c>
      <c r="H1566" t="s">
        <v>27</v>
      </c>
      <c r="I1566" t="s">
        <v>28</v>
      </c>
      <c r="J1566" t="s">
        <v>29</v>
      </c>
      <c r="K1566" t="s">
        <v>30</v>
      </c>
      <c r="L1566" t="s">
        <v>263</v>
      </c>
      <c r="M1566" t="s">
        <v>32</v>
      </c>
      <c r="N1566" t="s">
        <v>51</v>
      </c>
      <c r="O1566" t="s">
        <v>264</v>
      </c>
      <c r="P1566">
        <v>39</v>
      </c>
      <c r="Q1566">
        <v>3</v>
      </c>
      <c r="R1566">
        <v>17.55</v>
      </c>
      <c r="S1566" s="3" t="s">
        <v>35</v>
      </c>
      <c r="T1566">
        <v>2015</v>
      </c>
      <c r="U1566" t="s">
        <v>66</v>
      </c>
      <c r="V1566" s="2">
        <v>0.45</v>
      </c>
    </row>
    <row r="1567" spans="1:22" x14ac:dyDescent="0.25">
      <c r="A1567" t="s">
        <v>3798</v>
      </c>
      <c r="B1567" s="1">
        <v>41789</v>
      </c>
      <c r="C1567" s="1">
        <v>41793</v>
      </c>
      <c r="D1567" t="s">
        <v>23</v>
      </c>
      <c r="E1567" t="s">
        <v>1208</v>
      </c>
      <c r="F1567" t="s">
        <v>1209</v>
      </c>
      <c r="G1567" t="s">
        <v>59</v>
      </c>
      <c r="H1567" t="s">
        <v>27</v>
      </c>
      <c r="I1567" t="s">
        <v>140</v>
      </c>
      <c r="J1567" t="s">
        <v>78</v>
      </c>
      <c r="K1567" t="s">
        <v>62</v>
      </c>
      <c r="L1567" t="s">
        <v>1025</v>
      </c>
      <c r="M1567" t="s">
        <v>32</v>
      </c>
      <c r="N1567" t="s">
        <v>381</v>
      </c>
      <c r="O1567" t="s">
        <v>1026</v>
      </c>
      <c r="P1567">
        <v>719.976</v>
      </c>
      <c r="Q1567">
        <v>3</v>
      </c>
      <c r="R1567">
        <v>134.99549999999999</v>
      </c>
      <c r="S1567" s="3" t="s">
        <v>53</v>
      </c>
      <c r="T1567">
        <v>2014</v>
      </c>
      <c r="U1567" t="s">
        <v>527</v>
      </c>
      <c r="V1567" s="2">
        <v>0.1875</v>
      </c>
    </row>
    <row r="1568" spans="1:22" x14ac:dyDescent="0.25">
      <c r="A1568" t="s">
        <v>3799</v>
      </c>
      <c r="B1568" s="1">
        <v>43052</v>
      </c>
      <c r="C1568" s="1">
        <v>43059</v>
      </c>
      <c r="D1568" t="s">
        <v>23</v>
      </c>
      <c r="E1568" t="s">
        <v>3673</v>
      </c>
      <c r="F1568" t="s">
        <v>3674</v>
      </c>
      <c r="G1568" t="s">
        <v>26</v>
      </c>
      <c r="H1568" t="s">
        <v>27</v>
      </c>
      <c r="I1568" t="s">
        <v>222</v>
      </c>
      <c r="J1568" t="s">
        <v>555</v>
      </c>
      <c r="K1568" t="s">
        <v>155</v>
      </c>
      <c r="L1568" t="s">
        <v>846</v>
      </c>
      <c r="M1568" t="s">
        <v>32</v>
      </c>
      <c r="N1568" t="s">
        <v>51</v>
      </c>
      <c r="O1568" t="s">
        <v>847</v>
      </c>
      <c r="P1568">
        <v>239.92</v>
      </c>
      <c r="Q1568">
        <v>8</v>
      </c>
      <c r="R1568">
        <v>23.992000000000001</v>
      </c>
      <c r="S1568" s="3" t="s">
        <v>132</v>
      </c>
      <c r="T1568">
        <v>2017</v>
      </c>
      <c r="U1568" t="s">
        <v>118</v>
      </c>
      <c r="V1568" s="2">
        <v>0.1</v>
      </c>
    </row>
    <row r="1569" spans="1:22" x14ac:dyDescent="0.25">
      <c r="A1569" t="s">
        <v>3800</v>
      </c>
      <c r="B1569" s="1">
        <v>42085</v>
      </c>
      <c r="C1569" s="1">
        <v>42085</v>
      </c>
      <c r="D1569" t="s">
        <v>677</v>
      </c>
      <c r="E1569" t="s">
        <v>740</v>
      </c>
      <c r="F1569" t="s">
        <v>741</v>
      </c>
      <c r="G1569" t="s">
        <v>26</v>
      </c>
      <c r="H1569" t="s">
        <v>27</v>
      </c>
      <c r="I1569" t="s">
        <v>2402</v>
      </c>
      <c r="J1569" t="s">
        <v>288</v>
      </c>
      <c r="K1569" t="s">
        <v>155</v>
      </c>
      <c r="L1569" t="s">
        <v>502</v>
      </c>
      <c r="M1569" t="s">
        <v>32</v>
      </c>
      <c r="N1569" t="s">
        <v>51</v>
      </c>
      <c r="O1569" t="s">
        <v>503</v>
      </c>
      <c r="P1569">
        <v>447.94400000000002</v>
      </c>
      <c r="Q1569">
        <v>7</v>
      </c>
      <c r="R1569">
        <v>89.588800000000006</v>
      </c>
      <c r="S1569" s="3" t="s">
        <v>683</v>
      </c>
      <c r="T1569">
        <v>2015</v>
      </c>
      <c r="U1569" t="s">
        <v>89</v>
      </c>
      <c r="V1569" s="2">
        <v>0.2</v>
      </c>
    </row>
    <row r="1570" spans="1:22" x14ac:dyDescent="0.25">
      <c r="A1570" t="s">
        <v>3801</v>
      </c>
      <c r="B1570" s="1">
        <v>42727</v>
      </c>
      <c r="C1570" s="1">
        <v>42730</v>
      </c>
      <c r="D1570" t="s">
        <v>40</v>
      </c>
      <c r="E1570" t="s">
        <v>403</v>
      </c>
      <c r="F1570" t="s">
        <v>404</v>
      </c>
      <c r="G1570" t="s">
        <v>59</v>
      </c>
      <c r="H1570" t="s">
        <v>27</v>
      </c>
      <c r="I1570" t="s">
        <v>71</v>
      </c>
      <c r="J1570" t="s">
        <v>61</v>
      </c>
      <c r="K1570" t="s">
        <v>62</v>
      </c>
      <c r="L1570" t="s">
        <v>1041</v>
      </c>
      <c r="M1570" t="s">
        <v>32</v>
      </c>
      <c r="N1570" t="s">
        <v>33</v>
      </c>
      <c r="O1570" t="s">
        <v>1042</v>
      </c>
      <c r="P1570">
        <v>453.57600000000002</v>
      </c>
      <c r="Q1570">
        <v>3</v>
      </c>
      <c r="R1570">
        <v>39.687899999999999</v>
      </c>
      <c r="S1570" s="3" t="s">
        <v>172</v>
      </c>
      <c r="T1570">
        <v>2016</v>
      </c>
      <c r="U1570" t="s">
        <v>66</v>
      </c>
      <c r="V1570" s="2">
        <v>8.7499999999999994E-2</v>
      </c>
    </row>
    <row r="1571" spans="1:22" x14ac:dyDescent="0.25">
      <c r="A1571" t="s">
        <v>3801</v>
      </c>
      <c r="B1571" s="1">
        <v>42727</v>
      </c>
      <c r="C1571" s="1">
        <v>42730</v>
      </c>
      <c r="D1571" t="s">
        <v>40</v>
      </c>
      <c r="E1571" t="s">
        <v>403</v>
      </c>
      <c r="F1571" t="s">
        <v>404</v>
      </c>
      <c r="G1571" t="s">
        <v>59</v>
      </c>
      <c r="H1571" t="s">
        <v>27</v>
      </c>
      <c r="I1571" t="s">
        <v>71</v>
      </c>
      <c r="J1571" t="s">
        <v>61</v>
      </c>
      <c r="K1571" t="s">
        <v>62</v>
      </c>
      <c r="L1571" t="s">
        <v>1491</v>
      </c>
      <c r="M1571" t="s">
        <v>32</v>
      </c>
      <c r="N1571" t="s">
        <v>33</v>
      </c>
      <c r="O1571" t="s">
        <v>1492</v>
      </c>
      <c r="P1571">
        <v>287.88</v>
      </c>
      <c r="Q1571">
        <v>3</v>
      </c>
      <c r="R1571">
        <v>35.984999999999999</v>
      </c>
      <c r="S1571" s="3" t="s">
        <v>172</v>
      </c>
      <c r="T1571">
        <v>2016</v>
      </c>
      <c r="U1571" t="s">
        <v>66</v>
      </c>
      <c r="V1571" s="2">
        <v>0.125</v>
      </c>
    </row>
    <row r="1572" spans="1:22" x14ac:dyDescent="0.25">
      <c r="A1572" t="s">
        <v>3801</v>
      </c>
      <c r="B1572" s="1">
        <v>42727</v>
      </c>
      <c r="C1572" s="1">
        <v>42730</v>
      </c>
      <c r="D1572" t="s">
        <v>40</v>
      </c>
      <c r="E1572" t="s">
        <v>403</v>
      </c>
      <c r="F1572" t="s">
        <v>404</v>
      </c>
      <c r="G1572" t="s">
        <v>59</v>
      </c>
      <c r="H1572" t="s">
        <v>27</v>
      </c>
      <c r="I1572" t="s">
        <v>71</v>
      </c>
      <c r="J1572" t="s">
        <v>61</v>
      </c>
      <c r="K1572" t="s">
        <v>62</v>
      </c>
      <c r="L1572" t="s">
        <v>2151</v>
      </c>
      <c r="M1572" t="s">
        <v>32</v>
      </c>
      <c r="N1572" t="s">
        <v>33</v>
      </c>
      <c r="O1572" t="s">
        <v>2152</v>
      </c>
      <c r="P1572">
        <v>131.88</v>
      </c>
      <c r="Q1572">
        <v>3</v>
      </c>
      <c r="R1572">
        <v>14.836499999999999</v>
      </c>
      <c r="S1572" s="3" t="s">
        <v>172</v>
      </c>
      <c r="T1572">
        <v>2016</v>
      </c>
      <c r="U1572" t="s">
        <v>66</v>
      </c>
      <c r="V1572" s="2">
        <v>0.1125</v>
      </c>
    </row>
    <row r="1573" spans="1:22" x14ac:dyDescent="0.25">
      <c r="A1573" t="s">
        <v>3802</v>
      </c>
      <c r="B1573" s="1">
        <v>42691</v>
      </c>
      <c r="C1573" s="1">
        <v>42692</v>
      </c>
      <c r="D1573" t="s">
        <v>56</v>
      </c>
      <c r="E1573" t="s">
        <v>3008</v>
      </c>
      <c r="F1573" t="s">
        <v>3009</v>
      </c>
      <c r="G1573" t="s">
        <v>26</v>
      </c>
      <c r="H1573" t="s">
        <v>27</v>
      </c>
      <c r="I1573" t="s">
        <v>3803</v>
      </c>
      <c r="J1573" t="s">
        <v>61</v>
      </c>
      <c r="K1573" t="s">
        <v>62</v>
      </c>
      <c r="L1573" t="s">
        <v>2056</v>
      </c>
      <c r="M1573" t="s">
        <v>32</v>
      </c>
      <c r="N1573" t="s">
        <v>33</v>
      </c>
      <c r="O1573" t="s">
        <v>2057</v>
      </c>
      <c r="P1573">
        <v>67.176000000000002</v>
      </c>
      <c r="Q1573">
        <v>3</v>
      </c>
      <c r="R1573">
        <v>6.7176</v>
      </c>
      <c r="S1573" s="3" t="s">
        <v>112</v>
      </c>
      <c r="T1573">
        <v>2016</v>
      </c>
      <c r="U1573" t="s">
        <v>118</v>
      </c>
      <c r="V1573" s="2">
        <v>0.1</v>
      </c>
    </row>
    <row r="1574" spans="1:22" x14ac:dyDescent="0.25">
      <c r="A1574" t="s">
        <v>3804</v>
      </c>
      <c r="B1574" s="1">
        <v>42710</v>
      </c>
      <c r="C1574" s="1">
        <v>42716</v>
      </c>
      <c r="D1574" t="s">
        <v>23</v>
      </c>
      <c r="E1574" t="s">
        <v>3327</v>
      </c>
      <c r="F1574" t="s">
        <v>3328</v>
      </c>
      <c r="G1574" t="s">
        <v>59</v>
      </c>
      <c r="H1574" t="s">
        <v>27</v>
      </c>
      <c r="I1574" t="s">
        <v>2216</v>
      </c>
      <c r="J1574" t="s">
        <v>104</v>
      </c>
      <c r="K1574" t="s">
        <v>95</v>
      </c>
      <c r="L1574" t="s">
        <v>1025</v>
      </c>
      <c r="M1574" t="s">
        <v>32</v>
      </c>
      <c r="N1574" t="s">
        <v>381</v>
      </c>
      <c r="O1574" t="s">
        <v>1026</v>
      </c>
      <c r="P1574">
        <v>479.98399999999998</v>
      </c>
      <c r="Q1574">
        <v>2</v>
      </c>
      <c r="R1574">
        <v>89.997</v>
      </c>
      <c r="S1574" s="3" t="s">
        <v>107</v>
      </c>
      <c r="T1574">
        <v>2016</v>
      </c>
      <c r="U1574" t="s">
        <v>66</v>
      </c>
      <c r="V1574" s="2">
        <v>0.1875</v>
      </c>
    </row>
    <row r="1575" spans="1:22" x14ac:dyDescent="0.25">
      <c r="A1575" t="s">
        <v>3805</v>
      </c>
      <c r="B1575" s="1">
        <v>41971</v>
      </c>
      <c r="C1575" s="1">
        <v>41975</v>
      </c>
      <c r="D1575" t="s">
        <v>23</v>
      </c>
      <c r="E1575" t="s">
        <v>2341</v>
      </c>
      <c r="F1575" t="s">
        <v>2342</v>
      </c>
      <c r="G1575" t="s">
        <v>26</v>
      </c>
      <c r="H1575" t="s">
        <v>27</v>
      </c>
      <c r="I1575" t="s">
        <v>71</v>
      </c>
      <c r="J1575" t="s">
        <v>61</v>
      </c>
      <c r="K1575" t="s">
        <v>62</v>
      </c>
      <c r="L1575" t="s">
        <v>1357</v>
      </c>
      <c r="M1575" t="s">
        <v>32</v>
      </c>
      <c r="N1575" t="s">
        <v>215</v>
      </c>
      <c r="O1575" t="s">
        <v>1358</v>
      </c>
      <c r="P1575">
        <v>998.85</v>
      </c>
      <c r="Q1575">
        <v>5</v>
      </c>
      <c r="R1575">
        <v>-199.77</v>
      </c>
      <c r="S1575" s="3" t="s">
        <v>53</v>
      </c>
      <c r="T1575">
        <v>2014</v>
      </c>
      <c r="U1575" t="s">
        <v>118</v>
      </c>
      <c r="V1575" s="2">
        <v>-0.2</v>
      </c>
    </row>
    <row r="1576" spans="1:22" x14ac:dyDescent="0.25">
      <c r="A1576" t="s">
        <v>3806</v>
      </c>
      <c r="B1576" s="1">
        <v>41779</v>
      </c>
      <c r="C1576" s="1">
        <v>41781</v>
      </c>
      <c r="D1576" t="s">
        <v>40</v>
      </c>
      <c r="E1576" t="s">
        <v>1562</v>
      </c>
      <c r="F1576" t="s">
        <v>1563</v>
      </c>
      <c r="G1576" t="s">
        <v>59</v>
      </c>
      <c r="H1576" t="s">
        <v>27</v>
      </c>
      <c r="I1576" t="s">
        <v>3807</v>
      </c>
      <c r="J1576" t="s">
        <v>61</v>
      </c>
      <c r="K1576" t="s">
        <v>62</v>
      </c>
      <c r="L1576" t="s">
        <v>1939</v>
      </c>
      <c r="M1576" t="s">
        <v>32</v>
      </c>
      <c r="N1576" t="s">
        <v>51</v>
      </c>
      <c r="O1576" t="s">
        <v>1940</v>
      </c>
      <c r="P1576">
        <v>20.783999999999999</v>
      </c>
      <c r="Q1576">
        <v>2</v>
      </c>
      <c r="R1576">
        <v>-3.6372</v>
      </c>
      <c r="S1576" s="3" t="s">
        <v>65</v>
      </c>
      <c r="T1576">
        <v>2014</v>
      </c>
      <c r="U1576" t="s">
        <v>527</v>
      </c>
      <c r="V1576" s="2">
        <v>-0.17499999999999999</v>
      </c>
    </row>
    <row r="1577" spans="1:22" x14ac:dyDescent="0.25">
      <c r="A1577" t="s">
        <v>3808</v>
      </c>
      <c r="B1577" s="1">
        <v>42927</v>
      </c>
      <c r="C1577" s="1">
        <v>42934</v>
      </c>
      <c r="D1577" t="s">
        <v>23</v>
      </c>
      <c r="E1577" t="s">
        <v>2253</v>
      </c>
      <c r="F1577" t="s">
        <v>2254</v>
      </c>
      <c r="G1577" t="s">
        <v>59</v>
      </c>
      <c r="H1577" t="s">
        <v>27</v>
      </c>
      <c r="I1577" t="s">
        <v>28</v>
      </c>
      <c r="J1577" t="s">
        <v>29</v>
      </c>
      <c r="K1577" t="s">
        <v>30</v>
      </c>
      <c r="L1577" t="s">
        <v>289</v>
      </c>
      <c r="M1577" t="s">
        <v>32</v>
      </c>
      <c r="N1577" t="s">
        <v>51</v>
      </c>
      <c r="O1577" t="s">
        <v>290</v>
      </c>
      <c r="P1577">
        <v>1287.45</v>
      </c>
      <c r="Q1577">
        <v>5</v>
      </c>
      <c r="R1577">
        <v>244.6155</v>
      </c>
      <c r="S1577" s="3" t="s">
        <v>132</v>
      </c>
      <c r="T1577">
        <v>2017</v>
      </c>
      <c r="U1577" t="s">
        <v>332</v>
      </c>
      <c r="V1577" s="2">
        <v>0.19</v>
      </c>
    </row>
    <row r="1578" spans="1:22" x14ac:dyDescent="0.25">
      <c r="A1578" t="s">
        <v>3809</v>
      </c>
      <c r="B1578" s="1">
        <v>43048</v>
      </c>
      <c r="C1578" s="1">
        <v>43052</v>
      </c>
      <c r="D1578" t="s">
        <v>23</v>
      </c>
      <c r="E1578" t="s">
        <v>3521</v>
      </c>
      <c r="F1578" t="s">
        <v>3522</v>
      </c>
      <c r="G1578" t="s">
        <v>70</v>
      </c>
      <c r="H1578" t="s">
        <v>27</v>
      </c>
      <c r="I1578" t="s">
        <v>460</v>
      </c>
      <c r="J1578" t="s">
        <v>288</v>
      </c>
      <c r="K1578" t="s">
        <v>155</v>
      </c>
      <c r="L1578" t="s">
        <v>502</v>
      </c>
      <c r="M1578" t="s">
        <v>32</v>
      </c>
      <c r="N1578" t="s">
        <v>51</v>
      </c>
      <c r="O1578" t="s">
        <v>503</v>
      </c>
      <c r="P1578">
        <v>191.976</v>
      </c>
      <c r="Q1578">
        <v>3</v>
      </c>
      <c r="R1578">
        <v>38.395200000000003</v>
      </c>
      <c r="S1578" s="3" t="s">
        <v>53</v>
      </c>
      <c r="T1578">
        <v>2017</v>
      </c>
      <c r="U1578" t="s">
        <v>118</v>
      </c>
      <c r="V1578" s="2">
        <v>0.2</v>
      </c>
    </row>
    <row r="1579" spans="1:22" x14ac:dyDescent="0.25">
      <c r="A1579" t="s">
        <v>3809</v>
      </c>
      <c r="B1579" s="1">
        <v>43048</v>
      </c>
      <c r="C1579" s="1">
        <v>43052</v>
      </c>
      <c r="D1579" t="s">
        <v>23</v>
      </c>
      <c r="E1579" t="s">
        <v>3521</v>
      </c>
      <c r="F1579" t="s">
        <v>3522</v>
      </c>
      <c r="G1579" t="s">
        <v>70</v>
      </c>
      <c r="H1579" t="s">
        <v>27</v>
      </c>
      <c r="I1579" t="s">
        <v>460</v>
      </c>
      <c r="J1579" t="s">
        <v>288</v>
      </c>
      <c r="K1579" t="s">
        <v>155</v>
      </c>
      <c r="L1579" t="s">
        <v>3390</v>
      </c>
      <c r="M1579" t="s">
        <v>32</v>
      </c>
      <c r="N1579" t="s">
        <v>33</v>
      </c>
      <c r="O1579" t="s">
        <v>3391</v>
      </c>
      <c r="P1579">
        <v>499.16800000000001</v>
      </c>
      <c r="Q1579">
        <v>4</v>
      </c>
      <c r="R1579">
        <v>31.198</v>
      </c>
      <c r="S1579" s="3" t="s">
        <v>53</v>
      </c>
      <c r="T1579">
        <v>2017</v>
      </c>
      <c r="U1579" t="s">
        <v>118</v>
      </c>
      <c r="V1579" s="2">
        <v>6.25E-2</v>
      </c>
    </row>
    <row r="1580" spans="1:22" x14ac:dyDescent="0.25">
      <c r="A1580" t="s">
        <v>3810</v>
      </c>
      <c r="B1580" s="1">
        <v>42004</v>
      </c>
      <c r="C1580" s="1">
        <v>42004</v>
      </c>
      <c r="D1580" t="s">
        <v>677</v>
      </c>
      <c r="E1580" t="s">
        <v>3811</v>
      </c>
      <c r="F1580" t="s">
        <v>3812</v>
      </c>
      <c r="G1580" t="s">
        <v>70</v>
      </c>
      <c r="H1580" t="s">
        <v>27</v>
      </c>
      <c r="I1580" t="s">
        <v>3813</v>
      </c>
      <c r="J1580" t="s">
        <v>1351</v>
      </c>
      <c r="K1580" t="s">
        <v>30</v>
      </c>
      <c r="L1580" t="s">
        <v>2097</v>
      </c>
      <c r="M1580" t="s">
        <v>32</v>
      </c>
      <c r="N1580" t="s">
        <v>33</v>
      </c>
      <c r="O1580" t="s">
        <v>2098</v>
      </c>
      <c r="P1580">
        <v>475.94400000000002</v>
      </c>
      <c r="Q1580">
        <v>7</v>
      </c>
      <c r="R1580">
        <v>59.493000000000002</v>
      </c>
      <c r="S1580" s="3" t="s">
        <v>683</v>
      </c>
      <c r="T1580">
        <v>2014</v>
      </c>
      <c r="U1580" t="s">
        <v>66</v>
      </c>
      <c r="V1580" s="2">
        <v>0.125</v>
      </c>
    </row>
    <row r="1581" spans="1:22" x14ac:dyDescent="0.25">
      <c r="A1581" t="s">
        <v>3814</v>
      </c>
      <c r="B1581" s="1">
        <v>42372</v>
      </c>
      <c r="C1581" s="1">
        <v>42377</v>
      </c>
      <c r="D1581" t="s">
        <v>23</v>
      </c>
      <c r="E1581" t="s">
        <v>2209</v>
      </c>
      <c r="F1581" t="s">
        <v>2210</v>
      </c>
      <c r="G1581" t="s">
        <v>59</v>
      </c>
      <c r="H1581" t="s">
        <v>27</v>
      </c>
      <c r="I1581" t="s">
        <v>213</v>
      </c>
      <c r="J1581" t="s">
        <v>61</v>
      </c>
      <c r="K1581" t="s">
        <v>62</v>
      </c>
      <c r="L1581" t="s">
        <v>1518</v>
      </c>
      <c r="M1581" t="s">
        <v>32</v>
      </c>
      <c r="N1581" t="s">
        <v>51</v>
      </c>
      <c r="O1581" t="s">
        <v>1519</v>
      </c>
      <c r="P1581">
        <v>30.08</v>
      </c>
      <c r="Q1581">
        <v>2</v>
      </c>
      <c r="R1581">
        <v>-5.2640000000000002</v>
      </c>
      <c r="S1581" s="3" t="s">
        <v>35</v>
      </c>
      <c r="T1581">
        <v>2016</v>
      </c>
      <c r="U1581" t="s">
        <v>54</v>
      </c>
      <c r="V1581" s="2">
        <v>-0.17499999999999999</v>
      </c>
    </row>
    <row r="1582" spans="1:22" x14ac:dyDescent="0.25">
      <c r="A1582" t="s">
        <v>3814</v>
      </c>
      <c r="B1582" s="1">
        <v>42372</v>
      </c>
      <c r="C1582" s="1">
        <v>42377</v>
      </c>
      <c r="D1582" t="s">
        <v>23</v>
      </c>
      <c r="E1582" t="s">
        <v>2209</v>
      </c>
      <c r="F1582" t="s">
        <v>2210</v>
      </c>
      <c r="G1582" t="s">
        <v>59</v>
      </c>
      <c r="H1582" t="s">
        <v>27</v>
      </c>
      <c r="I1582" t="s">
        <v>213</v>
      </c>
      <c r="J1582" t="s">
        <v>61</v>
      </c>
      <c r="K1582" t="s">
        <v>62</v>
      </c>
      <c r="L1582" t="s">
        <v>2485</v>
      </c>
      <c r="M1582" t="s">
        <v>32</v>
      </c>
      <c r="N1582" t="s">
        <v>51</v>
      </c>
      <c r="O1582" t="s">
        <v>2486</v>
      </c>
      <c r="P1582">
        <v>165.6</v>
      </c>
      <c r="Q1582">
        <v>3</v>
      </c>
      <c r="R1582">
        <v>-6.21</v>
      </c>
      <c r="S1582" s="3" t="s">
        <v>35</v>
      </c>
      <c r="T1582">
        <v>2016</v>
      </c>
      <c r="U1582" t="s">
        <v>54</v>
      </c>
      <c r="V1582" s="2">
        <v>-3.7499999999999999E-2</v>
      </c>
    </row>
    <row r="1583" spans="1:22" x14ac:dyDescent="0.25">
      <c r="A1583" t="s">
        <v>3814</v>
      </c>
      <c r="B1583" s="1">
        <v>42372</v>
      </c>
      <c r="C1583" s="1">
        <v>42377</v>
      </c>
      <c r="D1583" t="s">
        <v>23</v>
      </c>
      <c r="E1583" t="s">
        <v>2209</v>
      </c>
      <c r="F1583" t="s">
        <v>2210</v>
      </c>
      <c r="G1583" t="s">
        <v>59</v>
      </c>
      <c r="H1583" t="s">
        <v>27</v>
      </c>
      <c r="I1583" t="s">
        <v>213</v>
      </c>
      <c r="J1583" t="s">
        <v>61</v>
      </c>
      <c r="K1583" t="s">
        <v>62</v>
      </c>
      <c r="L1583" t="s">
        <v>1897</v>
      </c>
      <c r="M1583" t="s">
        <v>32</v>
      </c>
      <c r="N1583" t="s">
        <v>33</v>
      </c>
      <c r="O1583" t="s">
        <v>1898</v>
      </c>
      <c r="P1583">
        <v>180.96</v>
      </c>
      <c r="Q1583">
        <v>5</v>
      </c>
      <c r="R1583">
        <v>13.571999999999999</v>
      </c>
      <c r="S1583" s="3" t="s">
        <v>35</v>
      </c>
      <c r="T1583">
        <v>2016</v>
      </c>
      <c r="U1583" t="s">
        <v>54</v>
      </c>
      <c r="V1583" s="2">
        <v>7.4999999999999997E-2</v>
      </c>
    </row>
    <row r="1584" spans="1:22" x14ac:dyDescent="0.25">
      <c r="A1584" t="s">
        <v>3815</v>
      </c>
      <c r="B1584" s="1">
        <v>42965</v>
      </c>
      <c r="C1584" s="1">
        <v>42969</v>
      </c>
      <c r="D1584" t="s">
        <v>23</v>
      </c>
      <c r="E1584" t="s">
        <v>2566</v>
      </c>
      <c r="F1584" t="s">
        <v>2567</v>
      </c>
      <c r="G1584" t="s">
        <v>26</v>
      </c>
      <c r="H1584" t="s">
        <v>27</v>
      </c>
      <c r="I1584" t="s">
        <v>3112</v>
      </c>
      <c r="J1584" t="s">
        <v>1249</v>
      </c>
      <c r="K1584" t="s">
        <v>95</v>
      </c>
      <c r="L1584" t="s">
        <v>674</v>
      </c>
      <c r="M1584" t="s">
        <v>32</v>
      </c>
      <c r="N1584" t="s">
        <v>51</v>
      </c>
      <c r="O1584" t="s">
        <v>675</v>
      </c>
      <c r="P1584">
        <v>23.18</v>
      </c>
      <c r="Q1584">
        <v>2</v>
      </c>
      <c r="R1584">
        <v>7.6494</v>
      </c>
      <c r="S1584" s="3" t="s">
        <v>53</v>
      </c>
      <c r="T1584">
        <v>2017</v>
      </c>
      <c r="U1584" t="s">
        <v>46</v>
      </c>
      <c r="V1584" s="2">
        <v>0.33</v>
      </c>
    </row>
    <row r="1585" spans="1:22" x14ac:dyDescent="0.25">
      <c r="A1585" t="s">
        <v>3816</v>
      </c>
      <c r="B1585" s="1">
        <v>43052</v>
      </c>
      <c r="C1585" s="1">
        <v>43056</v>
      </c>
      <c r="D1585" t="s">
        <v>40</v>
      </c>
      <c r="E1585" t="s">
        <v>874</v>
      </c>
      <c r="F1585" t="s">
        <v>875</v>
      </c>
      <c r="G1585" t="s">
        <v>26</v>
      </c>
      <c r="H1585" t="s">
        <v>27</v>
      </c>
      <c r="I1585" t="s">
        <v>3817</v>
      </c>
      <c r="J1585" t="s">
        <v>29</v>
      </c>
      <c r="K1585" t="s">
        <v>30</v>
      </c>
      <c r="L1585" t="s">
        <v>1771</v>
      </c>
      <c r="M1585" t="s">
        <v>32</v>
      </c>
      <c r="N1585" t="s">
        <v>51</v>
      </c>
      <c r="O1585" t="s">
        <v>1772</v>
      </c>
      <c r="P1585">
        <v>82.95</v>
      </c>
      <c r="Q1585">
        <v>5</v>
      </c>
      <c r="R1585">
        <v>29.032499999999999</v>
      </c>
      <c r="S1585" s="3" t="s">
        <v>53</v>
      </c>
      <c r="T1585">
        <v>2017</v>
      </c>
      <c r="U1585" t="s">
        <v>118</v>
      </c>
      <c r="V1585" s="2">
        <v>0.35</v>
      </c>
    </row>
    <row r="1586" spans="1:22" x14ac:dyDescent="0.25">
      <c r="A1586" t="s">
        <v>3818</v>
      </c>
      <c r="B1586" s="1">
        <v>42683</v>
      </c>
      <c r="C1586" s="1">
        <v>42688</v>
      </c>
      <c r="D1586" t="s">
        <v>23</v>
      </c>
      <c r="E1586" t="s">
        <v>1827</v>
      </c>
      <c r="F1586" t="s">
        <v>1828</v>
      </c>
      <c r="G1586" t="s">
        <v>26</v>
      </c>
      <c r="H1586" t="s">
        <v>27</v>
      </c>
      <c r="I1586" t="s">
        <v>983</v>
      </c>
      <c r="J1586" t="s">
        <v>29</v>
      </c>
      <c r="K1586" t="s">
        <v>30</v>
      </c>
      <c r="L1586" t="s">
        <v>346</v>
      </c>
      <c r="M1586" t="s">
        <v>32</v>
      </c>
      <c r="N1586" t="s">
        <v>51</v>
      </c>
      <c r="O1586" t="s">
        <v>347</v>
      </c>
      <c r="P1586">
        <v>479.97</v>
      </c>
      <c r="Q1586">
        <v>3</v>
      </c>
      <c r="R1586">
        <v>177.5889</v>
      </c>
      <c r="S1586" s="3" t="s">
        <v>35</v>
      </c>
      <c r="T1586">
        <v>2016</v>
      </c>
      <c r="U1586" t="s">
        <v>118</v>
      </c>
      <c r="V1586" s="2">
        <v>0.37</v>
      </c>
    </row>
    <row r="1587" spans="1:22" x14ac:dyDescent="0.25">
      <c r="A1587" t="s">
        <v>3819</v>
      </c>
      <c r="B1587" s="1">
        <v>42321</v>
      </c>
      <c r="C1587" s="1">
        <v>42326</v>
      </c>
      <c r="D1587" t="s">
        <v>23</v>
      </c>
      <c r="E1587" t="s">
        <v>634</v>
      </c>
      <c r="F1587" t="s">
        <v>635</v>
      </c>
      <c r="G1587" t="s">
        <v>26</v>
      </c>
      <c r="H1587" t="s">
        <v>27</v>
      </c>
      <c r="I1587" t="s">
        <v>643</v>
      </c>
      <c r="J1587" t="s">
        <v>288</v>
      </c>
      <c r="K1587" t="s">
        <v>155</v>
      </c>
      <c r="L1587" t="s">
        <v>1405</v>
      </c>
      <c r="M1587" t="s">
        <v>32</v>
      </c>
      <c r="N1587" t="s">
        <v>51</v>
      </c>
      <c r="O1587" t="s">
        <v>1406</v>
      </c>
      <c r="P1587">
        <v>111.96</v>
      </c>
      <c r="Q1587">
        <v>5</v>
      </c>
      <c r="R1587">
        <v>-1.3995</v>
      </c>
      <c r="S1587" s="3" t="s">
        <v>35</v>
      </c>
      <c r="T1587">
        <v>2015</v>
      </c>
      <c r="U1587" t="s">
        <v>118</v>
      </c>
      <c r="V1587" s="2">
        <v>-1.2500000000000001E-2</v>
      </c>
    </row>
    <row r="1588" spans="1:22" x14ac:dyDescent="0.25">
      <c r="A1588" t="s">
        <v>3820</v>
      </c>
      <c r="B1588" s="1">
        <v>42254</v>
      </c>
      <c r="C1588" s="1">
        <v>42259</v>
      </c>
      <c r="D1588" t="s">
        <v>23</v>
      </c>
      <c r="E1588" t="s">
        <v>349</v>
      </c>
      <c r="F1588" t="s">
        <v>350</v>
      </c>
      <c r="G1588" t="s">
        <v>59</v>
      </c>
      <c r="H1588" t="s">
        <v>27</v>
      </c>
      <c r="I1588" t="s">
        <v>103</v>
      </c>
      <c r="J1588" t="s">
        <v>104</v>
      </c>
      <c r="K1588" t="s">
        <v>95</v>
      </c>
      <c r="L1588" t="s">
        <v>2256</v>
      </c>
      <c r="M1588" t="s">
        <v>32</v>
      </c>
      <c r="N1588" t="s">
        <v>51</v>
      </c>
      <c r="O1588" t="s">
        <v>2257</v>
      </c>
      <c r="P1588">
        <v>90</v>
      </c>
      <c r="Q1588">
        <v>5</v>
      </c>
      <c r="R1588">
        <v>16.2</v>
      </c>
      <c r="S1588" s="3" t="s">
        <v>35</v>
      </c>
      <c r="T1588">
        <v>2015</v>
      </c>
      <c r="U1588" t="s">
        <v>81</v>
      </c>
      <c r="V1588" s="2">
        <v>0.18</v>
      </c>
    </row>
    <row r="1589" spans="1:22" x14ac:dyDescent="0.25">
      <c r="A1589" t="s">
        <v>3821</v>
      </c>
      <c r="B1589" s="1">
        <v>42939</v>
      </c>
      <c r="C1589" s="1">
        <v>42940</v>
      </c>
      <c r="D1589" t="s">
        <v>56</v>
      </c>
      <c r="E1589" t="s">
        <v>464</v>
      </c>
      <c r="F1589" t="s">
        <v>465</v>
      </c>
      <c r="G1589" t="s">
        <v>70</v>
      </c>
      <c r="H1589" t="s">
        <v>27</v>
      </c>
      <c r="I1589" t="s">
        <v>1404</v>
      </c>
      <c r="J1589" t="s">
        <v>185</v>
      </c>
      <c r="K1589" t="s">
        <v>62</v>
      </c>
      <c r="L1589" t="s">
        <v>1370</v>
      </c>
      <c r="M1589" t="s">
        <v>32</v>
      </c>
      <c r="N1589" t="s">
        <v>51</v>
      </c>
      <c r="O1589" t="s">
        <v>1371</v>
      </c>
      <c r="P1589">
        <v>399.95</v>
      </c>
      <c r="Q1589">
        <v>5</v>
      </c>
      <c r="R1589">
        <v>143.982</v>
      </c>
      <c r="S1589" s="3" t="s">
        <v>112</v>
      </c>
      <c r="T1589">
        <v>2017</v>
      </c>
      <c r="U1589" t="s">
        <v>332</v>
      </c>
      <c r="V1589" s="2">
        <v>0.36</v>
      </c>
    </row>
    <row r="1590" spans="1:22" x14ac:dyDescent="0.25">
      <c r="A1590" t="s">
        <v>3822</v>
      </c>
      <c r="B1590" s="1">
        <v>41895</v>
      </c>
      <c r="C1590" s="1">
        <v>41895</v>
      </c>
      <c r="D1590" t="s">
        <v>677</v>
      </c>
      <c r="E1590" t="s">
        <v>3823</v>
      </c>
      <c r="F1590" t="s">
        <v>3824</v>
      </c>
      <c r="G1590" t="s">
        <v>26</v>
      </c>
      <c r="H1590" t="s">
        <v>27</v>
      </c>
      <c r="I1590" t="s">
        <v>481</v>
      </c>
      <c r="J1590" t="s">
        <v>426</v>
      </c>
      <c r="K1590" t="s">
        <v>30</v>
      </c>
      <c r="L1590" t="s">
        <v>710</v>
      </c>
      <c r="M1590" t="s">
        <v>32</v>
      </c>
      <c r="N1590" t="s">
        <v>51</v>
      </c>
      <c r="O1590" t="s">
        <v>711</v>
      </c>
      <c r="P1590">
        <v>199.98</v>
      </c>
      <c r="Q1590">
        <v>2</v>
      </c>
      <c r="R1590">
        <v>75.992400000000004</v>
      </c>
      <c r="S1590" s="3" t="s">
        <v>683</v>
      </c>
      <c r="T1590">
        <v>2014</v>
      </c>
      <c r="U1590" t="s">
        <v>81</v>
      </c>
      <c r="V1590" s="2">
        <v>0.38</v>
      </c>
    </row>
    <row r="1591" spans="1:22" x14ac:dyDescent="0.25">
      <c r="A1591" t="s">
        <v>3822</v>
      </c>
      <c r="B1591" s="1">
        <v>41895</v>
      </c>
      <c r="C1591" s="1">
        <v>41895</v>
      </c>
      <c r="D1591" t="s">
        <v>677</v>
      </c>
      <c r="E1591" t="s">
        <v>3823</v>
      </c>
      <c r="F1591" t="s">
        <v>3824</v>
      </c>
      <c r="G1591" t="s">
        <v>26</v>
      </c>
      <c r="H1591" t="s">
        <v>27</v>
      </c>
      <c r="I1591" t="s">
        <v>481</v>
      </c>
      <c r="J1591" t="s">
        <v>426</v>
      </c>
      <c r="K1591" t="s">
        <v>30</v>
      </c>
      <c r="L1591" t="s">
        <v>2185</v>
      </c>
      <c r="M1591" t="s">
        <v>32</v>
      </c>
      <c r="N1591" t="s">
        <v>51</v>
      </c>
      <c r="O1591" t="s">
        <v>2186</v>
      </c>
      <c r="P1591">
        <v>144.96</v>
      </c>
      <c r="Q1591">
        <v>4</v>
      </c>
      <c r="R1591">
        <v>60.883200000000002</v>
      </c>
      <c r="S1591" s="3" t="s">
        <v>683</v>
      </c>
      <c r="T1591">
        <v>2014</v>
      </c>
      <c r="U1591" t="s">
        <v>81</v>
      </c>
      <c r="V1591" s="2">
        <v>0.42</v>
      </c>
    </row>
    <row r="1592" spans="1:22" x14ac:dyDescent="0.25">
      <c r="A1592" t="s">
        <v>3822</v>
      </c>
      <c r="B1592" s="1">
        <v>41895</v>
      </c>
      <c r="C1592" s="1">
        <v>41895</v>
      </c>
      <c r="D1592" t="s">
        <v>677</v>
      </c>
      <c r="E1592" t="s">
        <v>3823</v>
      </c>
      <c r="F1592" t="s">
        <v>3824</v>
      </c>
      <c r="G1592" t="s">
        <v>26</v>
      </c>
      <c r="H1592" t="s">
        <v>27</v>
      </c>
      <c r="I1592" t="s">
        <v>481</v>
      </c>
      <c r="J1592" t="s">
        <v>426</v>
      </c>
      <c r="K1592" t="s">
        <v>30</v>
      </c>
      <c r="L1592" t="s">
        <v>1226</v>
      </c>
      <c r="M1592" t="s">
        <v>32</v>
      </c>
      <c r="N1592" t="s">
        <v>51</v>
      </c>
      <c r="O1592" t="s">
        <v>1227</v>
      </c>
      <c r="P1592">
        <v>118</v>
      </c>
      <c r="Q1592">
        <v>2</v>
      </c>
      <c r="R1592">
        <v>20.059999999999999</v>
      </c>
      <c r="S1592" s="3" t="s">
        <v>683</v>
      </c>
      <c r="T1592">
        <v>2014</v>
      </c>
      <c r="U1592" t="s">
        <v>81</v>
      </c>
      <c r="V1592" s="2">
        <v>0.17</v>
      </c>
    </row>
    <row r="1593" spans="1:22" x14ac:dyDescent="0.25">
      <c r="A1593" t="s">
        <v>3825</v>
      </c>
      <c r="B1593" s="1">
        <v>42136</v>
      </c>
      <c r="C1593" s="1">
        <v>42141</v>
      </c>
      <c r="D1593" t="s">
        <v>23</v>
      </c>
      <c r="E1593" t="s">
        <v>1304</v>
      </c>
      <c r="F1593" t="s">
        <v>1305</v>
      </c>
      <c r="G1593" t="s">
        <v>26</v>
      </c>
      <c r="H1593" t="s">
        <v>27</v>
      </c>
      <c r="I1593" t="s">
        <v>71</v>
      </c>
      <c r="J1593" t="s">
        <v>61</v>
      </c>
      <c r="K1593" t="s">
        <v>62</v>
      </c>
      <c r="L1593" t="s">
        <v>1148</v>
      </c>
      <c r="M1593" t="s">
        <v>32</v>
      </c>
      <c r="N1593" t="s">
        <v>33</v>
      </c>
      <c r="O1593" t="s">
        <v>1149</v>
      </c>
      <c r="P1593">
        <v>619.15200000000004</v>
      </c>
      <c r="Q1593">
        <v>6</v>
      </c>
      <c r="R1593">
        <v>69.654600000000002</v>
      </c>
      <c r="S1593" s="3" t="s">
        <v>35</v>
      </c>
      <c r="T1593">
        <v>2015</v>
      </c>
      <c r="U1593" t="s">
        <v>527</v>
      </c>
      <c r="V1593" s="2">
        <v>0.1125</v>
      </c>
    </row>
    <row r="1594" spans="1:22" x14ac:dyDescent="0.25">
      <c r="A1594" t="s">
        <v>3826</v>
      </c>
      <c r="B1594" s="1">
        <v>42726</v>
      </c>
      <c r="C1594" s="1">
        <v>42728</v>
      </c>
      <c r="D1594" t="s">
        <v>40</v>
      </c>
      <c r="E1594" t="s">
        <v>3827</v>
      </c>
      <c r="F1594" t="s">
        <v>3828</v>
      </c>
      <c r="G1594" t="s">
        <v>70</v>
      </c>
      <c r="H1594" t="s">
        <v>27</v>
      </c>
      <c r="I1594" t="s">
        <v>481</v>
      </c>
      <c r="J1594" t="s">
        <v>426</v>
      </c>
      <c r="K1594" t="s">
        <v>30</v>
      </c>
      <c r="L1594" t="s">
        <v>2759</v>
      </c>
      <c r="M1594" t="s">
        <v>32</v>
      </c>
      <c r="N1594" t="s">
        <v>215</v>
      </c>
      <c r="O1594" t="s">
        <v>2760</v>
      </c>
      <c r="P1594">
        <v>11.56</v>
      </c>
      <c r="Q1594">
        <v>1</v>
      </c>
      <c r="R1594">
        <v>3.7570000000000001</v>
      </c>
      <c r="S1594" s="3" t="s">
        <v>65</v>
      </c>
      <c r="T1594">
        <v>2016</v>
      </c>
      <c r="U1594" t="s">
        <v>66</v>
      </c>
      <c r="V1594" s="2">
        <v>0.32500000000000001</v>
      </c>
    </row>
    <row r="1595" spans="1:22" x14ac:dyDescent="0.25">
      <c r="A1595" t="s">
        <v>3829</v>
      </c>
      <c r="B1595" s="1">
        <v>42615</v>
      </c>
      <c r="C1595" s="1">
        <v>42620</v>
      </c>
      <c r="D1595" t="s">
        <v>40</v>
      </c>
      <c r="E1595" t="s">
        <v>3830</v>
      </c>
      <c r="F1595" t="s">
        <v>3831</v>
      </c>
      <c r="G1595" t="s">
        <v>70</v>
      </c>
      <c r="H1595" t="s">
        <v>27</v>
      </c>
      <c r="I1595" t="s">
        <v>71</v>
      </c>
      <c r="J1595" t="s">
        <v>61</v>
      </c>
      <c r="K1595" t="s">
        <v>62</v>
      </c>
      <c r="L1595" t="s">
        <v>829</v>
      </c>
      <c r="M1595" t="s">
        <v>32</v>
      </c>
      <c r="N1595" t="s">
        <v>51</v>
      </c>
      <c r="O1595" t="s">
        <v>830</v>
      </c>
      <c r="P1595">
        <v>159.56</v>
      </c>
      <c r="Q1595">
        <v>5</v>
      </c>
      <c r="R1595">
        <v>33.906500000000001</v>
      </c>
      <c r="S1595" s="3" t="s">
        <v>35</v>
      </c>
      <c r="T1595">
        <v>2016</v>
      </c>
      <c r="U1595" t="s">
        <v>81</v>
      </c>
      <c r="V1595" s="2">
        <v>0.21249999999999999</v>
      </c>
    </row>
    <row r="1596" spans="1:22" x14ac:dyDescent="0.25">
      <c r="A1596" t="s">
        <v>3832</v>
      </c>
      <c r="B1596" s="1">
        <v>41948</v>
      </c>
      <c r="C1596" s="1">
        <v>41953</v>
      </c>
      <c r="D1596" t="s">
        <v>23</v>
      </c>
      <c r="E1596" t="s">
        <v>3636</v>
      </c>
      <c r="F1596" t="s">
        <v>3637</v>
      </c>
      <c r="G1596" t="s">
        <v>70</v>
      </c>
      <c r="H1596" t="s">
        <v>27</v>
      </c>
      <c r="I1596" t="s">
        <v>1490</v>
      </c>
      <c r="J1596" t="s">
        <v>693</v>
      </c>
      <c r="K1596" t="s">
        <v>155</v>
      </c>
      <c r="L1596" t="s">
        <v>1807</v>
      </c>
      <c r="M1596" t="s">
        <v>32</v>
      </c>
      <c r="N1596" t="s">
        <v>51</v>
      </c>
      <c r="O1596" t="s">
        <v>1808</v>
      </c>
      <c r="P1596">
        <v>47.79</v>
      </c>
      <c r="Q1596">
        <v>3</v>
      </c>
      <c r="R1596">
        <v>16.2486</v>
      </c>
      <c r="S1596" s="3" t="s">
        <v>35</v>
      </c>
      <c r="T1596">
        <v>2014</v>
      </c>
      <c r="U1596" t="s">
        <v>118</v>
      </c>
      <c r="V1596" s="2">
        <v>0.34</v>
      </c>
    </row>
    <row r="1597" spans="1:22" x14ac:dyDescent="0.25">
      <c r="A1597" t="s">
        <v>3833</v>
      </c>
      <c r="B1597" s="1">
        <v>42720</v>
      </c>
      <c r="C1597" s="1">
        <v>42727</v>
      </c>
      <c r="D1597" t="s">
        <v>23</v>
      </c>
      <c r="E1597" t="s">
        <v>3373</v>
      </c>
      <c r="F1597" t="s">
        <v>3374</v>
      </c>
      <c r="G1597" t="s">
        <v>70</v>
      </c>
      <c r="H1597" t="s">
        <v>27</v>
      </c>
      <c r="I1597" t="s">
        <v>300</v>
      </c>
      <c r="J1597" t="s">
        <v>29</v>
      </c>
      <c r="K1597" t="s">
        <v>30</v>
      </c>
      <c r="L1597" t="s">
        <v>497</v>
      </c>
      <c r="M1597" t="s">
        <v>32</v>
      </c>
      <c r="N1597" t="s">
        <v>51</v>
      </c>
      <c r="O1597" t="s">
        <v>498</v>
      </c>
      <c r="P1597">
        <v>21.21</v>
      </c>
      <c r="Q1597">
        <v>7</v>
      </c>
      <c r="R1597">
        <v>4.4541000000000004</v>
      </c>
      <c r="S1597" s="3" t="s">
        <v>132</v>
      </c>
      <c r="T1597">
        <v>2016</v>
      </c>
      <c r="U1597" t="s">
        <v>66</v>
      </c>
      <c r="V1597" s="2">
        <v>0.21</v>
      </c>
    </row>
    <row r="1598" spans="1:22" x14ac:dyDescent="0.25">
      <c r="A1598" t="s">
        <v>3834</v>
      </c>
      <c r="B1598" s="1">
        <v>42596</v>
      </c>
      <c r="C1598" s="1">
        <v>42600</v>
      </c>
      <c r="D1598" t="s">
        <v>23</v>
      </c>
      <c r="E1598" t="s">
        <v>3252</v>
      </c>
      <c r="F1598" t="s">
        <v>3253</v>
      </c>
      <c r="G1598" t="s">
        <v>59</v>
      </c>
      <c r="H1598" t="s">
        <v>27</v>
      </c>
      <c r="I1598" t="s">
        <v>2615</v>
      </c>
      <c r="J1598" t="s">
        <v>177</v>
      </c>
      <c r="K1598" t="s">
        <v>95</v>
      </c>
      <c r="L1598" t="s">
        <v>1231</v>
      </c>
      <c r="M1598" t="s">
        <v>32</v>
      </c>
      <c r="N1598" t="s">
        <v>33</v>
      </c>
      <c r="O1598" t="s">
        <v>1232</v>
      </c>
      <c r="P1598">
        <v>259.89600000000002</v>
      </c>
      <c r="Q1598">
        <v>2</v>
      </c>
      <c r="R1598">
        <v>-56.3108</v>
      </c>
      <c r="S1598" s="3" t="s">
        <v>53</v>
      </c>
      <c r="T1598">
        <v>2016</v>
      </c>
      <c r="U1598" t="s">
        <v>46</v>
      </c>
      <c r="V1598" s="2">
        <v>-0.21666666666666701</v>
      </c>
    </row>
    <row r="1599" spans="1:22" x14ac:dyDescent="0.25">
      <c r="A1599" t="s">
        <v>3834</v>
      </c>
      <c r="B1599" s="1">
        <v>42596</v>
      </c>
      <c r="C1599" s="1">
        <v>42600</v>
      </c>
      <c r="D1599" t="s">
        <v>23</v>
      </c>
      <c r="E1599" t="s">
        <v>3252</v>
      </c>
      <c r="F1599" t="s">
        <v>3253</v>
      </c>
      <c r="G1599" t="s">
        <v>59</v>
      </c>
      <c r="H1599" t="s">
        <v>27</v>
      </c>
      <c r="I1599" t="s">
        <v>2615</v>
      </c>
      <c r="J1599" t="s">
        <v>177</v>
      </c>
      <c r="K1599" t="s">
        <v>95</v>
      </c>
      <c r="L1599" t="s">
        <v>765</v>
      </c>
      <c r="M1599" t="s">
        <v>32</v>
      </c>
      <c r="N1599" t="s">
        <v>33</v>
      </c>
      <c r="O1599" t="s">
        <v>918</v>
      </c>
      <c r="P1599">
        <v>247.18799999999999</v>
      </c>
      <c r="Q1599">
        <v>2</v>
      </c>
      <c r="R1599">
        <v>-49.437600000000003</v>
      </c>
      <c r="S1599" s="3" t="s">
        <v>53</v>
      </c>
      <c r="T1599">
        <v>2016</v>
      </c>
      <c r="U1599" t="s">
        <v>46</v>
      </c>
      <c r="V1599" s="2">
        <v>-0.2</v>
      </c>
    </row>
    <row r="1600" spans="1:22" x14ac:dyDescent="0.25">
      <c r="A1600" t="s">
        <v>3834</v>
      </c>
      <c r="B1600" s="1">
        <v>42596</v>
      </c>
      <c r="C1600" s="1">
        <v>42600</v>
      </c>
      <c r="D1600" t="s">
        <v>23</v>
      </c>
      <c r="E1600" t="s">
        <v>3252</v>
      </c>
      <c r="F1600" t="s">
        <v>3253</v>
      </c>
      <c r="G1600" t="s">
        <v>59</v>
      </c>
      <c r="H1600" t="s">
        <v>27</v>
      </c>
      <c r="I1600" t="s">
        <v>2615</v>
      </c>
      <c r="J1600" t="s">
        <v>177</v>
      </c>
      <c r="K1600" t="s">
        <v>95</v>
      </c>
      <c r="L1600" t="s">
        <v>2133</v>
      </c>
      <c r="M1600" t="s">
        <v>32</v>
      </c>
      <c r="N1600" t="s">
        <v>51</v>
      </c>
      <c r="O1600" t="s">
        <v>2134</v>
      </c>
      <c r="P1600">
        <v>279.95999999999998</v>
      </c>
      <c r="Q1600">
        <v>5</v>
      </c>
      <c r="R1600">
        <v>48.993000000000002</v>
      </c>
      <c r="S1600" s="3" t="s">
        <v>53</v>
      </c>
      <c r="T1600">
        <v>2016</v>
      </c>
      <c r="U1600" t="s">
        <v>46</v>
      </c>
      <c r="V1600" s="2">
        <v>0.17499999999999999</v>
      </c>
    </row>
    <row r="1601" spans="1:22" x14ac:dyDescent="0.25">
      <c r="A1601" t="s">
        <v>3835</v>
      </c>
      <c r="B1601" s="1">
        <v>42667</v>
      </c>
      <c r="C1601" s="1">
        <v>42671</v>
      </c>
      <c r="D1601" t="s">
        <v>23</v>
      </c>
      <c r="E1601" t="s">
        <v>3827</v>
      </c>
      <c r="F1601" t="s">
        <v>3828</v>
      </c>
      <c r="G1601" t="s">
        <v>70</v>
      </c>
      <c r="H1601" t="s">
        <v>27</v>
      </c>
      <c r="I1601" t="s">
        <v>43</v>
      </c>
      <c r="J1601" t="s">
        <v>29</v>
      </c>
      <c r="K1601" t="s">
        <v>30</v>
      </c>
      <c r="L1601" t="s">
        <v>359</v>
      </c>
      <c r="M1601" t="s">
        <v>32</v>
      </c>
      <c r="N1601" t="s">
        <v>51</v>
      </c>
      <c r="O1601" t="s">
        <v>360</v>
      </c>
      <c r="P1601">
        <v>450</v>
      </c>
      <c r="Q1601">
        <v>5</v>
      </c>
      <c r="R1601">
        <v>162</v>
      </c>
      <c r="S1601" s="3" t="s">
        <v>53</v>
      </c>
      <c r="T1601">
        <v>2016</v>
      </c>
      <c r="U1601" t="s">
        <v>133</v>
      </c>
      <c r="V1601" s="2">
        <v>0.36</v>
      </c>
    </row>
    <row r="1602" spans="1:22" x14ac:dyDescent="0.25">
      <c r="A1602" t="s">
        <v>3836</v>
      </c>
      <c r="B1602" s="1">
        <v>42901</v>
      </c>
      <c r="C1602" s="1">
        <v>42906</v>
      </c>
      <c r="D1602" t="s">
        <v>23</v>
      </c>
      <c r="E1602" t="s">
        <v>2164</v>
      </c>
      <c r="F1602" t="s">
        <v>2165</v>
      </c>
      <c r="G1602" t="s">
        <v>59</v>
      </c>
      <c r="H1602" t="s">
        <v>27</v>
      </c>
      <c r="I1602" t="s">
        <v>3430</v>
      </c>
      <c r="J1602" t="s">
        <v>2319</v>
      </c>
      <c r="K1602" t="s">
        <v>155</v>
      </c>
      <c r="L1602" t="s">
        <v>1652</v>
      </c>
      <c r="M1602" t="s">
        <v>32</v>
      </c>
      <c r="N1602" t="s">
        <v>33</v>
      </c>
      <c r="O1602" t="s">
        <v>1653</v>
      </c>
      <c r="P1602">
        <v>239.976</v>
      </c>
      <c r="Q1602">
        <v>3</v>
      </c>
      <c r="R1602">
        <v>26.997299999999999</v>
      </c>
      <c r="S1602" s="3" t="s">
        <v>35</v>
      </c>
      <c r="T1602">
        <v>2017</v>
      </c>
      <c r="U1602" t="s">
        <v>36</v>
      </c>
      <c r="V1602" s="2">
        <v>0.1125</v>
      </c>
    </row>
    <row r="1603" spans="1:22" x14ac:dyDescent="0.25">
      <c r="A1603" t="s">
        <v>3836</v>
      </c>
      <c r="B1603" s="1">
        <v>42901</v>
      </c>
      <c r="C1603" s="1">
        <v>42906</v>
      </c>
      <c r="D1603" t="s">
        <v>23</v>
      </c>
      <c r="E1603" t="s">
        <v>2164</v>
      </c>
      <c r="F1603" t="s">
        <v>2165</v>
      </c>
      <c r="G1603" t="s">
        <v>59</v>
      </c>
      <c r="H1603" t="s">
        <v>27</v>
      </c>
      <c r="I1603" t="s">
        <v>3430</v>
      </c>
      <c r="J1603" t="s">
        <v>2319</v>
      </c>
      <c r="K1603" t="s">
        <v>155</v>
      </c>
      <c r="L1603" t="s">
        <v>906</v>
      </c>
      <c r="M1603" t="s">
        <v>32</v>
      </c>
      <c r="N1603" t="s">
        <v>33</v>
      </c>
      <c r="O1603" t="s">
        <v>907</v>
      </c>
      <c r="P1603">
        <v>2239.9360000000001</v>
      </c>
      <c r="Q1603">
        <v>8</v>
      </c>
      <c r="R1603">
        <v>223.99359999999999</v>
      </c>
      <c r="S1603" s="3" t="s">
        <v>35</v>
      </c>
      <c r="T1603">
        <v>2017</v>
      </c>
      <c r="U1603" t="s">
        <v>36</v>
      </c>
      <c r="V1603" s="2">
        <v>0.1</v>
      </c>
    </row>
    <row r="1604" spans="1:22" x14ac:dyDescent="0.25">
      <c r="A1604" t="s">
        <v>3837</v>
      </c>
      <c r="B1604" s="1">
        <v>42574</v>
      </c>
      <c r="C1604" s="1">
        <v>42577</v>
      </c>
      <c r="D1604" t="s">
        <v>56</v>
      </c>
      <c r="E1604" t="s">
        <v>1627</v>
      </c>
      <c r="F1604" t="s">
        <v>1628</v>
      </c>
      <c r="G1604" t="s">
        <v>26</v>
      </c>
      <c r="H1604" t="s">
        <v>27</v>
      </c>
      <c r="I1604" t="s">
        <v>71</v>
      </c>
      <c r="J1604" t="s">
        <v>61</v>
      </c>
      <c r="K1604" t="s">
        <v>62</v>
      </c>
      <c r="L1604" t="s">
        <v>3082</v>
      </c>
      <c r="M1604" t="s">
        <v>32</v>
      </c>
      <c r="N1604" t="s">
        <v>33</v>
      </c>
      <c r="O1604" t="s">
        <v>3083</v>
      </c>
      <c r="P1604">
        <v>115.136</v>
      </c>
      <c r="Q1604">
        <v>8</v>
      </c>
      <c r="R1604">
        <v>11.5136</v>
      </c>
      <c r="S1604" s="3" t="s">
        <v>172</v>
      </c>
      <c r="T1604">
        <v>2016</v>
      </c>
      <c r="U1604" t="s">
        <v>332</v>
      </c>
      <c r="V1604" s="2">
        <v>0.1</v>
      </c>
    </row>
    <row r="1605" spans="1:22" x14ac:dyDescent="0.25">
      <c r="A1605" t="s">
        <v>3838</v>
      </c>
      <c r="B1605" s="1">
        <v>41959</v>
      </c>
      <c r="C1605" s="1">
        <v>41961</v>
      </c>
      <c r="D1605" t="s">
        <v>56</v>
      </c>
      <c r="E1605" t="s">
        <v>2054</v>
      </c>
      <c r="F1605" t="s">
        <v>2055</v>
      </c>
      <c r="G1605" t="s">
        <v>59</v>
      </c>
      <c r="H1605" t="s">
        <v>27</v>
      </c>
      <c r="I1605" t="s">
        <v>28</v>
      </c>
      <c r="J1605" t="s">
        <v>29</v>
      </c>
      <c r="K1605" t="s">
        <v>30</v>
      </c>
      <c r="L1605" t="s">
        <v>935</v>
      </c>
      <c r="M1605" t="s">
        <v>32</v>
      </c>
      <c r="N1605" t="s">
        <v>33</v>
      </c>
      <c r="O1605" t="s">
        <v>936</v>
      </c>
      <c r="P1605">
        <v>79.968000000000004</v>
      </c>
      <c r="Q1605">
        <v>4</v>
      </c>
      <c r="R1605">
        <v>-17.992799999999999</v>
      </c>
      <c r="S1605" s="3" t="s">
        <v>65</v>
      </c>
      <c r="T1605">
        <v>2014</v>
      </c>
      <c r="U1605" t="s">
        <v>118</v>
      </c>
      <c r="V1605" s="2">
        <v>-0.22500000000000001</v>
      </c>
    </row>
    <row r="1606" spans="1:22" x14ac:dyDescent="0.25">
      <c r="A1606" t="s">
        <v>3839</v>
      </c>
      <c r="B1606" s="1">
        <v>42927</v>
      </c>
      <c r="C1606" s="1">
        <v>42932</v>
      </c>
      <c r="D1606" t="s">
        <v>23</v>
      </c>
      <c r="E1606" t="s">
        <v>3840</v>
      </c>
      <c r="F1606" t="s">
        <v>3841</v>
      </c>
      <c r="G1606" t="s">
        <v>59</v>
      </c>
      <c r="H1606" t="s">
        <v>27</v>
      </c>
      <c r="I1606" t="s">
        <v>300</v>
      </c>
      <c r="J1606" t="s">
        <v>29</v>
      </c>
      <c r="K1606" t="s">
        <v>30</v>
      </c>
      <c r="L1606" t="s">
        <v>732</v>
      </c>
      <c r="M1606" t="s">
        <v>32</v>
      </c>
      <c r="N1606" t="s">
        <v>33</v>
      </c>
      <c r="O1606" t="s">
        <v>733</v>
      </c>
      <c r="P1606">
        <v>71.951999999999998</v>
      </c>
      <c r="Q1606">
        <v>6</v>
      </c>
      <c r="R1606">
        <v>5.3963999999999999</v>
      </c>
      <c r="S1606" s="3" t="s">
        <v>35</v>
      </c>
      <c r="T1606">
        <v>2017</v>
      </c>
      <c r="U1606" t="s">
        <v>332</v>
      </c>
      <c r="V1606" s="2">
        <v>7.4999999999999997E-2</v>
      </c>
    </row>
    <row r="1607" spans="1:22" x14ac:dyDescent="0.25">
      <c r="A1607" t="s">
        <v>3842</v>
      </c>
      <c r="B1607" s="1">
        <v>42365</v>
      </c>
      <c r="C1607" s="1">
        <v>42369</v>
      </c>
      <c r="D1607" t="s">
        <v>23</v>
      </c>
      <c r="E1607" t="s">
        <v>2439</v>
      </c>
      <c r="F1607" t="s">
        <v>2440</v>
      </c>
      <c r="G1607" t="s">
        <v>59</v>
      </c>
      <c r="H1607" t="s">
        <v>27</v>
      </c>
      <c r="I1607" t="s">
        <v>3843</v>
      </c>
      <c r="J1607" t="s">
        <v>2319</v>
      </c>
      <c r="K1607" t="s">
        <v>155</v>
      </c>
      <c r="L1607" t="s">
        <v>3737</v>
      </c>
      <c r="M1607" t="s">
        <v>32</v>
      </c>
      <c r="N1607" t="s">
        <v>51</v>
      </c>
      <c r="O1607" t="s">
        <v>3738</v>
      </c>
      <c r="P1607">
        <v>4.7279999999999998</v>
      </c>
      <c r="Q1607">
        <v>3</v>
      </c>
      <c r="R1607">
        <v>0.70920000000000005</v>
      </c>
      <c r="S1607" s="3" t="s">
        <v>53</v>
      </c>
      <c r="T1607">
        <v>2015</v>
      </c>
      <c r="U1607" t="s">
        <v>66</v>
      </c>
      <c r="V1607" s="2">
        <v>0.15</v>
      </c>
    </row>
    <row r="1608" spans="1:22" x14ac:dyDescent="0.25">
      <c r="A1608" t="s">
        <v>3842</v>
      </c>
      <c r="B1608" s="1">
        <v>42365</v>
      </c>
      <c r="C1608" s="1">
        <v>42369</v>
      </c>
      <c r="D1608" t="s">
        <v>23</v>
      </c>
      <c r="E1608" t="s">
        <v>2439</v>
      </c>
      <c r="F1608" t="s">
        <v>2440</v>
      </c>
      <c r="G1608" t="s">
        <v>59</v>
      </c>
      <c r="H1608" t="s">
        <v>27</v>
      </c>
      <c r="I1608" t="s">
        <v>3843</v>
      </c>
      <c r="J1608" t="s">
        <v>2319</v>
      </c>
      <c r="K1608" t="s">
        <v>155</v>
      </c>
      <c r="L1608" t="s">
        <v>1939</v>
      </c>
      <c r="M1608" t="s">
        <v>32</v>
      </c>
      <c r="N1608" t="s">
        <v>51</v>
      </c>
      <c r="O1608" t="s">
        <v>1940</v>
      </c>
      <c r="P1608">
        <v>72.744</v>
      </c>
      <c r="Q1608">
        <v>7</v>
      </c>
      <c r="R1608">
        <v>-12.7302</v>
      </c>
      <c r="S1608" s="3" t="s">
        <v>53</v>
      </c>
      <c r="T1608">
        <v>2015</v>
      </c>
      <c r="U1608" t="s">
        <v>66</v>
      </c>
      <c r="V1608" s="2">
        <v>-0.17499999999999999</v>
      </c>
    </row>
    <row r="1609" spans="1:22" x14ac:dyDescent="0.25">
      <c r="A1609" t="s">
        <v>3844</v>
      </c>
      <c r="B1609" s="1">
        <v>42913</v>
      </c>
      <c r="C1609" s="1">
        <v>42915</v>
      </c>
      <c r="D1609" t="s">
        <v>40</v>
      </c>
      <c r="E1609" t="s">
        <v>3353</v>
      </c>
      <c r="F1609" t="s">
        <v>3354</v>
      </c>
      <c r="G1609" t="s">
        <v>59</v>
      </c>
      <c r="H1609" t="s">
        <v>27</v>
      </c>
      <c r="I1609" t="s">
        <v>481</v>
      </c>
      <c r="J1609" t="s">
        <v>426</v>
      </c>
      <c r="K1609" t="s">
        <v>30</v>
      </c>
      <c r="L1609" t="s">
        <v>289</v>
      </c>
      <c r="M1609" t="s">
        <v>32</v>
      </c>
      <c r="N1609" t="s">
        <v>51</v>
      </c>
      <c r="O1609" t="s">
        <v>290</v>
      </c>
      <c r="P1609">
        <v>1287.45</v>
      </c>
      <c r="Q1609">
        <v>5</v>
      </c>
      <c r="R1609">
        <v>244.6155</v>
      </c>
      <c r="S1609" s="3" t="s">
        <v>65</v>
      </c>
      <c r="T1609">
        <v>2017</v>
      </c>
      <c r="U1609" t="s">
        <v>36</v>
      </c>
      <c r="V1609" s="2">
        <v>0.19</v>
      </c>
    </row>
    <row r="1610" spans="1:22" x14ac:dyDescent="0.25">
      <c r="A1610" t="s">
        <v>3845</v>
      </c>
      <c r="B1610" s="1">
        <v>43077</v>
      </c>
      <c r="C1610" s="1">
        <v>43080</v>
      </c>
      <c r="D1610" t="s">
        <v>56</v>
      </c>
      <c r="E1610" t="s">
        <v>3077</v>
      </c>
      <c r="F1610" t="s">
        <v>3078</v>
      </c>
      <c r="G1610" t="s">
        <v>26</v>
      </c>
      <c r="H1610" t="s">
        <v>27</v>
      </c>
      <c r="I1610" t="s">
        <v>206</v>
      </c>
      <c r="J1610" t="s">
        <v>207</v>
      </c>
      <c r="K1610" t="s">
        <v>95</v>
      </c>
      <c r="L1610" t="s">
        <v>507</v>
      </c>
      <c r="M1610" t="s">
        <v>32</v>
      </c>
      <c r="N1610" t="s">
        <v>33</v>
      </c>
      <c r="O1610" t="s">
        <v>508</v>
      </c>
      <c r="P1610">
        <v>83.988</v>
      </c>
      <c r="Q1610">
        <v>2</v>
      </c>
      <c r="R1610">
        <v>-20.997</v>
      </c>
      <c r="S1610" s="3" t="s">
        <v>172</v>
      </c>
      <c r="T1610">
        <v>2017</v>
      </c>
      <c r="U1610" t="s">
        <v>66</v>
      </c>
      <c r="V1610" s="2">
        <v>-0.25</v>
      </c>
    </row>
    <row r="1611" spans="1:22" x14ac:dyDescent="0.25">
      <c r="A1611" t="s">
        <v>3846</v>
      </c>
      <c r="B1611" s="1">
        <v>42279</v>
      </c>
      <c r="C1611" s="1">
        <v>42281</v>
      </c>
      <c r="D1611" t="s">
        <v>56</v>
      </c>
      <c r="E1611" t="s">
        <v>605</v>
      </c>
      <c r="F1611" t="s">
        <v>606</v>
      </c>
      <c r="G1611" t="s">
        <v>26</v>
      </c>
      <c r="H1611" t="s">
        <v>27</v>
      </c>
      <c r="I1611" t="s">
        <v>3847</v>
      </c>
      <c r="J1611" t="s">
        <v>340</v>
      </c>
      <c r="K1611" t="s">
        <v>30</v>
      </c>
      <c r="L1611" t="s">
        <v>239</v>
      </c>
      <c r="M1611" t="s">
        <v>32</v>
      </c>
      <c r="N1611" t="s">
        <v>51</v>
      </c>
      <c r="O1611" t="s">
        <v>240</v>
      </c>
      <c r="P1611">
        <v>53.04</v>
      </c>
      <c r="Q1611">
        <v>3</v>
      </c>
      <c r="R1611">
        <v>-4.641</v>
      </c>
      <c r="S1611" s="3" t="s">
        <v>65</v>
      </c>
      <c r="T1611">
        <v>2015</v>
      </c>
      <c r="U1611" t="s">
        <v>133</v>
      </c>
      <c r="V1611" s="2">
        <v>-8.7499999999999994E-2</v>
      </c>
    </row>
    <row r="1612" spans="1:22" x14ac:dyDescent="0.25">
      <c r="A1612" t="s">
        <v>3848</v>
      </c>
      <c r="B1612" s="1">
        <v>42768</v>
      </c>
      <c r="C1612" s="1">
        <v>42773</v>
      </c>
      <c r="D1612" t="s">
        <v>23</v>
      </c>
      <c r="E1612" t="s">
        <v>3849</v>
      </c>
      <c r="F1612" t="s">
        <v>3850</v>
      </c>
      <c r="G1612" t="s">
        <v>59</v>
      </c>
      <c r="H1612" t="s">
        <v>27</v>
      </c>
      <c r="I1612" t="s">
        <v>300</v>
      </c>
      <c r="J1612" t="s">
        <v>29</v>
      </c>
      <c r="K1612" t="s">
        <v>30</v>
      </c>
      <c r="L1612" t="s">
        <v>2993</v>
      </c>
      <c r="M1612" t="s">
        <v>32</v>
      </c>
      <c r="N1612" t="s">
        <v>215</v>
      </c>
      <c r="O1612" t="s">
        <v>2994</v>
      </c>
      <c r="P1612">
        <v>239.98400000000001</v>
      </c>
      <c r="Q1612">
        <v>2</v>
      </c>
      <c r="R1612">
        <v>38.997399999999999</v>
      </c>
      <c r="S1612" s="3" t="s">
        <v>35</v>
      </c>
      <c r="T1612">
        <v>2017</v>
      </c>
      <c r="U1612" t="s">
        <v>180</v>
      </c>
      <c r="V1612" s="2">
        <v>0.16250000000000001</v>
      </c>
    </row>
    <row r="1613" spans="1:22" x14ac:dyDescent="0.25">
      <c r="A1613" t="s">
        <v>3851</v>
      </c>
      <c r="B1613" s="1">
        <v>42171</v>
      </c>
      <c r="C1613" s="1">
        <v>42174</v>
      </c>
      <c r="D1613" t="s">
        <v>56</v>
      </c>
      <c r="E1613" t="s">
        <v>960</v>
      </c>
      <c r="F1613" t="s">
        <v>961</v>
      </c>
      <c r="G1613" t="s">
        <v>26</v>
      </c>
      <c r="H1613" t="s">
        <v>27</v>
      </c>
      <c r="I1613" t="s">
        <v>103</v>
      </c>
      <c r="J1613" t="s">
        <v>104</v>
      </c>
      <c r="K1613" t="s">
        <v>95</v>
      </c>
      <c r="L1613" t="s">
        <v>1336</v>
      </c>
      <c r="M1613" t="s">
        <v>32</v>
      </c>
      <c r="N1613" t="s">
        <v>33</v>
      </c>
      <c r="O1613" t="s">
        <v>1337</v>
      </c>
      <c r="P1613">
        <v>133.97999999999999</v>
      </c>
      <c r="Q1613">
        <v>2</v>
      </c>
      <c r="R1613">
        <v>33.494999999999997</v>
      </c>
      <c r="S1613" s="3" t="s">
        <v>172</v>
      </c>
      <c r="T1613">
        <v>2015</v>
      </c>
      <c r="U1613" t="s">
        <v>36</v>
      </c>
      <c r="V1613" s="2">
        <v>0.25</v>
      </c>
    </row>
    <row r="1614" spans="1:22" x14ac:dyDescent="0.25">
      <c r="A1614" t="s">
        <v>3852</v>
      </c>
      <c r="B1614" s="1">
        <v>42495</v>
      </c>
      <c r="C1614" s="1">
        <v>42499</v>
      </c>
      <c r="D1614" t="s">
        <v>23</v>
      </c>
      <c r="E1614" t="s">
        <v>138</v>
      </c>
      <c r="F1614" t="s">
        <v>139</v>
      </c>
      <c r="G1614" t="s">
        <v>70</v>
      </c>
      <c r="H1614" t="s">
        <v>27</v>
      </c>
      <c r="I1614" t="s">
        <v>1823</v>
      </c>
      <c r="J1614" t="s">
        <v>288</v>
      </c>
      <c r="K1614" t="s">
        <v>155</v>
      </c>
      <c r="L1614" t="s">
        <v>1497</v>
      </c>
      <c r="M1614" t="s">
        <v>32</v>
      </c>
      <c r="N1614" t="s">
        <v>33</v>
      </c>
      <c r="O1614" t="s">
        <v>1498</v>
      </c>
      <c r="P1614">
        <v>177.48</v>
      </c>
      <c r="Q1614">
        <v>3</v>
      </c>
      <c r="R1614">
        <v>19.9665</v>
      </c>
      <c r="S1614" s="3" t="s">
        <v>53</v>
      </c>
      <c r="T1614">
        <v>2016</v>
      </c>
      <c r="U1614" t="s">
        <v>527</v>
      </c>
      <c r="V1614" s="2">
        <v>0.1125</v>
      </c>
    </row>
    <row r="1615" spans="1:22" x14ac:dyDescent="0.25">
      <c r="A1615" t="s">
        <v>3853</v>
      </c>
      <c r="B1615" s="1">
        <v>42282</v>
      </c>
      <c r="C1615" s="1">
        <v>42286</v>
      </c>
      <c r="D1615" t="s">
        <v>23</v>
      </c>
      <c r="E1615" t="s">
        <v>1627</v>
      </c>
      <c r="F1615" t="s">
        <v>1628</v>
      </c>
      <c r="G1615" t="s">
        <v>26</v>
      </c>
      <c r="H1615" t="s">
        <v>27</v>
      </c>
      <c r="I1615" t="s">
        <v>176</v>
      </c>
      <c r="J1615" t="s">
        <v>177</v>
      </c>
      <c r="K1615" t="s">
        <v>95</v>
      </c>
      <c r="L1615" t="s">
        <v>359</v>
      </c>
      <c r="M1615" t="s">
        <v>32</v>
      </c>
      <c r="N1615" t="s">
        <v>51</v>
      </c>
      <c r="O1615" t="s">
        <v>360</v>
      </c>
      <c r="P1615">
        <v>288</v>
      </c>
      <c r="Q1615">
        <v>4</v>
      </c>
      <c r="R1615">
        <v>57.6</v>
      </c>
      <c r="S1615" s="3" t="s">
        <v>53</v>
      </c>
      <c r="T1615">
        <v>2015</v>
      </c>
      <c r="U1615" t="s">
        <v>133</v>
      </c>
      <c r="V1615" s="2">
        <v>0.2</v>
      </c>
    </row>
    <row r="1616" spans="1:22" x14ac:dyDescent="0.25">
      <c r="A1616" t="s">
        <v>3854</v>
      </c>
      <c r="B1616" s="1">
        <v>42625</v>
      </c>
      <c r="C1616" s="1">
        <v>42626</v>
      </c>
      <c r="D1616" t="s">
        <v>677</v>
      </c>
      <c r="E1616" t="s">
        <v>464</v>
      </c>
      <c r="F1616" t="s">
        <v>465</v>
      </c>
      <c r="G1616" t="s">
        <v>70</v>
      </c>
      <c r="H1616" t="s">
        <v>27</v>
      </c>
      <c r="I1616" t="s">
        <v>444</v>
      </c>
      <c r="J1616" t="s">
        <v>147</v>
      </c>
      <c r="K1616" t="s">
        <v>30</v>
      </c>
      <c r="L1616" t="s">
        <v>2996</v>
      </c>
      <c r="M1616" t="s">
        <v>32</v>
      </c>
      <c r="N1616" t="s">
        <v>33</v>
      </c>
      <c r="O1616" t="s">
        <v>2997</v>
      </c>
      <c r="P1616">
        <v>146.952</v>
      </c>
      <c r="Q1616">
        <v>3</v>
      </c>
      <c r="R1616">
        <v>9.1844999999999999</v>
      </c>
      <c r="S1616" s="3" t="s">
        <v>112</v>
      </c>
      <c r="T1616">
        <v>2016</v>
      </c>
      <c r="U1616" t="s">
        <v>81</v>
      </c>
      <c r="V1616" s="2">
        <v>6.25E-2</v>
      </c>
    </row>
    <row r="1617" spans="1:22" x14ac:dyDescent="0.25">
      <c r="A1617" t="s">
        <v>3855</v>
      </c>
      <c r="B1617" s="1">
        <v>42883</v>
      </c>
      <c r="C1617" s="1">
        <v>42888</v>
      </c>
      <c r="D1617" t="s">
        <v>23</v>
      </c>
      <c r="E1617" t="s">
        <v>3319</v>
      </c>
      <c r="F1617" t="s">
        <v>3320</v>
      </c>
      <c r="G1617" t="s">
        <v>59</v>
      </c>
      <c r="H1617" t="s">
        <v>27</v>
      </c>
      <c r="I1617" t="s">
        <v>893</v>
      </c>
      <c r="J1617" t="s">
        <v>123</v>
      </c>
      <c r="K1617" t="s">
        <v>30</v>
      </c>
      <c r="L1617" t="s">
        <v>2709</v>
      </c>
      <c r="M1617" t="s">
        <v>32</v>
      </c>
      <c r="N1617" t="s">
        <v>33</v>
      </c>
      <c r="O1617" t="s">
        <v>2710</v>
      </c>
      <c r="P1617">
        <v>195.96</v>
      </c>
      <c r="Q1617">
        <v>5</v>
      </c>
      <c r="R1617">
        <v>19.596</v>
      </c>
      <c r="S1617" s="3" t="s">
        <v>35</v>
      </c>
      <c r="T1617">
        <v>2017</v>
      </c>
      <c r="U1617" t="s">
        <v>527</v>
      </c>
      <c r="V1617" s="2">
        <v>0.1</v>
      </c>
    </row>
    <row r="1618" spans="1:22" x14ac:dyDescent="0.25">
      <c r="A1618" t="s">
        <v>3855</v>
      </c>
      <c r="B1618" s="1">
        <v>42883</v>
      </c>
      <c r="C1618" s="1">
        <v>42888</v>
      </c>
      <c r="D1618" t="s">
        <v>23</v>
      </c>
      <c r="E1618" t="s">
        <v>3319</v>
      </c>
      <c r="F1618" t="s">
        <v>3320</v>
      </c>
      <c r="G1618" t="s">
        <v>59</v>
      </c>
      <c r="H1618" t="s">
        <v>27</v>
      </c>
      <c r="I1618" t="s">
        <v>893</v>
      </c>
      <c r="J1618" t="s">
        <v>123</v>
      </c>
      <c r="K1618" t="s">
        <v>30</v>
      </c>
      <c r="L1618" t="s">
        <v>164</v>
      </c>
      <c r="M1618" t="s">
        <v>32</v>
      </c>
      <c r="N1618" t="s">
        <v>51</v>
      </c>
      <c r="O1618" t="s">
        <v>165</v>
      </c>
      <c r="P1618">
        <v>271.96800000000002</v>
      </c>
      <c r="Q1618">
        <v>4</v>
      </c>
      <c r="R1618">
        <v>54.393599999999999</v>
      </c>
      <c r="S1618" s="3" t="s">
        <v>35</v>
      </c>
      <c r="T1618">
        <v>2017</v>
      </c>
      <c r="U1618" t="s">
        <v>527</v>
      </c>
      <c r="V1618" s="2">
        <v>0.2</v>
      </c>
    </row>
    <row r="1619" spans="1:22" x14ac:dyDescent="0.25">
      <c r="A1619" t="s">
        <v>3856</v>
      </c>
      <c r="B1619" s="1">
        <v>42812</v>
      </c>
      <c r="C1619" s="1">
        <v>42818</v>
      </c>
      <c r="D1619" t="s">
        <v>23</v>
      </c>
      <c r="E1619" t="s">
        <v>1805</v>
      </c>
      <c r="F1619" t="s">
        <v>1806</v>
      </c>
      <c r="G1619" t="s">
        <v>26</v>
      </c>
      <c r="H1619" t="s">
        <v>27</v>
      </c>
      <c r="I1619" t="s">
        <v>71</v>
      </c>
      <c r="J1619" t="s">
        <v>61</v>
      </c>
      <c r="K1619" t="s">
        <v>62</v>
      </c>
      <c r="L1619" t="s">
        <v>805</v>
      </c>
      <c r="M1619" t="s">
        <v>32</v>
      </c>
      <c r="N1619" t="s">
        <v>33</v>
      </c>
      <c r="O1619" t="s">
        <v>806</v>
      </c>
      <c r="P1619">
        <v>537.54399999999998</v>
      </c>
      <c r="Q1619">
        <v>7</v>
      </c>
      <c r="R1619">
        <v>47.0351</v>
      </c>
      <c r="S1619" s="3" t="s">
        <v>107</v>
      </c>
      <c r="T1619">
        <v>2017</v>
      </c>
      <c r="U1619" t="s">
        <v>89</v>
      </c>
      <c r="V1619" s="2">
        <v>8.7499999999999994E-2</v>
      </c>
    </row>
    <row r="1620" spans="1:22" x14ac:dyDescent="0.25">
      <c r="A1620" t="s">
        <v>3857</v>
      </c>
      <c r="B1620" s="1">
        <v>41992</v>
      </c>
      <c r="C1620" s="1">
        <v>41994</v>
      </c>
      <c r="D1620" t="s">
        <v>56</v>
      </c>
      <c r="E1620" t="s">
        <v>3004</v>
      </c>
      <c r="F1620" t="s">
        <v>3005</v>
      </c>
      <c r="G1620" t="s">
        <v>59</v>
      </c>
      <c r="H1620" t="s">
        <v>27</v>
      </c>
      <c r="I1620" t="s">
        <v>28</v>
      </c>
      <c r="J1620" t="s">
        <v>29</v>
      </c>
      <c r="K1620" t="s">
        <v>30</v>
      </c>
      <c r="L1620" t="s">
        <v>1665</v>
      </c>
      <c r="M1620" t="s">
        <v>32</v>
      </c>
      <c r="N1620" t="s">
        <v>33</v>
      </c>
      <c r="O1620" t="s">
        <v>1666</v>
      </c>
      <c r="P1620">
        <v>583.79999999999995</v>
      </c>
      <c r="Q1620">
        <v>5</v>
      </c>
      <c r="R1620">
        <v>72.974999999999994</v>
      </c>
      <c r="S1620" s="3" t="s">
        <v>65</v>
      </c>
      <c r="T1620">
        <v>2014</v>
      </c>
      <c r="U1620" t="s">
        <v>66</v>
      </c>
      <c r="V1620" s="2">
        <v>0.125</v>
      </c>
    </row>
    <row r="1621" spans="1:22" x14ac:dyDescent="0.25">
      <c r="A1621" t="s">
        <v>3857</v>
      </c>
      <c r="B1621" s="1">
        <v>41992</v>
      </c>
      <c r="C1621" s="1">
        <v>41994</v>
      </c>
      <c r="D1621" t="s">
        <v>56</v>
      </c>
      <c r="E1621" t="s">
        <v>3004</v>
      </c>
      <c r="F1621" t="s">
        <v>3005</v>
      </c>
      <c r="G1621" t="s">
        <v>59</v>
      </c>
      <c r="H1621" t="s">
        <v>27</v>
      </c>
      <c r="I1621" t="s">
        <v>28</v>
      </c>
      <c r="J1621" t="s">
        <v>29</v>
      </c>
      <c r="K1621" t="s">
        <v>30</v>
      </c>
      <c r="L1621" t="s">
        <v>807</v>
      </c>
      <c r="M1621" t="s">
        <v>32</v>
      </c>
      <c r="N1621" t="s">
        <v>33</v>
      </c>
      <c r="O1621" t="s">
        <v>808</v>
      </c>
      <c r="P1621">
        <v>211.16800000000001</v>
      </c>
      <c r="Q1621">
        <v>4</v>
      </c>
      <c r="R1621">
        <v>15.8376</v>
      </c>
      <c r="S1621" s="3" t="s">
        <v>65</v>
      </c>
      <c r="T1621">
        <v>2014</v>
      </c>
      <c r="U1621" t="s">
        <v>66</v>
      </c>
      <c r="V1621" s="2">
        <v>7.4999999999999997E-2</v>
      </c>
    </row>
    <row r="1622" spans="1:22" x14ac:dyDescent="0.25">
      <c r="A1622" t="s">
        <v>3858</v>
      </c>
      <c r="B1622" s="1">
        <v>42466</v>
      </c>
      <c r="C1622" s="1">
        <v>42470</v>
      </c>
      <c r="D1622" t="s">
        <v>23</v>
      </c>
      <c r="E1622" t="s">
        <v>1323</v>
      </c>
      <c r="F1622" t="s">
        <v>1324</v>
      </c>
      <c r="G1622" t="s">
        <v>70</v>
      </c>
      <c r="H1622" t="s">
        <v>27</v>
      </c>
      <c r="I1622" t="s">
        <v>680</v>
      </c>
      <c r="J1622" t="s">
        <v>1655</v>
      </c>
      <c r="K1622" t="s">
        <v>95</v>
      </c>
      <c r="L1622" t="s">
        <v>1819</v>
      </c>
      <c r="M1622" t="s">
        <v>32</v>
      </c>
      <c r="N1622" t="s">
        <v>33</v>
      </c>
      <c r="O1622" t="s">
        <v>1820</v>
      </c>
      <c r="P1622">
        <v>1294.75</v>
      </c>
      <c r="Q1622">
        <v>5</v>
      </c>
      <c r="R1622">
        <v>336.63499999999999</v>
      </c>
      <c r="S1622" s="3" t="s">
        <v>53</v>
      </c>
      <c r="T1622">
        <v>2016</v>
      </c>
      <c r="U1622" t="s">
        <v>291</v>
      </c>
      <c r="V1622" s="2">
        <v>0.26</v>
      </c>
    </row>
    <row r="1623" spans="1:22" x14ac:dyDescent="0.25">
      <c r="A1623" t="s">
        <v>3859</v>
      </c>
      <c r="B1623" s="1">
        <v>41767</v>
      </c>
      <c r="C1623" s="1">
        <v>41769</v>
      </c>
      <c r="D1623" t="s">
        <v>56</v>
      </c>
      <c r="E1623" t="s">
        <v>1788</v>
      </c>
      <c r="F1623" t="s">
        <v>1789</v>
      </c>
      <c r="G1623" t="s">
        <v>26</v>
      </c>
      <c r="H1623" t="s">
        <v>27</v>
      </c>
      <c r="I1623" t="s">
        <v>206</v>
      </c>
      <c r="J1623" t="s">
        <v>207</v>
      </c>
      <c r="K1623" t="s">
        <v>95</v>
      </c>
      <c r="L1623" t="s">
        <v>380</v>
      </c>
      <c r="M1623" t="s">
        <v>32</v>
      </c>
      <c r="N1623" t="s">
        <v>381</v>
      </c>
      <c r="O1623" t="s">
        <v>382</v>
      </c>
      <c r="P1623">
        <v>1799.97</v>
      </c>
      <c r="Q1623">
        <v>5</v>
      </c>
      <c r="R1623">
        <v>239.99600000000001</v>
      </c>
      <c r="S1623" s="3" t="s">
        <v>65</v>
      </c>
      <c r="T1623">
        <v>2014</v>
      </c>
      <c r="U1623" t="s">
        <v>527</v>
      </c>
      <c r="V1623" s="2">
        <v>0.133333333333333</v>
      </c>
    </row>
    <row r="1624" spans="1:22" x14ac:dyDescent="0.25">
      <c r="A1624" t="s">
        <v>3860</v>
      </c>
      <c r="B1624" s="1">
        <v>42684</v>
      </c>
      <c r="C1624" s="1">
        <v>42686</v>
      </c>
      <c r="D1624" t="s">
        <v>56</v>
      </c>
      <c r="E1624" t="s">
        <v>3861</v>
      </c>
      <c r="F1624" t="s">
        <v>3862</v>
      </c>
      <c r="G1624" t="s">
        <v>26</v>
      </c>
      <c r="H1624" t="s">
        <v>27</v>
      </c>
      <c r="I1624" t="s">
        <v>1541</v>
      </c>
      <c r="J1624" t="s">
        <v>200</v>
      </c>
      <c r="K1624" t="s">
        <v>62</v>
      </c>
      <c r="L1624" t="s">
        <v>2851</v>
      </c>
      <c r="M1624" t="s">
        <v>32</v>
      </c>
      <c r="N1624" t="s">
        <v>33</v>
      </c>
      <c r="O1624" t="s">
        <v>2852</v>
      </c>
      <c r="P1624">
        <v>221.98</v>
      </c>
      <c r="Q1624">
        <v>2</v>
      </c>
      <c r="R1624">
        <v>62.154400000000003</v>
      </c>
      <c r="S1624" s="3" t="s">
        <v>65</v>
      </c>
      <c r="T1624">
        <v>2016</v>
      </c>
      <c r="U1624" t="s">
        <v>118</v>
      </c>
      <c r="V1624" s="2">
        <v>0.28000000000000003</v>
      </c>
    </row>
    <row r="1625" spans="1:22" x14ac:dyDescent="0.25">
      <c r="A1625" t="s">
        <v>3863</v>
      </c>
      <c r="B1625" s="1">
        <v>42004</v>
      </c>
      <c r="C1625" s="1">
        <v>42005</v>
      </c>
      <c r="D1625" t="s">
        <v>56</v>
      </c>
      <c r="E1625" t="s">
        <v>3864</v>
      </c>
      <c r="F1625" t="s">
        <v>3865</v>
      </c>
      <c r="G1625" t="s">
        <v>59</v>
      </c>
      <c r="H1625" t="s">
        <v>27</v>
      </c>
      <c r="I1625" t="s">
        <v>103</v>
      </c>
      <c r="J1625" t="s">
        <v>104</v>
      </c>
      <c r="K1625" t="s">
        <v>95</v>
      </c>
      <c r="L1625" t="s">
        <v>674</v>
      </c>
      <c r="M1625" t="s">
        <v>32</v>
      </c>
      <c r="N1625" t="s">
        <v>51</v>
      </c>
      <c r="O1625" t="s">
        <v>675</v>
      </c>
      <c r="P1625">
        <v>34.770000000000003</v>
      </c>
      <c r="Q1625">
        <v>3</v>
      </c>
      <c r="R1625">
        <v>11.4741</v>
      </c>
      <c r="S1625" s="3" t="s">
        <v>112</v>
      </c>
      <c r="T1625">
        <v>2014</v>
      </c>
      <c r="U1625" t="s">
        <v>66</v>
      </c>
      <c r="V1625" s="2">
        <v>0.33</v>
      </c>
    </row>
    <row r="1626" spans="1:22" x14ac:dyDescent="0.25">
      <c r="A1626" t="s">
        <v>3866</v>
      </c>
      <c r="B1626" s="1">
        <v>43034</v>
      </c>
      <c r="C1626" s="1">
        <v>43039</v>
      </c>
      <c r="D1626" t="s">
        <v>23</v>
      </c>
      <c r="E1626" t="s">
        <v>3150</v>
      </c>
      <c r="F1626" t="s">
        <v>3151</v>
      </c>
      <c r="G1626" t="s">
        <v>26</v>
      </c>
      <c r="H1626" t="s">
        <v>27</v>
      </c>
      <c r="I1626" t="s">
        <v>206</v>
      </c>
      <c r="J1626" t="s">
        <v>207</v>
      </c>
      <c r="K1626" t="s">
        <v>95</v>
      </c>
      <c r="L1626" t="s">
        <v>1606</v>
      </c>
      <c r="M1626" t="s">
        <v>32</v>
      </c>
      <c r="N1626" t="s">
        <v>33</v>
      </c>
      <c r="O1626" t="s">
        <v>1607</v>
      </c>
      <c r="P1626">
        <v>118.65</v>
      </c>
      <c r="Q1626">
        <v>5</v>
      </c>
      <c r="R1626">
        <v>19.774999999999999</v>
      </c>
      <c r="S1626" s="3" t="s">
        <v>35</v>
      </c>
      <c r="T1626">
        <v>2017</v>
      </c>
      <c r="U1626" t="s">
        <v>133</v>
      </c>
      <c r="V1626" s="2">
        <v>0.16666666666666699</v>
      </c>
    </row>
    <row r="1627" spans="1:22" x14ac:dyDescent="0.25">
      <c r="A1627" t="s">
        <v>3867</v>
      </c>
      <c r="B1627" s="1">
        <v>42331</v>
      </c>
      <c r="C1627" s="1">
        <v>42333</v>
      </c>
      <c r="D1627" t="s">
        <v>40</v>
      </c>
      <c r="E1627" t="s">
        <v>3868</v>
      </c>
      <c r="F1627" t="s">
        <v>3869</v>
      </c>
      <c r="G1627" t="s">
        <v>26</v>
      </c>
      <c r="H1627" t="s">
        <v>27</v>
      </c>
      <c r="I1627" t="s">
        <v>169</v>
      </c>
      <c r="J1627" t="s">
        <v>94</v>
      </c>
      <c r="K1627" t="s">
        <v>95</v>
      </c>
      <c r="L1627" t="s">
        <v>427</v>
      </c>
      <c r="M1627" t="s">
        <v>32</v>
      </c>
      <c r="N1627" t="s">
        <v>33</v>
      </c>
      <c r="O1627" t="s">
        <v>428</v>
      </c>
      <c r="P1627">
        <v>307.98</v>
      </c>
      <c r="Q1627">
        <v>2</v>
      </c>
      <c r="R1627">
        <v>89.3142</v>
      </c>
      <c r="S1627" s="3" t="s">
        <v>65</v>
      </c>
      <c r="T1627">
        <v>2015</v>
      </c>
      <c r="U1627" t="s">
        <v>118</v>
      </c>
      <c r="V1627" s="2">
        <v>0.28999999999999998</v>
      </c>
    </row>
    <row r="1628" spans="1:22" x14ac:dyDescent="0.25">
      <c r="A1628" t="s">
        <v>3870</v>
      </c>
      <c r="B1628" s="1">
        <v>43042</v>
      </c>
      <c r="C1628" s="1">
        <v>43046</v>
      </c>
      <c r="D1628" t="s">
        <v>23</v>
      </c>
      <c r="E1628" t="s">
        <v>3050</v>
      </c>
      <c r="F1628" t="s">
        <v>3051</v>
      </c>
      <c r="G1628" t="s">
        <v>26</v>
      </c>
      <c r="H1628" t="s">
        <v>27</v>
      </c>
      <c r="I1628" t="s">
        <v>2280</v>
      </c>
      <c r="J1628" t="s">
        <v>288</v>
      </c>
      <c r="K1628" t="s">
        <v>155</v>
      </c>
      <c r="L1628" t="s">
        <v>540</v>
      </c>
      <c r="M1628" t="s">
        <v>32</v>
      </c>
      <c r="N1628" t="s">
        <v>381</v>
      </c>
      <c r="O1628" t="s">
        <v>541</v>
      </c>
      <c r="P1628">
        <v>959.98400000000004</v>
      </c>
      <c r="Q1628">
        <v>2</v>
      </c>
      <c r="R1628">
        <v>311.9948</v>
      </c>
      <c r="S1628" s="3" t="s">
        <v>53</v>
      </c>
      <c r="T1628">
        <v>2017</v>
      </c>
      <c r="U1628" t="s">
        <v>118</v>
      </c>
      <c r="V1628" s="2">
        <v>0.32500000000000001</v>
      </c>
    </row>
    <row r="1629" spans="1:22" x14ac:dyDescent="0.25">
      <c r="A1629" t="s">
        <v>3871</v>
      </c>
      <c r="B1629" s="1">
        <v>43002</v>
      </c>
      <c r="C1629" s="1">
        <v>43006</v>
      </c>
      <c r="D1629" t="s">
        <v>23</v>
      </c>
      <c r="E1629" t="s">
        <v>3115</v>
      </c>
      <c r="F1629" t="s">
        <v>3116</v>
      </c>
      <c r="G1629" t="s">
        <v>70</v>
      </c>
      <c r="H1629" t="s">
        <v>27</v>
      </c>
      <c r="I1629" t="s">
        <v>2653</v>
      </c>
      <c r="J1629" t="s">
        <v>1006</v>
      </c>
      <c r="K1629" t="s">
        <v>155</v>
      </c>
      <c r="L1629" t="s">
        <v>2169</v>
      </c>
      <c r="M1629" t="s">
        <v>32</v>
      </c>
      <c r="N1629" t="s">
        <v>33</v>
      </c>
      <c r="O1629" t="s">
        <v>2170</v>
      </c>
      <c r="P1629">
        <v>89.9</v>
      </c>
      <c r="Q1629">
        <v>2</v>
      </c>
      <c r="R1629">
        <v>25.172000000000001</v>
      </c>
      <c r="S1629" s="3" t="s">
        <v>53</v>
      </c>
      <c r="T1629">
        <v>2017</v>
      </c>
      <c r="U1629" t="s">
        <v>81</v>
      </c>
      <c r="V1629" s="2">
        <v>0.28000000000000003</v>
      </c>
    </row>
    <row r="1630" spans="1:22" x14ac:dyDescent="0.25">
      <c r="A1630" t="s">
        <v>3872</v>
      </c>
      <c r="B1630" s="1">
        <v>41735</v>
      </c>
      <c r="C1630" s="1">
        <v>41739</v>
      </c>
      <c r="D1630" t="s">
        <v>40</v>
      </c>
      <c r="E1630" t="s">
        <v>1477</v>
      </c>
      <c r="F1630" t="s">
        <v>1478</v>
      </c>
      <c r="G1630" t="s">
        <v>59</v>
      </c>
      <c r="H1630" t="s">
        <v>27</v>
      </c>
      <c r="I1630" t="s">
        <v>28</v>
      </c>
      <c r="J1630" t="s">
        <v>29</v>
      </c>
      <c r="K1630" t="s">
        <v>30</v>
      </c>
      <c r="L1630" t="s">
        <v>1756</v>
      </c>
      <c r="M1630" t="s">
        <v>32</v>
      </c>
      <c r="N1630" t="s">
        <v>51</v>
      </c>
      <c r="O1630" t="s">
        <v>1757</v>
      </c>
      <c r="P1630">
        <v>299.97000000000003</v>
      </c>
      <c r="Q1630">
        <v>3</v>
      </c>
      <c r="R1630">
        <v>131.98679999999999</v>
      </c>
      <c r="S1630" s="3" t="s">
        <v>53</v>
      </c>
      <c r="T1630">
        <v>2014</v>
      </c>
      <c r="U1630" t="s">
        <v>291</v>
      </c>
      <c r="V1630" s="2">
        <v>0.44</v>
      </c>
    </row>
    <row r="1631" spans="1:22" x14ac:dyDescent="0.25">
      <c r="A1631" t="s">
        <v>3873</v>
      </c>
      <c r="B1631" s="1">
        <v>42409</v>
      </c>
      <c r="C1631" s="1">
        <v>42413</v>
      </c>
      <c r="D1631" t="s">
        <v>23</v>
      </c>
      <c r="E1631" t="s">
        <v>2804</v>
      </c>
      <c r="F1631" t="s">
        <v>2805</v>
      </c>
      <c r="G1631" t="s">
        <v>59</v>
      </c>
      <c r="H1631" t="s">
        <v>27</v>
      </c>
      <c r="I1631" t="s">
        <v>43</v>
      </c>
      <c r="J1631" t="s">
        <v>29</v>
      </c>
      <c r="K1631" t="s">
        <v>30</v>
      </c>
      <c r="L1631" t="s">
        <v>330</v>
      </c>
      <c r="M1631" t="s">
        <v>32</v>
      </c>
      <c r="N1631" t="s">
        <v>51</v>
      </c>
      <c r="O1631" t="s">
        <v>331</v>
      </c>
      <c r="P1631">
        <v>89.97</v>
      </c>
      <c r="Q1631">
        <v>3</v>
      </c>
      <c r="R1631">
        <v>39.586799999999997</v>
      </c>
      <c r="S1631" s="3" t="s">
        <v>53</v>
      </c>
      <c r="T1631">
        <v>2016</v>
      </c>
      <c r="U1631" t="s">
        <v>180</v>
      </c>
      <c r="V1631" s="2">
        <v>0.44</v>
      </c>
    </row>
    <row r="1632" spans="1:22" x14ac:dyDescent="0.25">
      <c r="A1632" t="s">
        <v>3873</v>
      </c>
      <c r="B1632" s="1">
        <v>42409</v>
      </c>
      <c r="C1632" s="1">
        <v>42413</v>
      </c>
      <c r="D1632" t="s">
        <v>23</v>
      </c>
      <c r="E1632" t="s">
        <v>2804</v>
      </c>
      <c r="F1632" t="s">
        <v>2805</v>
      </c>
      <c r="G1632" t="s">
        <v>59</v>
      </c>
      <c r="H1632" t="s">
        <v>27</v>
      </c>
      <c r="I1632" t="s">
        <v>43</v>
      </c>
      <c r="J1632" t="s">
        <v>29</v>
      </c>
      <c r="K1632" t="s">
        <v>30</v>
      </c>
      <c r="L1632" t="s">
        <v>956</v>
      </c>
      <c r="M1632" t="s">
        <v>32</v>
      </c>
      <c r="N1632" t="s">
        <v>51</v>
      </c>
      <c r="O1632" t="s">
        <v>957</v>
      </c>
      <c r="P1632">
        <v>31.86</v>
      </c>
      <c r="Q1632">
        <v>2</v>
      </c>
      <c r="R1632">
        <v>11.151</v>
      </c>
      <c r="S1632" s="3" t="s">
        <v>53</v>
      </c>
      <c r="T1632">
        <v>2016</v>
      </c>
      <c r="U1632" t="s">
        <v>180</v>
      </c>
      <c r="V1632" s="2">
        <v>0.35</v>
      </c>
    </row>
    <row r="1633" spans="1:22" x14ac:dyDescent="0.25">
      <c r="A1633" t="s">
        <v>3874</v>
      </c>
      <c r="B1633" s="1">
        <v>42187</v>
      </c>
      <c r="C1633" s="1">
        <v>42189</v>
      </c>
      <c r="D1633" t="s">
        <v>56</v>
      </c>
      <c r="E1633" t="s">
        <v>2344</v>
      </c>
      <c r="F1633" t="s">
        <v>2345</v>
      </c>
      <c r="G1633" t="s">
        <v>59</v>
      </c>
      <c r="H1633" t="s">
        <v>27</v>
      </c>
      <c r="I1633" t="s">
        <v>1425</v>
      </c>
      <c r="J1633" t="s">
        <v>154</v>
      </c>
      <c r="K1633" t="s">
        <v>155</v>
      </c>
      <c r="L1633" t="s">
        <v>1111</v>
      </c>
      <c r="M1633" t="s">
        <v>32</v>
      </c>
      <c r="N1633" t="s">
        <v>33</v>
      </c>
      <c r="O1633" t="s">
        <v>1112</v>
      </c>
      <c r="P1633">
        <v>74.239999999999995</v>
      </c>
      <c r="Q1633">
        <v>1</v>
      </c>
      <c r="R1633">
        <v>8.3520000000000003</v>
      </c>
      <c r="S1633" s="3" t="s">
        <v>65</v>
      </c>
      <c r="T1633">
        <v>2015</v>
      </c>
      <c r="U1633" t="s">
        <v>332</v>
      </c>
      <c r="V1633" s="2">
        <v>0.1125</v>
      </c>
    </row>
    <row r="1634" spans="1:22" x14ac:dyDescent="0.25">
      <c r="A1634" t="s">
        <v>3875</v>
      </c>
      <c r="B1634" s="1">
        <v>42269</v>
      </c>
      <c r="C1634" s="1">
        <v>42272</v>
      </c>
      <c r="D1634" t="s">
        <v>56</v>
      </c>
      <c r="E1634" t="s">
        <v>3876</v>
      </c>
      <c r="F1634" t="s">
        <v>3877</v>
      </c>
      <c r="G1634" t="s">
        <v>26</v>
      </c>
      <c r="H1634" t="s">
        <v>27</v>
      </c>
      <c r="I1634" t="s">
        <v>206</v>
      </c>
      <c r="J1634" t="s">
        <v>207</v>
      </c>
      <c r="K1634" t="s">
        <v>95</v>
      </c>
      <c r="L1634" t="s">
        <v>289</v>
      </c>
      <c r="M1634" t="s">
        <v>32</v>
      </c>
      <c r="N1634" t="s">
        <v>51</v>
      </c>
      <c r="O1634" t="s">
        <v>290</v>
      </c>
      <c r="P1634">
        <v>617.976</v>
      </c>
      <c r="Q1634">
        <v>3</v>
      </c>
      <c r="R1634">
        <v>-7.7247000000000003</v>
      </c>
      <c r="S1634" s="3" t="s">
        <v>172</v>
      </c>
      <c r="T1634">
        <v>2015</v>
      </c>
      <c r="U1634" t="s">
        <v>81</v>
      </c>
      <c r="V1634" s="2">
        <v>-1.2500000000000001E-2</v>
      </c>
    </row>
    <row r="1635" spans="1:22" x14ac:dyDescent="0.25">
      <c r="A1635" t="s">
        <v>3878</v>
      </c>
      <c r="B1635" s="1">
        <v>43021</v>
      </c>
      <c r="C1635" s="1">
        <v>43028</v>
      </c>
      <c r="D1635" t="s">
        <v>23</v>
      </c>
      <c r="E1635" t="s">
        <v>3741</v>
      </c>
      <c r="F1635" t="s">
        <v>3742</v>
      </c>
      <c r="G1635" t="s">
        <v>59</v>
      </c>
      <c r="H1635" t="s">
        <v>27</v>
      </c>
      <c r="I1635" t="s">
        <v>2529</v>
      </c>
      <c r="J1635" t="s">
        <v>29</v>
      </c>
      <c r="K1635" t="s">
        <v>30</v>
      </c>
      <c r="L1635" t="s">
        <v>412</v>
      </c>
      <c r="M1635" t="s">
        <v>32</v>
      </c>
      <c r="N1635" t="s">
        <v>51</v>
      </c>
      <c r="O1635" t="s">
        <v>413</v>
      </c>
      <c r="P1635">
        <v>209.94</v>
      </c>
      <c r="Q1635">
        <v>6</v>
      </c>
      <c r="R1635">
        <v>39.888599999999997</v>
      </c>
      <c r="S1635" s="3" t="s">
        <v>132</v>
      </c>
      <c r="T1635">
        <v>2017</v>
      </c>
      <c r="U1635" t="s">
        <v>133</v>
      </c>
      <c r="V1635" s="2">
        <v>0.19</v>
      </c>
    </row>
    <row r="1636" spans="1:22" x14ac:dyDescent="0.25">
      <c r="A1636" t="s">
        <v>3878</v>
      </c>
      <c r="B1636" s="1">
        <v>43021</v>
      </c>
      <c r="C1636" s="1">
        <v>43028</v>
      </c>
      <c r="D1636" t="s">
        <v>23</v>
      </c>
      <c r="E1636" t="s">
        <v>3741</v>
      </c>
      <c r="F1636" t="s">
        <v>3742</v>
      </c>
      <c r="G1636" t="s">
        <v>59</v>
      </c>
      <c r="H1636" t="s">
        <v>27</v>
      </c>
      <c r="I1636" t="s">
        <v>2529</v>
      </c>
      <c r="J1636" t="s">
        <v>29</v>
      </c>
      <c r="K1636" t="s">
        <v>30</v>
      </c>
      <c r="L1636" t="s">
        <v>1973</v>
      </c>
      <c r="M1636" t="s">
        <v>32</v>
      </c>
      <c r="N1636" t="s">
        <v>33</v>
      </c>
      <c r="O1636" t="s">
        <v>1974</v>
      </c>
      <c r="P1636">
        <v>31.984000000000002</v>
      </c>
      <c r="Q1636">
        <v>2</v>
      </c>
      <c r="R1636">
        <v>-7.9960000000000004</v>
      </c>
      <c r="S1636" s="3" t="s">
        <v>132</v>
      </c>
      <c r="T1636">
        <v>2017</v>
      </c>
      <c r="U1636" t="s">
        <v>133</v>
      </c>
      <c r="V1636" s="2">
        <v>-0.25</v>
      </c>
    </row>
    <row r="1637" spans="1:22" x14ac:dyDescent="0.25">
      <c r="A1637" t="s">
        <v>3879</v>
      </c>
      <c r="B1637" s="1">
        <v>42967</v>
      </c>
      <c r="C1637" s="1">
        <v>42973</v>
      </c>
      <c r="D1637" t="s">
        <v>23</v>
      </c>
      <c r="E1637" t="s">
        <v>1383</v>
      </c>
      <c r="F1637" t="s">
        <v>1384</v>
      </c>
      <c r="G1637" t="s">
        <v>70</v>
      </c>
      <c r="H1637" t="s">
        <v>27</v>
      </c>
      <c r="I1637" t="s">
        <v>153</v>
      </c>
      <c r="J1637" t="s">
        <v>154</v>
      </c>
      <c r="K1637" t="s">
        <v>155</v>
      </c>
      <c r="L1637" t="s">
        <v>2169</v>
      </c>
      <c r="M1637" t="s">
        <v>32</v>
      </c>
      <c r="N1637" t="s">
        <v>33</v>
      </c>
      <c r="O1637" t="s">
        <v>2170</v>
      </c>
      <c r="P1637">
        <v>35.96</v>
      </c>
      <c r="Q1637">
        <v>1</v>
      </c>
      <c r="R1637">
        <v>3.5960000000000001</v>
      </c>
      <c r="S1637" s="3" t="s">
        <v>107</v>
      </c>
      <c r="T1637">
        <v>2017</v>
      </c>
      <c r="U1637" t="s">
        <v>46</v>
      </c>
      <c r="V1637" s="2">
        <v>0.1</v>
      </c>
    </row>
    <row r="1638" spans="1:22" x14ac:dyDescent="0.25">
      <c r="A1638" t="s">
        <v>3880</v>
      </c>
      <c r="B1638" s="1">
        <v>41902</v>
      </c>
      <c r="C1638" s="1">
        <v>41905</v>
      </c>
      <c r="D1638" t="s">
        <v>56</v>
      </c>
      <c r="E1638" t="s">
        <v>3173</v>
      </c>
      <c r="F1638" t="s">
        <v>3174</v>
      </c>
      <c r="G1638" t="s">
        <v>26</v>
      </c>
      <c r="H1638" t="s">
        <v>27</v>
      </c>
      <c r="I1638" t="s">
        <v>140</v>
      </c>
      <c r="J1638" t="s">
        <v>78</v>
      </c>
      <c r="K1638" t="s">
        <v>62</v>
      </c>
      <c r="L1638" t="s">
        <v>1345</v>
      </c>
      <c r="M1638" t="s">
        <v>32</v>
      </c>
      <c r="N1638" t="s">
        <v>33</v>
      </c>
      <c r="O1638" t="s">
        <v>1346</v>
      </c>
      <c r="P1638">
        <v>11.12</v>
      </c>
      <c r="Q1638">
        <v>2</v>
      </c>
      <c r="R1638">
        <v>3.4750000000000001</v>
      </c>
      <c r="S1638" s="3" t="s">
        <v>172</v>
      </c>
      <c r="T1638">
        <v>2014</v>
      </c>
      <c r="U1638" t="s">
        <v>81</v>
      </c>
      <c r="V1638" s="2">
        <v>0.3125</v>
      </c>
    </row>
    <row r="1639" spans="1:22" x14ac:dyDescent="0.25">
      <c r="A1639" t="s">
        <v>3881</v>
      </c>
      <c r="B1639" s="1">
        <v>42678</v>
      </c>
      <c r="C1639" s="1">
        <v>42682</v>
      </c>
      <c r="D1639" t="s">
        <v>23</v>
      </c>
      <c r="E1639" t="s">
        <v>2584</v>
      </c>
      <c r="F1639" t="s">
        <v>2585</v>
      </c>
      <c r="G1639" t="s">
        <v>26</v>
      </c>
      <c r="H1639" t="s">
        <v>27</v>
      </c>
      <c r="I1639" t="s">
        <v>300</v>
      </c>
      <c r="J1639" t="s">
        <v>29</v>
      </c>
      <c r="K1639" t="s">
        <v>30</v>
      </c>
      <c r="L1639" t="s">
        <v>3131</v>
      </c>
      <c r="M1639" t="s">
        <v>32</v>
      </c>
      <c r="N1639" t="s">
        <v>215</v>
      </c>
      <c r="O1639" t="s">
        <v>3132</v>
      </c>
      <c r="P1639">
        <v>686.4</v>
      </c>
      <c r="Q1639">
        <v>2</v>
      </c>
      <c r="R1639">
        <v>77.22</v>
      </c>
      <c r="S1639" s="3" t="s">
        <v>53</v>
      </c>
      <c r="T1639">
        <v>2016</v>
      </c>
      <c r="U1639" t="s">
        <v>118</v>
      </c>
      <c r="V1639" s="2">
        <v>0.1125</v>
      </c>
    </row>
    <row r="1640" spans="1:22" x14ac:dyDescent="0.25">
      <c r="A1640" t="s">
        <v>3882</v>
      </c>
      <c r="B1640" s="1">
        <v>41922</v>
      </c>
      <c r="C1640" s="1">
        <v>41922</v>
      </c>
      <c r="D1640" t="s">
        <v>677</v>
      </c>
      <c r="E1640" t="s">
        <v>1613</v>
      </c>
      <c r="F1640" t="s">
        <v>1614</v>
      </c>
      <c r="G1640" t="s">
        <v>26</v>
      </c>
      <c r="H1640" t="s">
        <v>27</v>
      </c>
      <c r="I1640" t="s">
        <v>176</v>
      </c>
      <c r="J1640" t="s">
        <v>177</v>
      </c>
      <c r="K1640" t="s">
        <v>95</v>
      </c>
      <c r="L1640" t="s">
        <v>3883</v>
      </c>
      <c r="M1640" t="s">
        <v>32</v>
      </c>
      <c r="N1640" t="s">
        <v>215</v>
      </c>
      <c r="O1640" t="s">
        <v>3884</v>
      </c>
      <c r="P1640">
        <v>101.994</v>
      </c>
      <c r="Q1640">
        <v>2</v>
      </c>
      <c r="R1640">
        <v>-71.395799999999994</v>
      </c>
      <c r="S1640" s="3" t="s">
        <v>683</v>
      </c>
      <c r="T1640">
        <v>2014</v>
      </c>
      <c r="U1640" t="s">
        <v>133</v>
      </c>
      <c r="V1640" s="2">
        <v>-0.7</v>
      </c>
    </row>
    <row r="1641" spans="1:22" x14ac:dyDescent="0.25">
      <c r="A1641" t="s">
        <v>3885</v>
      </c>
      <c r="B1641" s="1">
        <v>42995</v>
      </c>
      <c r="C1641" s="1">
        <v>43001</v>
      </c>
      <c r="D1641" t="s">
        <v>23</v>
      </c>
      <c r="E1641" t="s">
        <v>724</v>
      </c>
      <c r="F1641" t="s">
        <v>725</v>
      </c>
      <c r="G1641" t="s">
        <v>26</v>
      </c>
      <c r="H1641" t="s">
        <v>27</v>
      </c>
      <c r="I1641" t="s">
        <v>3886</v>
      </c>
      <c r="J1641" t="s">
        <v>794</v>
      </c>
      <c r="K1641" t="s">
        <v>95</v>
      </c>
      <c r="L1641" t="s">
        <v>3887</v>
      </c>
      <c r="M1641" t="s">
        <v>32</v>
      </c>
      <c r="N1641" t="s">
        <v>215</v>
      </c>
      <c r="O1641" t="s">
        <v>3888</v>
      </c>
      <c r="P1641">
        <v>480</v>
      </c>
      <c r="Q1641">
        <v>4</v>
      </c>
      <c r="R1641">
        <v>225.6</v>
      </c>
      <c r="S1641" s="3" t="s">
        <v>107</v>
      </c>
      <c r="T1641">
        <v>2017</v>
      </c>
      <c r="U1641" t="s">
        <v>81</v>
      </c>
      <c r="V1641" s="2">
        <v>0.47</v>
      </c>
    </row>
    <row r="1642" spans="1:22" x14ac:dyDescent="0.25">
      <c r="A1642" t="s">
        <v>3889</v>
      </c>
      <c r="B1642" s="1">
        <v>42086</v>
      </c>
      <c r="C1642" s="1">
        <v>42088</v>
      </c>
      <c r="D1642" t="s">
        <v>56</v>
      </c>
      <c r="E1642" t="s">
        <v>3890</v>
      </c>
      <c r="F1642" t="s">
        <v>3891</v>
      </c>
      <c r="G1642" t="s">
        <v>59</v>
      </c>
      <c r="H1642" t="s">
        <v>27</v>
      </c>
      <c r="I1642" t="s">
        <v>28</v>
      </c>
      <c r="J1642" t="s">
        <v>29</v>
      </c>
      <c r="K1642" t="s">
        <v>30</v>
      </c>
      <c r="L1642" t="s">
        <v>1370</v>
      </c>
      <c r="M1642" t="s">
        <v>32</v>
      </c>
      <c r="N1642" t="s">
        <v>51</v>
      </c>
      <c r="O1642" t="s">
        <v>1371</v>
      </c>
      <c r="P1642">
        <v>239.97</v>
      </c>
      <c r="Q1642">
        <v>3</v>
      </c>
      <c r="R1642">
        <v>86.389200000000002</v>
      </c>
      <c r="S1642" s="3" t="s">
        <v>65</v>
      </c>
      <c r="T1642">
        <v>2015</v>
      </c>
      <c r="U1642" t="s">
        <v>89</v>
      </c>
      <c r="V1642" s="2">
        <v>0.36</v>
      </c>
    </row>
    <row r="1643" spans="1:22" x14ac:dyDescent="0.25">
      <c r="A1643" t="s">
        <v>3892</v>
      </c>
      <c r="B1643" s="1">
        <v>42551</v>
      </c>
      <c r="C1643" s="1">
        <v>42554</v>
      </c>
      <c r="D1643" t="s">
        <v>40</v>
      </c>
      <c r="E1643" t="s">
        <v>3021</v>
      </c>
      <c r="F1643" t="s">
        <v>3022</v>
      </c>
      <c r="G1643" t="s">
        <v>70</v>
      </c>
      <c r="H1643" t="s">
        <v>27</v>
      </c>
      <c r="I1643" t="s">
        <v>146</v>
      </c>
      <c r="J1643" t="s">
        <v>78</v>
      </c>
      <c r="K1643" t="s">
        <v>62</v>
      </c>
      <c r="L1643" t="s">
        <v>1264</v>
      </c>
      <c r="M1643" t="s">
        <v>32</v>
      </c>
      <c r="N1643" t="s">
        <v>51</v>
      </c>
      <c r="O1643" t="s">
        <v>1265</v>
      </c>
      <c r="P1643">
        <v>50.12</v>
      </c>
      <c r="Q1643">
        <v>7</v>
      </c>
      <c r="R1643">
        <v>-0.62649999999999995</v>
      </c>
      <c r="S1643" s="3" t="s">
        <v>172</v>
      </c>
      <c r="T1643">
        <v>2016</v>
      </c>
      <c r="U1643" t="s">
        <v>36</v>
      </c>
      <c r="V1643" s="2">
        <v>-1.2500000000000001E-2</v>
      </c>
    </row>
    <row r="1644" spans="1:22" x14ac:dyDescent="0.25">
      <c r="A1644" t="s">
        <v>3893</v>
      </c>
      <c r="B1644" s="1">
        <v>43028</v>
      </c>
      <c r="C1644" s="1">
        <v>43033</v>
      </c>
      <c r="D1644" t="s">
        <v>23</v>
      </c>
      <c r="E1644" t="s">
        <v>2409</v>
      </c>
      <c r="F1644" t="s">
        <v>2410</v>
      </c>
      <c r="G1644" t="s">
        <v>59</v>
      </c>
      <c r="H1644" t="s">
        <v>27</v>
      </c>
      <c r="I1644" t="s">
        <v>3894</v>
      </c>
      <c r="J1644" t="s">
        <v>154</v>
      </c>
      <c r="K1644" t="s">
        <v>155</v>
      </c>
      <c r="L1644" t="s">
        <v>2320</v>
      </c>
      <c r="M1644" t="s">
        <v>32</v>
      </c>
      <c r="N1644" t="s">
        <v>33</v>
      </c>
      <c r="O1644" t="s">
        <v>2321</v>
      </c>
      <c r="P1644">
        <v>15.984</v>
      </c>
      <c r="Q1644">
        <v>2</v>
      </c>
      <c r="R1644">
        <v>1.3986000000000001</v>
      </c>
      <c r="S1644" s="3" t="s">
        <v>35</v>
      </c>
      <c r="T1644">
        <v>2017</v>
      </c>
      <c r="U1644" t="s">
        <v>133</v>
      </c>
      <c r="V1644" s="2">
        <v>8.7499999999999994E-2</v>
      </c>
    </row>
    <row r="1645" spans="1:22" x14ac:dyDescent="0.25">
      <c r="A1645" t="s">
        <v>3895</v>
      </c>
      <c r="B1645" s="1">
        <v>42660</v>
      </c>
      <c r="C1645" s="1">
        <v>42664</v>
      </c>
      <c r="D1645" t="s">
        <v>40</v>
      </c>
      <c r="E1645" t="s">
        <v>3273</v>
      </c>
      <c r="F1645" t="s">
        <v>3274</v>
      </c>
      <c r="G1645" t="s">
        <v>70</v>
      </c>
      <c r="H1645" t="s">
        <v>27</v>
      </c>
      <c r="I1645" t="s">
        <v>1557</v>
      </c>
      <c r="J1645" t="s">
        <v>532</v>
      </c>
      <c r="K1645" t="s">
        <v>62</v>
      </c>
      <c r="L1645" t="s">
        <v>1744</v>
      </c>
      <c r="M1645" t="s">
        <v>32</v>
      </c>
      <c r="N1645" t="s">
        <v>33</v>
      </c>
      <c r="O1645" t="s">
        <v>1745</v>
      </c>
      <c r="P1645">
        <v>449.97</v>
      </c>
      <c r="Q1645">
        <v>3</v>
      </c>
      <c r="R1645">
        <v>220.4853</v>
      </c>
      <c r="S1645" s="3" t="s">
        <v>53</v>
      </c>
      <c r="T1645">
        <v>2016</v>
      </c>
      <c r="U1645" t="s">
        <v>133</v>
      </c>
      <c r="V1645" s="2">
        <v>0.49</v>
      </c>
    </row>
    <row r="1646" spans="1:22" x14ac:dyDescent="0.25">
      <c r="A1646" t="s">
        <v>3896</v>
      </c>
      <c r="B1646" s="1">
        <v>42597</v>
      </c>
      <c r="C1646" s="1">
        <v>42604</v>
      </c>
      <c r="D1646" t="s">
        <v>23</v>
      </c>
      <c r="E1646" t="s">
        <v>1523</v>
      </c>
      <c r="F1646" t="s">
        <v>1524</v>
      </c>
      <c r="G1646" t="s">
        <v>26</v>
      </c>
      <c r="H1646" t="s">
        <v>27</v>
      </c>
      <c r="I1646" t="s">
        <v>28</v>
      </c>
      <c r="J1646" t="s">
        <v>29</v>
      </c>
      <c r="K1646" t="s">
        <v>30</v>
      </c>
      <c r="L1646" t="s">
        <v>375</v>
      </c>
      <c r="M1646" t="s">
        <v>32</v>
      </c>
      <c r="N1646" t="s">
        <v>33</v>
      </c>
      <c r="O1646" t="s">
        <v>376</v>
      </c>
      <c r="P1646">
        <v>165.6</v>
      </c>
      <c r="Q1646">
        <v>3</v>
      </c>
      <c r="R1646">
        <v>10.35</v>
      </c>
      <c r="S1646" s="3" t="s">
        <v>132</v>
      </c>
      <c r="T1646">
        <v>2016</v>
      </c>
      <c r="U1646" t="s">
        <v>46</v>
      </c>
      <c r="V1646" s="2">
        <v>6.25E-2</v>
      </c>
    </row>
    <row r="1647" spans="1:22" x14ac:dyDescent="0.25">
      <c r="A1647" t="s">
        <v>3897</v>
      </c>
      <c r="B1647" s="1">
        <v>42223</v>
      </c>
      <c r="C1647" s="1">
        <v>42225</v>
      </c>
      <c r="D1647" t="s">
        <v>40</v>
      </c>
      <c r="E1647" t="s">
        <v>3554</v>
      </c>
      <c r="F1647" t="s">
        <v>3555</v>
      </c>
      <c r="G1647" t="s">
        <v>59</v>
      </c>
      <c r="H1647" t="s">
        <v>27</v>
      </c>
      <c r="I1647" t="s">
        <v>946</v>
      </c>
      <c r="J1647" t="s">
        <v>693</v>
      </c>
      <c r="K1647" t="s">
        <v>155</v>
      </c>
      <c r="L1647" t="s">
        <v>1891</v>
      </c>
      <c r="M1647" t="s">
        <v>32</v>
      </c>
      <c r="N1647" t="s">
        <v>33</v>
      </c>
      <c r="O1647" t="s">
        <v>1892</v>
      </c>
      <c r="P1647">
        <v>494.97</v>
      </c>
      <c r="Q1647">
        <v>3</v>
      </c>
      <c r="R1647">
        <v>148.49100000000001</v>
      </c>
      <c r="S1647" s="3" t="s">
        <v>65</v>
      </c>
      <c r="T1647">
        <v>2015</v>
      </c>
      <c r="U1647" t="s">
        <v>46</v>
      </c>
      <c r="V1647" s="2">
        <v>0.3</v>
      </c>
    </row>
    <row r="1648" spans="1:22" x14ac:dyDescent="0.25">
      <c r="A1648" t="s">
        <v>3898</v>
      </c>
      <c r="B1648" s="1">
        <v>42552</v>
      </c>
      <c r="C1648" s="1">
        <v>42552</v>
      </c>
      <c r="D1648" t="s">
        <v>677</v>
      </c>
      <c r="E1648" t="s">
        <v>2276</v>
      </c>
      <c r="F1648" t="s">
        <v>2277</v>
      </c>
      <c r="G1648" t="s">
        <v>70</v>
      </c>
      <c r="H1648" t="s">
        <v>27</v>
      </c>
      <c r="I1648" t="s">
        <v>103</v>
      </c>
      <c r="J1648" t="s">
        <v>104</v>
      </c>
      <c r="K1648" t="s">
        <v>95</v>
      </c>
      <c r="L1648" t="s">
        <v>1860</v>
      </c>
      <c r="M1648" t="s">
        <v>32</v>
      </c>
      <c r="N1648" t="s">
        <v>51</v>
      </c>
      <c r="O1648" t="s">
        <v>1861</v>
      </c>
      <c r="P1648">
        <v>30.84</v>
      </c>
      <c r="Q1648">
        <v>3</v>
      </c>
      <c r="R1648">
        <v>6.1680000000000001</v>
      </c>
      <c r="S1648" s="3" t="s">
        <v>683</v>
      </c>
      <c r="T1648">
        <v>2016</v>
      </c>
      <c r="U1648" t="s">
        <v>332</v>
      </c>
      <c r="V1648" s="2">
        <v>0.2</v>
      </c>
    </row>
    <row r="1649" spans="1:22" x14ac:dyDescent="0.25">
      <c r="A1649" t="s">
        <v>3899</v>
      </c>
      <c r="B1649" s="1">
        <v>42722</v>
      </c>
      <c r="C1649" s="1">
        <v>42724</v>
      </c>
      <c r="D1649" t="s">
        <v>56</v>
      </c>
      <c r="E1649" t="s">
        <v>3900</v>
      </c>
      <c r="F1649" t="s">
        <v>3901</v>
      </c>
      <c r="G1649" t="s">
        <v>59</v>
      </c>
      <c r="H1649" t="s">
        <v>27</v>
      </c>
      <c r="I1649" t="s">
        <v>43</v>
      </c>
      <c r="J1649" t="s">
        <v>29</v>
      </c>
      <c r="K1649" t="s">
        <v>30</v>
      </c>
      <c r="L1649" t="s">
        <v>244</v>
      </c>
      <c r="M1649" t="s">
        <v>32</v>
      </c>
      <c r="N1649" t="s">
        <v>33</v>
      </c>
      <c r="O1649" t="s">
        <v>245</v>
      </c>
      <c r="P1649">
        <v>66.975999999999999</v>
      </c>
      <c r="Q1649">
        <v>7</v>
      </c>
      <c r="R1649">
        <v>6.6976000000000004</v>
      </c>
      <c r="S1649" s="3" t="s">
        <v>65</v>
      </c>
      <c r="T1649">
        <v>2016</v>
      </c>
      <c r="U1649" t="s">
        <v>66</v>
      </c>
      <c r="V1649" s="2">
        <v>0.1</v>
      </c>
    </row>
    <row r="1650" spans="1:22" x14ac:dyDescent="0.25">
      <c r="A1650" t="s">
        <v>3902</v>
      </c>
      <c r="B1650" s="1">
        <v>43043</v>
      </c>
      <c r="C1650" s="1">
        <v>43047</v>
      </c>
      <c r="D1650" t="s">
        <v>23</v>
      </c>
      <c r="E1650" t="s">
        <v>1373</v>
      </c>
      <c r="F1650" t="s">
        <v>1374</v>
      </c>
      <c r="G1650" t="s">
        <v>26</v>
      </c>
      <c r="H1650" t="s">
        <v>27</v>
      </c>
      <c r="I1650" t="s">
        <v>3903</v>
      </c>
      <c r="J1650" t="s">
        <v>2319</v>
      </c>
      <c r="K1650" t="s">
        <v>155</v>
      </c>
      <c r="L1650" t="s">
        <v>520</v>
      </c>
      <c r="M1650" t="s">
        <v>32</v>
      </c>
      <c r="N1650" t="s">
        <v>51</v>
      </c>
      <c r="O1650" t="s">
        <v>521</v>
      </c>
      <c r="P1650">
        <v>95.975999999999999</v>
      </c>
      <c r="Q1650">
        <v>3</v>
      </c>
      <c r="R1650">
        <v>15.5961</v>
      </c>
      <c r="S1650" s="3" t="s">
        <v>53</v>
      </c>
      <c r="T1650">
        <v>2017</v>
      </c>
      <c r="U1650" t="s">
        <v>118</v>
      </c>
      <c r="V1650" s="2">
        <v>0.16250000000000001</v>
      </c>
    </row>
    <row r="1651" spans="1:22" x14ac:dyDescent="0.25">
      <c r="A1651" t="s">
        <v>3902</v>
      </c>
      <c r="B1651" s="1">
        <v>43043</v>
      </c>
      <c r="C1651" s="1">
        <v>43047</v>
      </c>
      <c r="D1651" t="s">
        <v>23</v>
      </c>
      <c r="E1651" t="s">
        <v>1373</v>
      </c>
      <c r="F1651" t="s">
        <v>1374</v>
      </c>
      <c r="G1651" t="s">
        <v>26</v>
      </c>
      <c r="H1651" t="s">
        <v>27</v>
      </c>
      <c r="I1651" t="s">
        <v>3903</v>
      </c>
      <c r="J1651" t="s">
        <v>2319</v>
      </c>
      <c r="K1651" t="s">
        <v>155</v>
      </c>
      <c r="L1651" t="s">
        <v>3184</v>
      </c>
      <c r="M1651" t="s">
        <v>32</v>
      </c>
      <c r="N1651" t="s">
        <v>33</v>
      </c>
      <c r="O1651" t="s">
        <v>3185</v>
      </c>
      <c r="P1651">
        <v>143.928</v>
      </c>
      <c r="Q1651">
        <v>9</v>
      </c>
      <c r="R1651">
        <v>-32.383800000000001</v>
      </c>
      <c r="S1651" s="3" t="s">
        <v>53</v>
      </c>
      <c r="T1651">
        <v>2017</v>
      </c>
      <c r="U1651" t="s">
        <v>118</v>
      </c>
      <c r="V1651" s="2">
        <v>-0.22500000000000001</v>
      </c>
    </row>
    <row r="1652" spans="1:22" x14ac:dyDescent="0.25">
      <c r="A1652" t="s">
        <v>3904</v>
      </c>
      <c r="B1652" s="1">
        <v>41757</v>
      </c>
      <c r="C1652" s="1">
        <v>41762</v>
      </c>
      <c r="D1652" t="s">
        <v>23</v>
      </c>
      <c r="E1652" t="s">
        <v>2683</v>
      </c>
      <c r="F1652" t="s">
        <v>2684</v>
      </c>
      <c r="G1652" t="s">
        <v>59</v>
      </c>
      <c r="H1652" t="s">
        <v>27</v>
      </c>
      <c r="I1652" t="s">
        <v>1786</v>
      </c>
      <c r="J1652" t="s">
        <v>104</v>
      </c>
      <c r="K1652" t="s">
        <v>95</v>
      </c>
      <c r="L1652" t="s">
        <v>1370</v>
      </c>
      <c r="M1652" t="s">
        <v>32</v>
      </c>
      <c r="N1652" t="s">
        <v>51</v>
      </c>
      <c r="O1652" t="s">
        <v>1371</v>
      </c>
      <c r="P1652">
        <v>159.97999999999999</v>
      </c>
      <c r="Q1652">
        <v>2</v>
      </c>
      <c r="R1652">
        <v>57.592799999999997</v>
      </c>
      <c r="S1652" s="3" t="s">
        <v>35</v>
      </c>
      <c r="T1652">
        <v>2014</v>
      </c>
      <c r="U1652" t="s">
        <v>291</v>
      </c>
      <c r="V1652" s="2">
        <v>0.36</v>
      </c>
    </row>
    <row r="1653" spans="1:22" x14ac:dyDescent="0.25">
      <c r="A1653" t="s">
        <v>3905</v>
      </c>
      <c r="B1653" s="1">
        <v>42647</v>
      </c>
      <c r="C1653" s="1">
        <v>42651</v>
      </c>
      <c r="D1653" t="s">
        <v>23</v>
      </c>
      <c r="E1653" t="s">
        <v>2400</v>
      </c>
      <c r="F1653" t="s">
        <v>2401</v>
      </c>
      <c r="G1653" t="s">
        <v>59</v>
      </c>
      <c r="H1653" t="s">
        <v>27</v>
      </c>
      <c r="I1653" t="s">
        <v>3906</v>
      </c>
      <c r="J1653" t="s">
        <v>288</v>
      </c>
      <c r="K1653" t="s">
        <v>155</v>
      </c>
      <c r="L1653" t="s">
        <v>2145</v>
      </c>
      <c r="M1653" t="s">
        <v>32</v>
      </c>
      <c r="N1653" t="s">
        <v>33</v>
      </c>
      <c r="O1653" t="s">
        <v>2146</v>
      </c>
      <c r="P1653">
        <v>52.68</v>
      </c>
      <c r="Q1653">
        <v>3</v>
      </c>
      <c r="R1653">
        <v>19.754999999999999</v>
      </c>
      <c r="S1653" s="3" t="s">
        <v>53</v>
      </c>
      <c r="T1653">
        <v>2016</v>
      </c>
      <c r="U1653" t="s">
        <v>133</v>
      </c>
      <c r="V1653" s="2">
        <v>0.375</v>
      </c>
    </row>
    <row r="1654" spans="1:22" x14ac:dyDescent="0.25">
      <c r="A1654" t="s">
        <v>3907</v>
      </c>
      <c r="B1654" s="1">
        <v>42399</v>
      </c>
      <c r="C1654" s="1">
        <v>42403</v>
      </c>
      <c r="D1654" t="s">
        <v>23</v>
      </c>
      <c r="E1654" t="s">
        <v>3908</v>
      </c>
      <c r="F1654" t="s">
        <v>3909</v>
      </c>
      <c r="G1654" t="s">
        <v>26</v>
      </c>
      <c r="H1654" t="s">
        <v>27</v>
      </c>
      <c r="I1654" t="s">
        <v>3910</v>
      </c>
      <c r="J1654" t="s">
        <v>78</v>
      </c>
      <c r="K1654" t="s">
        <v>62</v>
      </c>
      <c r="L1654" t="s">
        <v>3911</v>
      </c>
      <c r="M1654" t="s">
        <v>32</v>
      </c>
      <c r="N1654" t="s">
        <v>33</v>
      </c>
      <c r="O1654" t="s">
        <v>3912</v>
      </c>
      <c r="P1654">
        <v>1439.9680000000001</v>
      </c>
      <c r="Q1654">
        <v>4</v>
      </c>
      <c r="R1654">
        <v>143.99680000000001</v>
      </c>
      <c r="S1654" s="3" t="s">
        <v>53</v>
      </c>
      <c r="T1654">
        <v>2016</v>
      </c>
      <c r="U1654" t="s">
        <v>54</v>
      </c>
      <c r="V1654" s="2">
        <v>0.1</v>
      </c>
    </row>
    <row r="1655" spans="1:22" x14ac:dyDescent="0.25">
      <c r="A1655" t="s">
        <v>3913</v>
      </c>
      <c r="B1655" s="1">
        <v>42107</v>
      </c>
      <c r="C1655" s="1">
        <v>42111</v>
      </c>
      <c r="D1655" t="s">
        <v>23</v>
      </c>
      <c r="E1655" t="s">
        <v>576</v>
      </c>
      <c r="F1655" t="s">
        <v>577</v>
      </c>
      <c r="G1655" t="s">
        <v>26</v>
      </c>
      <c r="H1655" t="s">
        <v>27</v>
      </c>
      <c r="I1655" t="s">
        <v>517</v>
      </c>
      <c r="J1655" t="s">
        <v>61</v>
      </c>
      <c r="K1655" t="s">
        <v>62</v>
      </c>
      <c r="L1655" t="s">
        <v>1012</v>
      </c>
      <c r="M1655" t="s">
        <v>32</v>
      </c>
      <c r="N1655" t="s">
        <v>33</v>
      </c>
      <c r="O1655" t="s">
        <v>1013</v>
      </c>
      <c r="P1655">
        <v>239.976</v>
      </c>
      <c r="Q1655">
        <v>3</v>
      </c>
      <c r="R1655">
        <v>17.998200000000001</v>
      </c>
      <c r="S1655" s="3" t="s">
        <v>53</v>
      </c>
      <c r="T1655">
        <v>2015</v>
      </c>
      <c r="U1655" t="s">
        <v>291</v>
      </c>
      <c r="V1655" s="2">
        <v>7.4999999999999997E-2</v>
      </c>
    </row>
    <row r="1656" spans="1:22" x14ac:dyDescent="0.25">
      <c r="A1656" t="s">
        <v>3914</v>
      </c>
      <c r="B1656" s="1">
        <v>43087</v>
      </c>
      <c r="C1656" s="1">
        <v>43093</v>
      </c>
      <c r="D1656" t="s">
        <v>23</v>
      </c>
      <c r="E1656" t="s">
        <v>3754</v>
      </c>
      <c r="F1656" t="s">
        <v>3755</v>
      </c>
      <c r="G1656" t="s">
        <v>59</v>
      </c>
      <c r="H1656" t="s">
        <v>27</v>
      </c>
      <c r="I1656" t="s">
        <v>872</v>
      </c>
      <c r="J1656" t="s">
        <v>185</v>
      </c>
      <c r="K1656" t="s">
        <v>62</v>
      </c>
      <c r="L1656" t="s">
        <v>2444</v>
      </c>
      <c r="M1656" t="s">
        <v>32</v>
      </c>
      <c r="N1656" t="s">
        <v>51</v>
      </c>
      <c r="O1656" t="s">
        <v>2445</v>
      </c>
      <c r="P1656">
        <v>29.34</v>
      </c>
      <c r="Q1656">
        <v>3</v>
      </c>
      <c r="R1656">
        <v>10.8558</v>
      </c>
      <c r="S1656" s="3" t="s">
        <v>107</v>
      </c>
      <c r="T1656">
        <v>2017</v>
      </c>
      <c r="U1656" t="s">
        <v>66</v>
      </c>
      <c r="V1656" s="2">
        <v>0.37</v>
      </c>
    </row>
    <row r="1657" spans="1:22" x14ac:dyDescent="0.25">
      <c r="A1657" t="s">
        <v>3915</v>
      </c>
      <c r="B1657" s="1">
        <v>42974</v>
      </c>
      <c r="C1657" s="1">
        <v>42974</v>
      </c>
      <c r="D1657" t="s">
        <v>677</v>
      </c>
      <c r="E1657" t="s">
        <v>2154</v>
      </c>
      <c r="F1657" t="s">
        <v>2155</v>
      </c>
      <c r="G1657" t="s">
        <v>59</v>
      </c>
      <c r="H1657" t="s">
        <v>27</v>
      </c>
      <c r="I1657" t="s">
        <v>206</v>
      </c>
      <c r="J1657" t="s">
        <v>207</v>
      </c>
      <c r="K1657" t="s">
        <v>95</v>
      </c>
      <c r="L1657" t="s">
        <v>365</v>
      </c>
      <c r="M1657" t="s">
        <v>32</v>
      </c>
      <c r="N1657" t="s">
        <v>51</v>
      </c>
      <c r="O1657" t="s">
        <v>366</v>
      </c>
      <c r="P1657">
        <v>1119.8879999999999</v>
      </c>
      <c r="Q1657">
        <v>14</v>
      </c>
      <c r="R1657">
        <v>209.97900000000001</v>
      </c>
      <c r="S1657" s="3" t="s">
        <v>683</v>
      </c>
      <c r="T1657">
        <v>2017</v>
      </c>
      <c r="U1657" t="s">
        <v>46</v>
      </c>
      <c r="V1657" s="2">
        <v>0.1875</v>
      </c>
    </row>
    <row r="1658" spans="1:22" x14ac:dyDescent="0.25">
      <c r="A1658" t="s">
        <v>3916</v>
      </c>
      <c r="B1658" s="1">
        <v>42355</v>
      </c>
      <c r="C1658" s="1">
        <v>42357</v>
      </c>
      <c r="D1658" t="s">
        <v>40</v>
      </c>
      <c r="E1658" t="s">
        <v>127</v>
      </c>
      <c r="F1658" t="s">
        <v>128</v>
      </c>
      <c r="G1658" t="s">
        <v>26</v>
      </c>
      <c r="H1658" t="s">
        <v>27</v>
      </c>
      <c r="I1658" t="s">
        <v>28</v>
      </c>
      <c r="J1658" t="s">
        <v>29</v>
      </c>
      <c r="K1658" t="s">
        <v>30</v>
      </c>
      <c r="L1658" t="s">
        <v>2097</v>
      </c>
      <c r="M1658" t="s">
        <v>32</v>
      </c>
      <c r="N1658" t="s">
        <v>33</v>
      </c>
      <c r="O1658" t="s">
        <v>2098</v>
      </c>
      <c r="P1658">
        <v>135.98400000000001</v>
      </c>
      <c r="Q1658">
        <v>2</v>
      </c>
      <c r="R1658">
        <v>16.998000000000001</v>
      </c>
      <c r="S1658" s="3" t="s">
        <v>65</v>
      </c>
      <c r="T1658">
        <v>2015</v>
      </c>
      <c r="U1658" t="s">
        <v>66</v>
      </c>
      <c r="V1658" s="2">
        <v>0.125</v>
      </c>
    </row>
    <row r="1659" spans="1:22" x14ac:dyDescent="0.25">
      <c r="A1659" t="s">
        <v>3917</v>
      </c>
      <c r="B1659" s="1">
        <v>42677</v>
      </c>
      <c r="C1659" s="1">
        <v>42679</v>
      </c>
      <c r="D1659" t="s">
        <v>56</v>
      </c>
      <c r="E1659" t="s">
        <v>1312</v>
      </c>
      <c r="F1659" t="s">
        <v>1313</v>
      </c>
      <c r="G1659" t="s">
        <v>26</v>
      </c>
      <c r="H1659" t="s">
        <v>27</v>
      </c>
      <c r="I1659" t="s">
        <v>339</v>
      </c>
      <c r="J1659" t="s">
        <v>340</v>
      </c>
      <c r="K1659" t="s">
        <v>30</v>
      </c>
      <c r="L1659" t="s">
        <v>3918</v>
      </c>
      <c r="M1659" t="s">
        <v>32</v>
      </c>
      <c r="N1659" t="s">
        <v>215</v>
      </c>
      <c r="O1659" t="s">
        <v>3919</v>
      </c>
      <c r="P1659">
        <v>179.99100000000001</v>
      </c>
      <c r="Q1659">
        <v>3</v>
      </c>
      <c r="R1659">
        <v>-251.98740000000001</v>
      </c>
      <c r="S1659" s="3" t="s">
        <v>65</v>
      </c>
      <c r="T1659">
        <v>2016</v>
      </c>
      <c r="U1659" t="s">
        <v>118</v>
      </c>
      <c r="V1659" s="2">
        <v>-1.4</v>
      </c>
    </row>
    <row r="1660" spans="1:22" x14ac:dyDescent="0.25">
      <c r="A1660" t="s">
        <v>3920</v>
      </c>
      <c r="B1660" s="1">
        <v>43091</v>
      </c>
      <c r="C1660" s="1">
        <v>43097</v>
      </c>
      <c r="D1660" t="s">
        <v>23</v>
      </c>
      <c r="E1660" t="s">
        <v>2629</v>
      </c>
      <c r="F1660" t="s">
        <v>2630</v>
      </c>
      <c r="G1660" t="s">
        <v>26</v>
      </c>
      <c r="H1660" t="s">
        <v>27</v>
      </c>
      <c r="I1660" t="s">
        <v>687</v>
      </c>
      <c r="J1660" t="s">
        <v>2319</v>
      </c>
      <c r="K1660" t="s">
        <v>155</v>
      </c>
      <c r="L1660" t="s">
        <v>995</v>
      </c>
      <c r="M1660" t="s">
        <v>32</v>
      </c>
      <c r="N1660" t="s">
        <v>51</v>
      </c>
      <c r="O1660" t="s">
        <v>996</v>
      </c>
      <c r="P1660">
        <v>46.863999999999997</v>
      </c>
      <c r="Q1660">
        <v>2</v>
      </c>
      <c r="R1660">
        <v>7.6154000000000002</v>
      </c>
      <c r="S1660" s="3" t="s">
        <v>107</v>
      </c>
      <c r="T1660">
        <v>2017</v>
      </c>
      <c r="U1660" t="s">
        <v>66</v>
      </c>
      <c r="V1660" s="2">
        <v>0.16250000000000001</v>
      </c>
    </row>
    <row r="1661" spans="1:22" x14ac:dyDescent="0.25">
      <c r="A1661" t="s">
        <v>3921</v>
      </c>
      <c r="B1661" s="1">
        <v>43094</v>
      </c>
      <c r="C1661" s="1">
        <v>43097</v>
      </c>
      <c r="D1661" t="s">
        <v>56</v>
      </c>
      <c r="E1661" t="s">
        <v>3922</v>
      </c>
      <c r="F1661" t="s">
        <v>3923</v>
      </c>
      <c r="G1661" t="s">
        <v>26</v>
      </c>
      <c r="H1661" t="s">
        <v>27</v>
      </c>
      <c r="I1661" t="s">
        <v>3054</v>
      </c>
      <c r="J1661" t="s">
        <v>288</v>
      </c>
      <c r="K1661" t="s">
        <v>155</v>
      </c>
      <c r="L1661" t="s">
        <v>3887</v>
      </c>
      <c r="M1661" t="s">
        <v>32</v>
      </c>
      <c r="N1661" t="s">
        <v>215</v>
      </c>
      <c r="O1661" t="s">
        <v>3888</v>
      </c>
      <c r="P1661">
        <v>120</v>
      </c>
      <c r="Q1661">
        <v>2</v>
      </c>
      <c r="R1661">
        <v>-7.2</v>
      </c>
      <c r="S1661" s="3" t="s">
        <v>172</v>
      </c>
      <c r="T1661">
        <v>2017</v>
      </c>
      <c r="U1661" t="s">
        <v>66</v>
      </c>
      <c r="V1661" s="2">
        <v>-0.06</v>
      </c>
    </row>
    <row r="1662" spans="1:22" x14ac:dyDescent="0.25">
      <c r="A1662" t="s">
        <v>3924</v>
      </c>
      <c r="B1662" s="1">
        <v>43064</v>
      </c>
      <c r="C1662" s="1">
        <v>43069</v>
      </c>
      <c r="D1662" t="s">
        <v>23</v>
      </c>
      <c r="E1662" t="s">
        <v>3291</v>
      </c>
      <c r="F1662" t="s">
        <v>3292</v>
      </c>
      <c r="G1662" t="s">
        <v>26</v>
      </c>
      <c r="H1662" t="s">
        <v>27</v>
      </c>
      <c r="I1662" t="s">
        <v>71</v>
      </c>
      <c r="J1662" t="s">
        <v>61</v>
      </c>
      <c r="K1662" t="s">
        <v>62</v>
      </c>
      <c r="L1662" t="s">
        <v>1121</v>
      </c>
      <c r="M1662" t="s">
        <v>32</v>
      </c>
      <c r="N1662" t="s">
        <v>33</v>
      </c>
      <c r="O1662" t="s">
        <v>1122</v>
      </c>
      <c r="P1662">
        <v>299.95999999999998</v>
      </c>
      <c r="Q1662">
        <v>5</v>
      </c>
      <c r="R1662">
        <v>37.494999999999997</v>
      </c>
      <c r="S1662" s="3" t="s">
        <v>35</v>
      </c>
      <c r="T1662">
        <v>2017</v>
      </c>
      <c r="U1662" t="s">
        <v>118</v>
      </c>
      <c r="V1662" s="2">
        <v>0.125</v>
      </c>
    </row>
    <row r="1663" spans="1:22" x14ac:dyDescent="0.25">
      <c r="A1663" t="s">
        <v>3925</v>
      </c>
      <c r="B1663" s="1">
        <v>42679</v>
      </c>
      <c r="C1663" s="1">
        <v>42681</v>
      </c>
      <c r="D1663" t="s">
        <v>56</v>
      </c>
      <c r="E1663" t="s">
        <v>3926</v>
      </c>
      <c r="F1663" t="s">
        <v>3927</v>
      </c>
      <c r="G1663" t="s">
        <v>26</v>
      </c>
      <c r="H1663" t="s">
        <v>27</v>
      </c>
      <c r="I1663" t="s">
        <v>917</v>
      </c>
      <c r="J1663" t="s">
        <v>693</v>
      </c>
      <c r="K1663" t="s">
        <v>155</v>
      </c>
      <c r="L1663" t="s">
        <v>759</v>
      </c>
      <c r="M1663" t="s">
        <v>32</v>
      </c>
      <c r="N1663" t="s">
        <v>51</v>
      </c>
      <c r="O1663" t="s">
        <v>760</v>
      </c>
      <c r="P1663">
        <v>89.97</v>
      </c>
      <c r="Q1663">
        <v>3</v>
      </c>
      <c r="R1663">
        <v>18.893699999999999</v>
      </c>
      <c r="S1663" s="3" t="s">
        <v>65</v>
      </c>
      <c r="T1663">
        <v>2016</v>
      </c>
      <c r="U1663" t="s">
        <v>118</v>
      </c>
      <c r="V1663" s="2">
        <v>0.21</v>
      </c>
    </row>
    <row r="1664" spans="1:22" x14ac:dyDescent="0.25">
      <c r="A1664" t="s">
        <v>3928</v>
      </c>
      <c r="B1664" s="1">
        <v>42677</v>
      </c>
      <c r="C1664" s="1">
        <v>42681</v>
      </c>
      <c r="D1664" t="s">
        <v>23</v>
      </c>
      <c r="E1664" t="s">
        <v>3929</v>
      </c>
      <c r="F1664" t="s">
        <v>3930</v>
      </c>
      <c r="G1664" t="s">
        <v>70</v>
      </c>
      <c r="H1664" t="s">
        <v>27</v>
      </c>
      <c r="I1664" t="s">
        <v>206</v>
      </c>
      <c r="J1664" t="s">
        <v>207</v>
      </c>
      <c r="K1664" t="s">
        <v>95</v>
      </c>
      <c r="L1664" t="s">
        <v>359</v>
      </c>
      <c r="M1664" t="s">
        <v>32</v>
      </c>
      <c r="N1664" t="s">
        <v>51</v>
      </c>
      <c r="O1664" t="s">
        <v>360</v>
      </c>
      <c r="P1664">
        <v>72</v>
      </c>
      <c r="Q1664">
        <v>1</v>
      </c>
      <c r="R1664">
        <v>14.4</v>
      </c>
      <c r="S1664" s="3" t="s">
        <v>53</v>
      </c>
      <c r="T1664">
        <v>2016</v>
      </c>
      <c r="U1664" t="s">
        <v>118</v>
      </c>
      <c r="V1664" s="2">
        <v>0.2</v>
      </c>
    </row>
    <row r="1665" spans="1:22" x14ac:dyDescent="0.25">
      <c r="A1665" t="s">
        <v>3931</v>
      </c>
      <c r="B1665" s="1">
        <v>43071</v>
      </c>
      <c r="C1665" s="1">
        <v>43076</v>
      </c>
      <c r="D1665" t="s">
        <v>23</v>
      </c>
      <c r="E1665" t="s">
        <v>565</v>
      </c>
      <c r="F1665" t="s">
        <v>566</v>
      </c>
      <c r="G1665" t="s">
        <v>59</v>
      </c>
      <c r="H1665" t="s">
        <v>27</v>
      </c>
      <c r="I1665" t="s">
        <v>1040</v>
      </c>
      <c r="J1665" t="s">
        <v>177</v>
      </c>
      <c r="K1665" t="s">
        <v>95</v>
      </c>
      <c r="L1665" t="s">
        <v>878</v>
      </c>
      <c r="M1665" t="s">
        <v>32</v>
      </c>
      <c r="N1665" t="s">
        <v>33</v>
      </c>
      <c r="O1665" t="s">
        <v>1911</v>
      </c>
      <c r="P1665">
        <v>151.18799999999999</v>
      </c>
      <c r="Q1665">
        <v>2</v>
      </c>
      <c r="R1665">
        <v>-25.198</v>
      </c>
      <c r="S1665" s="3" t="s">
        <v>35</v>
      </c>
      <c r="T1665">
        <v>2017</v>
      </c>
      <c r="U1665" t="s">
        <v>66</v>
      </c>
      <c r="V1665" s="2">
        <v>-0.16666666666666699</v>
      </c>
    </row>
    <row r="1666" spans="1:22" x14ac:dyDescent="0.25">
      <c r="A1666" t="s">
        <v>3932</v>
      </c>
      <c r="B1666" s="1">
        <v>41962</v>
      </c>
      <c r="C1666" s="1">
        <v>41964</v>
      </c>
      <c r="D1666" t="s">
        <v>56</v>
      </c>
      <c r="E1666" t="s">
        <v>1586</v>
      </c>
      <c r="F1666" t="s">
        <v>1587</v>
      </c>
      <c r="G1666" t="s">
        <v>26</v>
      </c>
      <c r="H1666" t="s">
        <v>27</v>
      </c>
      <c r="I1666" t="s">
        <v>206</v>
      </c>
      <c r="J1666" t="s">
        <v>207</v>
      </c>
      <c r="K1666" t="s">
        <v>95</v>
      </c>
      <c r="L1666" t="s">
        <v>1342</v>
      </c>
      <c r="M1666" t="s">
        <v>32</v>
      </c>
      <c r="N1666" t="s">
        <v>51</v>
      </c>
      <c r="O1666" t="s">
        <v>1343</v>
      </c>
      <c r="P1666">
        <v>47.496000000000002</v>
      </c>
      <c r="Q1666">
        <v>1</v>
      </c>
      <c r="R1666">
        <v>-1.1874</v>
      </c>
      <c r="S1666" s="3" t="s">
        <v>65</v>
      </c>
      <c r="T1666">
        <v>2014</v>
      </c>
      <c r="U1666" t="s">
        <v>118</v>
      </c>
      <c r="V1666" s="2">
        <v>-2.5000000000000001E-2</v>
      </c>
    </row>
    <row r="1667" spans="1:22" x14ac:dyDescent="0.25">
      <c r="A1667" t="s">
        <v>3933</v>
      </c>
      <c r="B1667" s="1">
        <v>42341</v>
      </c>
      <c r="C1667" s="1">
        <v>42345</v>
      </c>
      <c r="D1667" t="s">
        <v>23</v>
      </c>
      <c r="E1667" t="s">
        <v>423</v>
      </c>
      <c r="F1667" t="s">
        <v>424</v>
      </c>
      <c r="G1667" t="s">
        <v>26</v>
      </c>
      <c r="H1667" t="s">
        <v>27</v>
      </c>
      <c r="I1667" t="s">
        <v>460</v>
      </c>
      <c r="J1667" t="s">
        <v>154</v>
      </c>
      <c r="K1667" t="s">
        <v>155</v>
      </c>
      <c r="L1667" t="s">
        <v>257</v>
      </c>
      <c r="M1667" t="s">
        <v>32</v>
      </c>
      <c r="N1667" t="s">
        <v>33</v>
      </c>
      <c r="O1667" t="s">
        <v>258</v>
      </c>
      <c r="P1667">
        <v>105.584</v>
      </c>
      <c r="Q1667">
        <v>2</v>
      </c>
      <c r="R1667">
        <v>9.2385999999999999</v>
      </c>
      <c r="S1667" s="3" t="s">
        <v>53</v>
      </c>
      <c r="T1667">
        <v>2015</v>
      </c>
      <c r="U1667" t="s">
        <v>66</v>
      </c>
      <c r="V1667" s="2">
        <v>8.7499999999999994E-2</v>
      </c>
    </row>
    <row r="1668" spans="1:22" x14ac:dyDescent="0.25">
      <c r="A1668" t="s">
        <v>3934</v>
      </c>
      <c r="B1668" s="1">
        <v>42362</v>
      </c>
      <c r="C1668" s="1">
        <v>42368</v>
      </c>
      <c r="D1668" t="s">
        <v>23</v>
      </c>
      <c r="E1668" t="s">
        <v>1146</v>
      </c>
      <c r="F1668" t="s">
        <v>1147</v>
      </c>
      <c r="G1668" t="s">
        <v>59</v>
      </c>
      <c r="H1668" t="s">
        <v>27</v>
      </c>
      <c r="I1668" t="s">
        <v>946</v>
      </c>
      <c r="J1668" t="s">
        <v>532</v>
      </c>
      <c r="K1668" t="s">
        <v>62</v>
      </c>
      <c r="L1668" t="s">
        <v>1678</v>
      </c>
      <c r="M1668" t="s">
        <v>32</v>
      </c>
      <c r="N1668" t="s">
        <v>381</v>
      </c>
      <c r="O1668" t="s">
        <v>1679</v>
      </c>
      <c r="P1668">
        <v>4899.93</v>
      </c>
      <c r="Q1668">
        <v>7</v>
      </c>
      <c r="R1668">
        <v>2302.9670999999998</v>
      </c>
      <c r="S1668" s="3" t="s">
        <v>107</v>
      </c>
      <c r="T1668">
        <v>2015</v>
      </c>
      <c r="U1668" t="s">
        <v>66</v>
      </c>
      <c r="V1668" s="2">
        <v>0.47</v>
      </c>
    </row>
    <row r="1669" spans="1:22" x14ac:dyDescent="0.25">
      <c r="A1669" t="s">
        <v>3935</v>
      </c>
      <c r="B1669" s="1">
        <v>43009</v>
      </c>
      <c r="C1669" s="1">
        <v>43014</v>
      </c>
      <c r="D1669" t="s">
        <v>23</v>
      </c>
      <c r="E1669" t="s">
        <v>3373</v>
      </c>
      <c r="F1669" t="s">
        <v>3374</v>
      </c>
      <c r="G1669" t="s">
        <v>70</v>
      </c>
      <c r="H1669" t="s">
        <v>27</v>
      </c>
      <c r="I1669" t="s">
        <v>43</v>
      </c>
      <c r="J1669" t="s">
        <v>29</v>
      </c>
      <c r="K1669" t="s">
        <v>30</v>
      </c>
      <c r="L1669" t="s">
        <v>406</v>
      </c>
      <c r="M1669" t="s">
        <v>32</v>
      </c>
      <c r="N1669" t="s">
        <v>51</v>
      </c>
      <c r="O1669" t="s">
        <v>407</v>
      </c>
      <c r="P1669">
        <v>104.75</v>
      </c>
      <c r="Q1669">
        <v>5</v>
      </c>
      <c r="R1669">
        <v>21.997499999999999</v>
      </c>
      <c r="S1669" s="3" t="s">
        <v>35</v>
      </c>
      <c r="T1669">
        <v>2017</v>
      </c>
      <c r="U1669" t="s">
        <v>133</v>
      </c>
      <c r="V1669" s="2">
        <v>0.21</v>
      </c>
    </row>
    <row r="1670" spans="1:22" x14ac:dyDescent="0.25">
      <c r="A1670" t="s">
        <v>3936</v>
      </c>
      <c r="B1670" s="1">
        <v>43024</v>
      </c>
      <c r="C1670" s="1">
        <v>43029</v>
      </c>
      <c r="D1670" t="s">
        <v>23</v>
      </c>
      <c r="E1670" t="s">
        <v>3937</v>
      </c>
      <c r="F1670" t="s">
        <v>3938</v>
      </c>
      <c r="G1670" t="s">
        <v>59</v>
      </c>
      <c r="H1670" t="s">
        <v>27</v>
      </c>
      <c r="I1670" t="s">
        <v>1557</v>
      </c>
      <c r="J1670" t="s">
        <v>2319</v>
      </c>
      <c r="K1670" t="s">
        <v>155</v>
      </c>
      <c r="L1670" t="s">
        <v>156</v>
      </c>
      <c r="M1670" t="s">
        <v>32</v>
      </c>
      <c r="N1670" t="s">
        <v>51</v>
      </c>
      <c r="O1670" t="s">
        <v>157</v>
      </c>
      <c r="P1670">
        <v>18.527999999999999</v>
      </c>
      <c r="Q1670">
        <v>2</v>
      </c>
      <c r="R1670">
        <v>4.4004000000000003</v>
      </c>
      <c r="S1670" s="3" t="s">
        <v>35</v>
      </c>
      <c r="T1670">
        <v>2017</v>
      </c>
      <c r="U1670" t="s">
        <v>133</v>
      </c>
      <c r="V1670" s="2">
        <v>0.23749999999999999</v>
      </c>
    </row>
    <row r="1671" spans="1:22" x14ac:dyDescent="0.25">
      <c r="A1671" t="s">
        <v>3939</v>
      </c>
      <c r="B1671" s="1">
        <v>43050</v>
      </c>
      <c r="C1671" s="1">
        <v>43052</v>
      </c>
      <c r="D1671" t="s">
        <v>56</v>
      </c>
      <c r="E1671" t="s">
        <v>798</v>
      </c>
      <c r="F1671" t="s">
        <v>799</v>
      </c>
      <c r="G1671" t="s">
        <v>26</v>
      </c>
      <c r="H1671" t="s">
        <v>27</v>
      </c>
      <c r="I1671" t="s">
        <v>262</v>
      </c>
      <c r="J1671" t="s">
        <v>61</v>
      </c>
      <c r="K1671" t="s">
        <v>62</v>
      </c>
      <c r="L1671" t="s">
        <v>878</v>
      </c>
      <c r="M1671" t="s">
        <v>32</v>
      </c>
      <c r="N1671" t="s">
        <v>33</v>
      </c>
      <c r="O1671" t="s">
        <v>879</v>
      </c>
      <c r="P1671">
        <v>35.183999999999997</v>
      </c>
      <c r="Q1671">
        <v>2</v>
      </c>
      <c r="R1671">
        <v>12.314399999999999</v>
      </c>
      <c r="S1671" s="3" t="s">
        <v>65</v>
      </c>
      <c r="T1671">
        <v>2017</v>
      </c>
      <c r="U1671" t="s">
        <v>118</v>
      </c>
      <c r="V1671" s="2">
        <v>0.35</v>
      </c>
    </row>
    <row r="1672" spans="1:22" x14ac:dyDescent="0.25">
      <c r="A1672" t="s">
        <v>3940</v>
      </c>
      <c r="B1672" s="1">
        <v>41975</v>
      </c>
      <c r="C1672" s="1">
        <v>41982</v>
      </c>
      <c r="D1672" t="s">
        <v>23</v>
      </c>
      <c r="E1672" t="s">
        <v>1698</v>
      </c>
      <c r="F1672" t="s">
        <v>1699</v>
      </c>
      <c r="G1672" t="s">
        <v>59</v>
      </c>
      <c r="H1672" t="s">
        <v>27</v>
      </c>
      <c r="I1672" t="s">
        <v>2653</v>
      </c>
      <c r="J1672" t="s">
        <v>1006</v>
      </c>
      <c r="K1672" t="s">
        <v>155</v>
      </c>
      <c r="L1672" t="s">
        <v>2541</v>
      </c>
      <c r="M1672" t="s">
        <v>32</v>
      </c>
      <c r="N1672" t="s">
        <v>51</v>
      </c>
      <c r="O1672" t="s">
        <v>2542</v>
      </c>
      <c r="P1672">
        <v>5.95</v>
      </c>
      <c r="Q1672">
        <v>1</v>
      </c>
      <c r="R1672">
        <v>0.83299999999999996</v>
      </c>
      <c r="S1672" s="3" t="s">
        <v>132</v>
      </c>
      <c r="T1672">
        <v>2014</v>
      </c>
      <c r="U1672" t="s">
        <v>66</v>
      </c>
      <c r="V1672" s="2">
        <v>0.14000000000000001</v>
      </c>
    </row>
    <row r="1673" spans="1:22" x14ac:dyDescent="0.25">
      <c r="A1673" t="s">
        <v>3941</v>
      </c>
      <c r="B1673" s="1">
        <v>42099</v>
      </c>
      <c r="C1673" s="1">
        <v>42100</v>
      </c>
      <c r="D1673" t="s">
        <v>677</v>
      </c>
      <c r="E1673" t="s">
        <v>581</v>
      </c>
      <c r="F1673" t="s">
        <v>582</v>
      </c>
      <c r="G1673" t="s">
        <v>26</v>
      </c>
      <c r="H1673" t="s">
        <v>27</v>
      </c>
      <c r="I1673" t="s">
        <v>2724</v>
      </c>
      <c r="J1673" t="s">
        <v>426</v>
      </c>
      <c r="K1673" t="s">
        <v>30</v>
      </c>
      <c r="L1673" t="s">
        <v>141</v>
      </c>
      <c r="M1673" t="s">
        <v>32</v>
      </c>
      <c r="N1673" t="s">
        <v>51</v>
      </c>
      <c r="O1673" t="s">
        <v>142</v>
      </c>
      <c r="P1673">
        <v>239.94</v>
      </c>
      <c r="Q1673">
        <v>6</v>
      </c>
      <c r="R1673">
        <v>26.3934</v>
      </c>
      <c r="S1673" s="3" t="s">
        <v>112</v>
      </c>
      <c r="T1673">
        <v>2015</v>
      </c>
      <c r="U1673" t="s">
        <v>291</v>
      </c>
      <c r="V1673" s="2">
        <v>0.11</v>
      </c>
    </row>
    <row r="1674" spans="1:22" x14ac:dyDescent="0.25">
      <c r="A1674" t="s">
        <v>3942</v>
      </c>
      <c r="B1674" s="1">
        <v>42358</v>
      </c>
      <c r="C1674" s="1">
        <v>42359</v>
      </c>
      <c r="D1674" t="s">
        <v>56</v>
      </c>
      <c r="E1674" t="s">
        <v>3827</v>
      </c>
      <c r="F1674" t="s">
        <v>3828</v>
      </c>
      <c r="G1674" t="s">
        <v>70</v>
      </c>
      <c r="H1674" t="s">
        <v>27</v>
      </c>
      <c r="I1674" t="s">
        <v>71</v>
      </c>
      <c r="J1674" t="s">
        <v>61</v>
      </c>
      <c r="K1674" t="s">
        <v>62</v>
      </c>
      <c r="L1674" t="s">
        <v>883</v>
      </c>
      <c r="M1674" t="s">
        <v>32</v>
      </c>
      <c r="N1674" t="s">
        <v>51</v>
      </c>
      <c r="O1674" t="s">
        <v>884</v>
      </c>
      <c r="P1674">
        <v>100.8</v>
      </c>
      <c r="Q1674">
        <v>2</v>
      </c>
      <c r="R1674">
        <v>21.42</v>
      </c>
      <c r="S1674" s="3" t="s">
        <v>112</v>
      </c>
      <c r="T1674">
        <v>2015</v>
      </c>
      <c r="U1674" t="s">
        <v>66</v>
      </c>
      <c r="V1674" s="2">
        <v>0.21249999999999999</v>
      </c>
    </row>
    <row r="1675" spans="1:22" x14ac:dyDescent="0.25">
      <c r="A1675" t="s">
        <v>3943</v>
      </c>
      <c r="B1675" s="1">
        <v>41989</v>
      </c>
      <c r="C1675" s="1">
        <v>41991</v>
      </c>
      <c r="D1675" t="s">
        <v>40</v>
      </c>
      <c r="E1675" t="s">
        <v>247</v>
      </c>
      <c r="F1675" t="s">
        <v>248</v>
      </c>
      <c r="G1675" t="s">
        <v>26</v>
      </c>
      <c r="H1675" t="s">
        <v>27</v>
      </c>
      <c r="I1675" t="s">
        <v>946</v>
      </c>
      <c r="J1675" t="s">
        <v>693</v>
      </c>
      <c r="K1675" t="s">
        <v>155</v>
      </c>
      <c r="L1675" t="s">
        <v>1155</v>
      </c>
      <c r="M1675" t="s">
        <v>32</v>
      </c>
      <c r="N1675" t="s">
        <v>51</v>
      </c>
      <c r="O1675" t="s">
        <v>1156</v>
      </c>
      <c r="P1675">
        <v>99.98</v>
      </c>
      <c r="Q1675">
        <v>2</v>
      </c>
      <c r="R1675">
        <v>7.9984000000000002</v>
      </c>
      <c r="S1675" s="3" t="s">
        <v>65</v>
      </c>
      <c r="T1675">
        <v>2014</v>
      </c>
      <c r="U1675" t="s">
        <v>66</v>
      </c>
      <c r="V1675" s="2">
        <v>0.08</v>
      </c>
    </row>
    <row r="1676" spans="1:22" x14ac:dyDescent="0.25">
      <c r="A1676" t="s">
        <v>3944</v>
      </c>
      <c r="B1676" s="1">
        <v>42547</v>
      </c>
      <c r="C1676" s="1">
        <v>42553</v>
      </c>
      <c r="D1676" t="s">
        <v>23</v>
      </c>
      <c r="E1676" t="s">
        <v>3937</v>
      </c>
      <c r="F1676" t="s">
        <v>3938</v>
      </c>
      <c r="G1676" t="s">
        <v>59</v>
      </c>
      <c r="H1676" t="s">
        <v>27</v>
      </c>
      <c r="I1676" t="s">
        <v>103</v>
      </c>
      <c r="J1676" t="s">
        <v>104</v>
      </c>
      <c r="K1676" t="s">
        <v>95</v>
      </c>
      <c r="L1676" t="s">
        <v>2727</v>
      </c>
      <c r="M1676" t="s">
        <v>32</v>
      </c>
      <c r="N1676" t="s">
        <v>51</v>
      </c>
      <c r="O1676" t="s">
        <v>2728</v>
      </c>
      <c r="P1676">
        <v>20.97</v>
      </c>
      <c r="Q1676">
        <v>3</v>
      </c>
      <c r="R1676">
        <v>9.0170999999999992</v>
      </c>
      <c r="S1676" s="3" t="s">
        <v>107</v>
      </c>
      <c r="T1676">
        <v>2016</v>
      </c>
      <c r="U1676" t="s">
        <v>36</v>
      </c>
      <c r="V1676" s="2">
        <v>0.43</v>
      </c>
    </row>
    <row r="1677" spans="1:22" x14ac:dyDescent="0.25">
      <c r="A1677" t="s">
        <v>3944</v>
      </c>
      <c r="B1677" s="1">
        <v>42547</v>
      </c>
      <c r="C1677" s="1">
        <v>42553</v>
      </c>
      <c r="D1677" t="s">
        <v>23</v>
      </c>
      <c r="E1677" t="s">
        <v>3937</v>
      </c>
      <c r="F1677" t="s">
        <v>3938</v>
      </c>
      <c r="G1677" t="s">
        <v>59</v>
      </c>
      <c r="H1677" t="s">
        <v>27</v>
      </c>
      <c r="I1677" t="s">
        <v>103</v>
      </c>
      <c r="J1677" t="s">
        <v>104</v>
      </c>
      <c r="K1677" t="s">
        <v>95</v>
      </c>
      <c r="L1677" t="s">
        <v>2058</v>
      </c>
      <c r="M1677" t="s">
        <v>32</v>
      </c>
      <c r="N1677" t="s">
        <v>51</v>
      </c>
      <c r="O1677" t="s">
        <v>2059</v>
      </c>
      <c r="P1677">
        <v>139.96</v>
      </c>
      <c r="Q1677">
        <v>4</v>
      </c>
      <c r="R1677">
        <v>9.7972000000000001</v>
      </c>
      <c r="S1677" s="3" t="s">
        <v>107</v>
      </c>
      <c r="T1677">
        <v>2016</v>
      </c>
      <c r="U1677" t="s">
        <v>36</v>
      </c>
      <c r="V1677" s="2">
        <v>7.0000000000000007E-2</v>
      </c>
    </row>
    <row r="1678" spans="1:22" x14ac:dyDescent="0.25">
      <c r="A1678" t="s">
        <v>3945</v>
      </c>
      <c r="B1678" s="1">
        <v>42278</v>
      </c>
      <c r="C1678" s="1">
        <v>42282</v>
      </c>
      <c r="D1678" t="s">
        <v>23</v>
      </c>
      <c r="E1678" t="s">
        <v>204</v>
      </c>
      <c r="F1678" t="s">
        <v>205</v>
      </c>
      <c r="G1678" t="s">
        <v>26</v>
      </c>
      <c r="H1678" t="s">
        <v>27</v>
      </c>
      <c r="I1678" t="s">
        <v>2205</v>
      </c>
      <c r="J1678" t="s">
        <v>78</v>
      </c>
      <c r="K1678" t="s">
        <v>62</v>
      </c>
      <c r="L1678" t="s">
        <v>208</v>
      </c>
      <c r="M1678" t="s">
        <v>32</v>
      </c>
      <c r="N1678" t="s">
        <v>51</v>
      </c>
      <c r="O1678" t="s">
        <v>209</v>
      </c>
      <c r="P1678">
        <v>108.768</v>
      </c>
      <c r="Q1678">
        <v>4</v>
      </c>
      <c r="R1678">
        <v>2.7191999999999998</v>
      </c>
      <c r="S1678" s="3" t="s">
        <v>53</v>
      </c>
      <c r="T1678">
        <v>2015</v>
      </c>
      <c r="U1678" t="s">
        <v>133</v>
      </c>
      <c r="V1678" s="2">
        <v>2.5000000000000001E-2</v>
      </c>
    </row>
    <row r="1679" spans="1:22" x14ac:dyDescent="0.25">
      <c r="A1679" t="s">
        <v>3946</v>
      </c>
      <c r="B1679" s="1">
        <v>43060</v>
      </c>
      <c r="C1679" s="1">
        <v>43060</v>
      </c>
      <c r="D1679" t="s">
        <v>677</v>
      </c>
      <c r="E1679" t="s">
        <v>3947</v>
      </c>
      <c r="F1679" t="s">
        <v>3948</v>
      </c>
      <c r="G1679" t="s">
        <v>26</v>
      </c>
      <c r="H1679" t="s">
        <v>27</v>
      </c>
      <c r="I1679" t="s">
        <v>71</v>
      </c>
      <c r="J1679" t="s">
        <v>61</v>
      </c>
      <c r="K1679" t="s">
        <v>62</v>
      </c>
      <c r="L1679" t="s">
        <v>548</v>
      </c>
      <c r="M1679" t="s">
        <v>32</v>
      </c>
      <c r="N1679" t="s">
        <v>33</v>
      </c>
      <c r="O1679" t="s">
        <v>549</v>
      </c>
      <c r="P1679">
        <v>55.176000000000002</v>
      </c>
      <c r="Q1679">
        <v>3</v>
      </c>
      <c r="R1679">
        <v>-12.4146</v>
      </c>
      <c r="S1679" s="3" t="s">
        <v>683</v>
      </c>
      <c r="T1679">
        <v>2017</v>
      </c>
      <c r="U1679" t="s">
        <v>118</v>
      </c>
      <c r="V1679" s="2">
        <v>-0.22500000000000001</v>
      </c>
    </row>
    <row r="1680" spans="1:22" x14ac:dyDescent="0.25">
      <c r="A1680" t="s">
        <v>3949</v>
      </c>
      <c r="B1680" s="1">
        <v>42681</v>
      </c>
      <c r="C1680" s="1">
        <v>42687</v>
      </c>
      <c r="D1680" t="s">
        <v>23</v>
      </c>
      <c r="E1680" t="s">
        <v>1288</v>
      </c>
      <c r="F1680" t="s">
        <v>1289</v>
      </c>
      <c r="G1680" t="s">
        <v>59</v>
      </c>
      <c r="H1680" t="s">
        <v>27</v>
      </c>
      <c r="I1680" t="s">
        <v>43</v>
      </c>
      <c r="J1680" t="s">
        <v>29</v>
      </c>
      <c r="K1680" t="s">
        <v>30</v>
      </c>
      <c r="L1680" t="s">
        <v>398</v>
      </c>
      <c r="M1680" t="s">
        <v>32</v>
      </c>
      <c r="N1680" t="s">
        <v>51</v>
      </c>
      <c r="O1680" t="s">
        <v>399</v>
      </c>
      <c r="P1680">
        <v>479.97</v>
      </c>
      <c r="Q1680">
        <v>3</v>
      </c>
      <c r="R1680">
        <v>163.18979999999999</v>
      </c>
      <c r="S1680" s="3" t="s">
        <v>107</v>
      </c>
      <c r="T1680">
        <v>2016</v>
      </c>
      <c r="U1680" t="s">
        <v>118</v>
      </c>
      <c r="V1680" s="2">
        <v>0.34</v>
      </c>
    </row>
    <row r="1681" spans="1:22" x14ac:dyDescent="0.25">
      <c r="A1681" t="s">
        <v>3950</v>
      </c>
      <c r="B1681" s="1">
        <v>43085</v>
      </c>
      <c r="C1681" s="1">
        <v>43089</v>
      </c>
      <c r="D1681" t="s">
        <v>40</v>
      </c>
      <c r="E1681" t="s">
        <v>933</v>
      </c>
      <c r="F1681" t="s">
        <v>934</v>
      </c>
      <c r="G1681" t="s">
        <v>59</v>
      </c>
      <c r="H1681" t="s">
        <v>27</v>
      </c>
      <c r="I1681" t="s">
        <v>3951</v>
      </c>
      <c r="J1681" t="s">
        <v>29</v>
      </c>
      <c r="K1681" t="s">
        <v>30</v>
      </c>
      <c r="L1681" t="s">
        <v>1705</v>
      </c>
      <c r="M1681" t="s">
        <v>32</v>
      </c>
      <c r="N1681" t="s">
        <v>51</v>
      </c>
      <c r="O1681" t="s">
        <v>1706</v>
      </c>
      <c r="P1681">
        <v>189.95</v>
      </c>
      <c r="Q1681">
        <v>5</v>
      </c>
      <c r="R1681">
        <v>45.588000000000001</v>
      </c>
      <c r="S1681" s="3" t="s">
        <v>53</v>
      </c>
      <c r="T1681">
        <v>2017</v>
      </c>
      <c r="U1681" t="s">
        <v>66</v>
      </c>
      <c r="V1681" s="2">
        <v>0.24</v>
      </c>
    </row>
    <row r="1682" spans="1:22" x14ac:dyDescent="0.25">
      <c r="A1682" t="s">
        <v>3950</v>
      </c>
      <c r="B1682" s="1">
        <v>43085</v>
      </c>
      <c r="C1682" s="1">
        <v>43089</v>
      </c>
      <c r="D1682" t="s">
        <v>40</v>
      </c>
      <c r="E1682" t="s">
        <v>933</v>
      </c>
      <c r="F1682" t="s">
        <v>934</v>
      </c>
      <c r="G1682" t="s">
        <v>59</v>
      </c>
      <c r="H1682" t="s">
        <v>27</v>
      </c>
      <c r="I1682" t="s">
        <v>3951</v>
      </c>
      <c r="J1682" t="s">
        <v>29</v>
      </c>
      <c r="K1682" t="s">
        <v>30</v>
      </c>
      <c r="L1682" t="s">
        <v>759</v>
      </c>
      <c r="M1682" t="s">
        <v>32</v>
      </c>
      <c r="N1682" t="s">
        <v>51</v>
      </c>
      <c r="O1682" t="s">
        <v>760</v>
      </c>
      <c r="P1682">
        <v>149.94999999999999</v>
      </c>
      <c r="Q1682">
        <v>5</v>
      </c>
      <c r="R1682">
        <v>31.4895</v>
      </c>
      <c r="S1682" s="3" t="s">
        <v>53</v>
      </c>
      <c r="T1682">
        <v>2017</v>
      </c>
      <c r="U1682" t="s">
        <v>66</v>
      </c>
      <c r="V1682" s="2">
        <v>0.21</v>
      </c>
    </row>
    <row r="1683" spans="1:22" x14ac:dyDescent="0.25">
      <c r="A1683" t="s">
        <v>3952</v>
      </c>
      <c r="B1683" s="1">
        <v>41724</v>
      </c>
      <c r="C1683" s="1">
        <v>41729</v>
      </c>
      <c r="D1683" t="s">
        <v>40</v>
      </c>
      <c r="E1683" t="s">
        <v>1471</v>
      </c>
      <c r="F1683" t="s">
        <v>1472</v>
      </c>
      <c r="G1683" t="s">
        <v>59</v>
      </c>
      <c r="H1683" t="s">
        <v>27</v>
      </c>
      <c r="I1683" t="s">
        <v>43</v>
      </c>
      <c r="J1683" t="s">
        <v>29</v>
      </c>
      <c r="K1683" t="s">
        <v>30</v>
      </c>
      <c r="L1683" t="s">
        <v>3082</v>
      </c>
      <c r="M1683" t="s">
        <v>32</v>
      </c>
      <c r="N1683" t="s">
        <v>33</v>
      </c>
      <c r="O1683" t="s">
        <v>3083</v>
      </c>
      <c r="P1683">
        <v>28.783999999999999</v>
      </c>
      <c r="Q1683">
        <v>2</v>
      </c>
      <c r="R1683">
        <v>2.8784000000000001</v>
      </c>
      <c r="S1683" s="3" t="s">
        <v>35</v>
      </c>
      <c r="T1683">
        <v>2014</v>
      </c>
      <c r="U1683" t="s">
        <v>89</v>
      </c>
      <c r="V1683" s="2">
        <v>0.1</v>
      </c>
    </row>
    <row r="1684" spans="1:22" x14ac:dyDescent="0.25">
      <c r="A1684" t="s">
        <v>3953</v>
      </c>
      <c r="B1684" s="1">
        <v>42259</v>
      </c>
      <c r="C1684" s="1">
        <v>42264</v>
      </c>
      <c r="D1684" t="s">
        <v>40</v>
      </c>
      <c r="E1684" t="s">
        <v>307</v>
      </c>
      <c r="F1684" t="s">
        <v>308</v>
      </c>
      <c r="G1684" t="s">
        <v>26</v>
      </c>
      <c r="H1684" t="s">
        <v>27</v>
      </c>
      <c r="I1684" t="s">
        <v>481</v>
      </c>
      <c r="J1684" t="s">
        <v>426</v>
      </c>
      <c r="K1684" t="s">
        <v>30</v>
      </c>
      <c r="L1684" t="s">
        <v>1105</v>
      </c>
      <c r="M1684" t="s">
        <v>32</v>
      </c>
      <c r="N1684" t="s">
        <v>51</v>
      </c>
      <c r="O1684" t="s">
        <v>1106</v>
      </c>
      <c r="P1684">
        <v>21.98</v>
      </c>
      <c r="Q1684">
        <v>2</v>
      </c>
      <c r="R1684">
        <v>8.5722000000000005</v>
      </c>
      <c r="S1684" s="3" t="s">
        <v>35</v>
      </c>
      <c r="T1684">
        <v>2015</v>
      </c>
      <c r="U1684" t="s">
        <v>81</v>
      </c>
      <c r="V1684" s="2">
        <v>0.39</v>
      </c>
    </row>
    <row r="1685" spans="1:22" x14ac:dyDescent="0.25">
      <c r="A1685" t="s">
        <v>3954</v>
      </c>
      <c r="B1685" s="1">
        <v>42881</v>
      </c>
      <c r="C1685" s="1">
        <v>42885</v>
      </c>
      <c r="D1685" t="s">
        <v>23</v>
      </c>
      <c r="E1685" t="s">
        <v>757</v>
      </c>
      <c r="F1685" t="s">
        <v>758</v>
      </c>
      <c r="G1685" t="s">
        <v>26</v>
      </c>
      <c r="H1685" t="s">
        <v>27</v>
      </c>
      <c r="I1685" t="s">
        <v>3955</v>
      </c>
      <c r="J1685" t="s">
        <v>693</v>
      </c>
      <c r="K1685" t="s">
        <v>155</v>
      </c>
      <c r="L1685" t="s">
        <v>2355</v>
      </c>
      <c r="M1685" t="s">
        <v>32</v>
      </c>
      <c r="N1685" t="s">
        <v>51</v>
      </c>
      <c r="O1685" t="s">
        <v>2356</v>
      </c>
      <c r="P1685">
        <v>23.08</v>
      </c>
      <c r="Q1685">
        <v>2</v>
      </c>
      <c r="R1685">
        <v>6.9240000000000004</v>
      </c>
      <c r="S1685" s="3" t="s">
        <v>53</v>
      </c>
      <c r="T1685">
        <v>2017</v>
      </c>
      <c r="U1685" t="s">
        <v>527</v>
      </c>
      <c r="V1685" s="2">
        <v>0.3</v>
      </c>
    </row>
    <row r="1686" spans="1:22" x14ac:dyDescent="0.25">
      <c r="A1686" t="s">
        <v>3956</v>
      </c>
      <c r="B1686" s="1">
        <v>42404</v>
      </c>
      <c r="C1686" s="1">
        <v>42410</v>
      </c>
      <c r="D1686" t="s">
        <v>23</v>
      </c>
      <c r="E1686" t="s">
        <v>1583</v>
      </c>
      <c r="F1686" t="s">
        <v>1584</v>
      </c>
      <c r="G1686" t="s">
        <v>26</v>
      </c>
      <c r="H1686" t="s">
        <v>27</v>
      </c>
      <c r="I1686" t="s">
        <v>1034</v>
      </c>
      <c r="J1686" t="s">
        <v>1035</v>
      </c>
      <c r="K1686" t="s">
        <v>95</v>
      </c>
      <c r="L1686" t="s">
        <v>1897</v>
      </c>
      <c r="M1686" t="s">
        <v>32</v>
      </c>
      <c r="N1686" t="s">
        <v>33</v>
      </c>
      <c r="O1686" t="s">
        <v>1898</v>
      </c>
      <c r="P1686">
        <v>90.48</v>
      </c>
      <c r="Q1686">
        <v>2</v>
      </c>
      <c r="R1686">
        <v>23.524799999999999</v>
      </c>
      <c r="S1686" s="3" t="s">
        <v>107</v>
      </c>
      <c r="T1686">
        <v>2016</v>
      </c>
      <c r="U1686" t="s">
        <v>180</v>
      </c>
      <c r="V1686" s="2">
        <v>0.26</v>
      </c>
    </row>
    <row r="1687" spans="1:22" x14ac:dyDescent="0.25">
      <c r="A1687" t="s">
        <v>3957</v>
      </c>
      <c r="B1687" s="1">
        <v>42617</v>
      </c>
      <c r="C1687" s="1">
        <v>42621</v>
      </c>
      <c r="D1687" t="s">
        <v>23</v>
      </c>
      <c r="E1687" t="s">
        <v>3303</v>
      </c>
      <c r="F1687" t="s">
        <v>3304</v>
      </c>
      <c r="G1687" t="s">
        <v>26</v>
      </c>
      <c r="H1687" t="s">
        <v>27</v>
      </c>
      <c r="I1687" t="s">
        <v>946</v>
      </c>
      <c r="J1687" t="s">
        <v>532</v>
      </c>
      <c r="K1687" t="s">
        <v>62</v>
      </c>
      <c r="L1687" t="s">
        <v>271</v>
      </c>
      <c r="M1687" t="s">
        <v>32</v>
      </c>
      <c r="N1687" t="s">
        <v>51</v>
      </c>
      <c r="O1687" t="s">
        <v>272</v>
      </c>
      <c r="P1687">
        <v>279.95</v>
      </c>
      <c r="Q1687">
        <v>5</v>
      </c>
      <c r="R1687">
        <v>67.188000000000002</v>
      </c>
      <c r="S1687" s="3" t="s">
        <v>53</v>
      </c>
      <c r="T1687">
        <v>2016</v>
      </c>
      <c r="U1687" t="s">
        <v>81</v>
      </c>
      <c r="V1687" s="2">
        <v>0.24</v>
      </c>
    </row>
    <row r="1688" spans="1:22" x14ac:dyDescent="0.25">
      <c r="A1688" t="s">
        <v>3958</v>
      </c>
      <c r="B1688" s="1">
        <v>41946</v>
      </c>
      <c r="C1688" s="1">
        <v>41950</v>
      </c>
      <c r="D1688" t="s">
        <v>23</v>
      </c>
      <c r="E1688" t="s">
        <v>3252</v>
      </c>
      <c r="F1688" t="s">
        <v>3253</v>
      </c>
      <c r="G1688" t="s">
        <v>59</v>
      </c>
      <c r="H1688" t="s">
        <v>27</v>
      </c>
      <c r="I1688" t="s">
        <v>778</v>
      </c>
      <c r="J1688" t="s">
        <v>779</v>
      </c>
      <c r="K1688" t="s">
        <v>62</v>
      </c>
      <c r="L1688" t="s">
        <v>1269</v>
      </c>
      <c r="M1688" t="s">
        <v>32</v>
      </c>
      <c r="N1688" t="s">
        <v>51</v>
      </c>
      <c r="O1688" t="s">
        <v>1270</v>
      </c>
      <c r="P1688">
        <v>89.97</v>
      </c>
      <c r="Q1688">
        <v>3</v>
      </c>
      <c r="R1688">
        <v>18.893699999999999</v>
      </c>
      <c r="S1688" s="3" t="s">
        <v>53</v>
      </c>
      <c r="T1688">
        <v>2014</v>
      </c>
      <c r="U1688" t="s">
        <v>118</v>
      </c>
      <c r="V1688" s="2">
        <v>0.21</v>
      </c>
    </row>
    <row r="1689" spans="1:22" x14ac:dyDescent="0.25">
      <c r="A1689" t="s">
        <v>3959</v>
      </c>
      <c r="B1689" s="1">
        <v>42989</v>
      </c>
      <c r="C1689" s="1">
        <v>42991</v>
      </c>
      <c r="D1689" t="s">
        <v>40</v>
      </c>
      <c r="E1689" t="s">
        <v>475</v>
      </c>
      <c r="F1689" t="s">
        <v>476</v>
      </c>
      <c r="G1689" t="s">
        <v>59</v>
      </c>
      <c r="H1689" t="s">
        <v>27</v>
      </c>
      <c r="I1689" t="s">
        <v>787</v>
      </c>
      <c r="J1689" t="s">
        <v>29</v>
      </c>
      <c r="K1689" t="s">
        <v>30</v>
      </c>
      <c r="L1689" t="s">
        <v>1202</v>
      </c>
      <c r="M1689" t="s">
        <v>32</v>
      </c>
      <c r="N1689" t="s">
        <v>33</v>
      </c>
      <c r="O1689" t="s">
        <v>1203</v>
      </c>
      <c r="P1689">
        <v>143.952</v>
      </c>
      <c r="Q1689">
        <v>6</v>
      </c>
      <c r="R1689">
        <v>17.994</v>
      </c>
      <c r="S1689" s="3" t="s">
        <v>65</v>
      </c>
      <c r="T1689">
        <v>2017</v>
      </c>
      <c r="U1689" t="s">
        <v>81</v>
      </c>
      <c r="V1689" s="2">
        <v>0.125</v>
      </c>
    </row>
    <row r="1690" spans="1:22" x14ac:dyDescent="0.25">
      <c r="A1690" t="s">
        <v>3960</v>
      </c>
      <c r="B1690" s="1">
        <v>42353</v>
      </c>
      <c r="C1690" s="1">
        <v>42358</v>
      </c>
      <c r="D1690" t="s">
        <v>23</v>
      </c>
      <c r="E1690" t="s">
        <v>3961</v>
      </c>
      <c r="F1690" t="s">
        <v>3962</v>
      </c>
      <c r="G1690" t="s">
        <v>59</v>
      </c>
      <c r="H1690" t="s">
        <v>27</v>
      </c>
      <c r="I1690" t="s">
        <v>702</v>
      </c>
      <c r="J1690" t="s">
        <v>154</v>
      </c>
      <c r="K1690" t="s">
        <v>155</v>
      </c>
      <c r="L1690" t="s">
        <v>319</v>
      </c>
      <c r="M1690" t="s">
        <v>32</v>
      </c>
      <c r="N1690" t="s">
        <v>33</v>
      </c>
      <c r="O1690" t="s">
        <v>320</v>
      </c>
      <c r="P1690">
        <v>246.16800000000001</v>
      </c>
      <c r="Q1690">
        <v>3</v>
      </c>
      <c r="R1690">
        <v>21.5397</v>
      </c>
      <c r="S1690" s="3" t="s">
        <v>35</v>
      </c>
      <c r="T1690">
        <v>2015</v>
      </c>
      <c r="U1690" t="s">
        <v>66</v>
      </c>
      <c r="V1690" s="2">
        <v>8.7499999999999994E-2</v>
      </c>
    </row>
    <row r="1691" spans="1:22" x14ac:dyDescent="0.25">
      <c r="A1691" t="s">
        <v>3963</v>
      </c>
      <c r="B1691" s="1">
        <v>42156</v>
      </c>
      <c r="C1691" s="1">
        <v>42160</v>
      </c>
      <c r="D1691" t="s">
        <v>23</v>
      </c>
      <c r="E1691" t="s">
        <v>3964</v>
      </c>
      <c r="F1691" t="s">
        <v>3965</v>
      </c>
      <c r="G1691" t="s">
        <v>26</v>
      </c>
      <c r="H1691" t="s">
        <v>27</v>
      </c>
      <c r="I1691" t="s">
        <v>851</v>
      </c>
      <c r="J1691" t="s">
        <v>256</v>
      </c>
      <c r="K1691" t="s">
        <v>62</v>
      </c>
      <c r="L1691" t="s">
        <v>2115</v>
      </c>
      <c r="M1691" t="s">
        <v>32</v>
      </c>
      <c r="N1691" t="s">
        <v>33</v>
      </c>
      <c r="O1691" t="s">
        <v>2116</v>
      </c>
      <c r="P1691">
        <v>299.98</v>
      </c>
      <c r="Q1691">
        <v>2</v>
      </c>
      <c r="R1691">
        <v>83.994399999999999</v>
      </c>
      <c r="S1691" s="3" t="s">
        <v>53</v>
      </c>
      <c r="T1691">
        <v>2015</v>
      </c>
      <c r="U1691" t="s">
        <v>36</v>
      </c>
      <c r="V1691" s="2">
        <v>0.28000000000000003</v>
      </c>
    </row>
    <row r="1692" spans="1:22" x14ac:dyDescent="0.25">
      <c r="A1692" t="s">
        <v>3963</v>
      </c>
      <c r="B1692" s="1">
        <v>42156</v>
      </c>
      <c r="C1692" s="1">
        <v>42160</v>
      </c>
      <c r="D1692" t="s">
        <v>23</v>
      </c>
      <c r="E1692" t="s">
        <v>3964</v>
      </c>
      <c r="F1692" t="s">
        <v>3965</v>
      </c>
      <c r="G1692" t="s">
        <v>26</v>
      </c>
      <c r="H1692" t="s">
        <v>27</v>
      </c>
      <c r="I1692" t="s">
        <v>851</v>
      </c>
      <c r="J1692" t="s">
        <v>256</v>
      </c>
      <c r="K1692" t="s">
        <v>62</v>
      </c>
      <c r="L1692" t="s">
        <v>1238</v>
      </c>
      <c r="M1692" t="s">
        <v>32</v>
      </c>
      <c r="N1692" t="s">
        <v>33</v>
      </c>
      <c r="O1692" t="s">
        <v>1239</v>
      </c>
      <c r="P1692">
        <v>41.9</v>
      </c>
      <c r="Q1692">
        <v>2</v>
      </c>
      <c r="R1692">
        <v>11.731999999999999</v>
      </c>
      <c r="S1692" s="3" t="s">
        <v>53</v>
      </c>
      <c r="T1692">
        <v>2015</v>
      </c>
      <c r="U1692" t="s">
        <v>36</v>
      </c>
      <c r="V1692" s="2">
        <v>0.28000000000000003</v>
      </c>
    </row>
    <row r="1693" spans="1:22" x14ac:dyDescent="0.25">
      <c r="A1693" t="s">
        <v>3966</v>
      </c>
      <c r="B1693" s="1">
        <v>43020</v>
      </c>
      <c r="C1693" s="1">
        <v>43024</v>
      </c>
      <c r="D1693" t="s">
        <v>23</v>
      </c>
      <c r="E1693" t="s">
        <v>2220</v>
      </c>
      <c r="F1693" t="s">
        <v>2221</v>
      </c>
      <c r="G1693" t="s">
        <v>70</v>
      </c>
      <c r="H1693" t="s">
        <v>27</v>
      </c>
      <c r="I1693" t="s">
        <v>262</v>
      </c>
      <c r="J1693" t="s">
        <v>61</v>
      </c>
      <c r="K1693" t="s">
        <v>62</v>
      </c>
      <c r="L1693" t="s">
        <v>807</v>
      </c>
      <c r="M1693" t="s">
        <v>32</v>
      </c>
      <c r="N1693" t="s">
        <v>33</v>
      </c>
      <c r="O1693" t="s">
        <v>808</v>
      </c>
      <c r="P1693">
        <v>369.54399999999998</v>
      </c>
      <c r="Q1693">
        <v>7</v>
      </c>
      <c r="R1693">
        <v>27.715800000000002</v>
      </c>
      <c r="S1693" s="3" t="s">
        <v>53</v>
      </c>
      <c r="T1693">
        <v>2017</v>
      </c>
      <c r="U1693" t="s">
        <v>133</v>
      </c>
      <c r="V1693" s="2">
        <v>7.4999999999999997E-2</v>
      </c>
    </row>
    <row r="1694" spans="1:22" x14ac:dyDescent="0.25">
      <c r="A1694" t="s">
        <v>3966</v>
      </c>
      <c r="B1694" s="1">
        <v>43020</v>
      </c>
      <c r="C1694" s="1">
        <v>43024</v>
      </c>
      <c r="D1694" t="s">
        <v>23</v>
      </c>
      <c r="E1694" t="s">
        <v>2220</v>
      </c>
      <c r="F1694" t="s">
        <v>2221</v>
      </c>
      <c r="G1694" t="s">
        <v>70</v>
      </c>
      <c r="H1694" t="s">
        <v>27</v>
      </c>
      <c r="I1694" t="s">
        <v>262</v>
      </c>
      <c r="J1694" t="s">
        <v>61</v>
      </c>
      <c r="K1694" t="s">
        <v>62</v>
      </c>
      <c r="L1694" t="s">
        <v>922</v>
      </c>
      <c r="M1694" t="s">
        <v>32</v>
      </c>
      <c r="N1694" t="s">
        <v>51</v>
      </c>
      <c r="O1694" t="s">
        <v>923</v>
      </c>
      <c r="P1694">
        <v>791.88</v>
      </c>
      <c r="Q1694">
        <v>3</v>
      </c>
      <c r="R1694">
        <v>128.68049999999999</v>
      </c>
      <c r="S1694" s="3" t="s">
        <v>53</v>
      </c>
      <c r="T1694">
        <v>2017</v>
      </c>
      <c r="U1694" t="s">
        <v>133</v>
      </c>
      <c r="V1694" s="2">
        <v>0.16250000000000001</v>
      </c>
    </row>
    <row r="1695" spans="1:22" x14ac:dyDescent="0.25">
      <c r="A1695" t="s">
        <v>3967</v>
      </c>
      <c r="B1695" s="1">
        <v>42315</v>
      </c>
      <c r="C1695" s="1">
        <v>42320</v>
      </c>
      <c r="D1695" t="s">
        <v>23</v>
      </c>
      <c r="E1695" t="s">
        <v>2458</v>
      </c>
      <c r="F1695" t="s">
        <v>2459</v>
      </c>
      <c r="G1695" t="s">
        <v>26</v>
      </c>
      <c r="H1695" t="s">
        <v>27</v>
      </c>
      <c r="I1695" t="s">
        <v>71</v>
      </c>
      <c r="J1695" t="s">
        <v>61</v>
      </c>
      <c r="K1695" t="s">
        <v>62</v>
      </c>
      <c r="L1695" t="s">
        <v>2488</v>
      </c>
      <c r="M1695" t="s">
        <v>32</v>
      </c>
      <c r="N1695" t="s">
        <v>215</v>
      </c>
      <c r="O1695" t="s">
        <v>2489</v>
      </c>
      <c r="P1695">
        <v>287.91000000000003</v>
      </c>
      <c r="Q1695">
        <v>3</v>
      </c>
      <c r="R1695">
        <v>33.589500000000001</v>
      </c>
      <c r="S1695" s="3" t="s">
        <v>35</v>
      </c>
      <c r="T1695">
        <v>2015</v>
      </c>
      <c r="U1695" t="s">
        <v>118</v>
      </c>
      <c r="V1695" s="2">
        <v>0.116666666666667</v>
      </c>
    </row>
    <row r="1696" spans="1:22" x14ac:dyDescent="0.25">
      <c r="A1696" t="s">
        <v>3968</v>
      </c>
      <c r="B1696" s="1">
        <v>42149</v>
      </c>
      <c r="C1696" s="1">
        <v>42152</v>
      </c>
      <c r="D1696" t="s">
        <v>56</v>
      </c>
      <c r="E1696" t="s">
        <v>3969</v>
      </c>
      <c r="F1696" t="s">
        <v>3970</v>
      </c>
      <c r="G1696" t="s">
        <v>59</v>
      </c>
      <c r="H1696" t="s">
        <v>27</v>
      </c>
      <c r="I1696" t="s">
        <v>3971</v>
      </c>
      <c r="J1696" t="s">
        <v>61</v>
      </c>
      <c r="K1696" t="s">
        <v>62</v>
      </c>
      <c r="L1696" t="s">
        <v>1702</v>
      </c>
      <c r="M1696" t="s">
        <v>32</v>
      </c>
      <c r="N1696" t="s">
        <v>51</v>
      </c>
      <c r="O1696" t="s">
        <v>1703</v>
      </c>
      <c r="P1696">
        <v>207.98400000000001</v>
      </c>
      <c r="Q1696">
        <v>2</v>
      </c>
      <c r="R1696">
        <v>36.397199999999998</v>
      </c>
      <c r="S1696" s="3" t="s">
        <v>172</v>
      </c>
      <c r="T1696">
        <v>2015</v>
      </c>
      <c r="U1696" t="s">
        <v>527</v>
      </c>
      <c r="V1696" s="2">
        <v>0.17499999999999999</v>
      </c>
    </row>
    <row r="1697" spans="1:22" x14ac:dyDescent="0.25">
      <c r="A1697" t="s">
        <v>3972</v>
      </c>
      <c r="B1697" s="1">
        <v>41925</v>
      </c>
      <c r="C1697" s="1">
        <v>41927</v>
      </c>
      <c r="D1697" t="s">
        <v>56</v>
      </c>
      <c r="E1697" t="s">
        <v>3973</v>
      </c>
      <c r="F1697" t="s">
        <v>3974</v>
      </c>
      <c r="G1697" t="s">
        <v>70</v>
      </c>
      <c r="H1697" t="s">
        <v>27</v>
      </c>
      <c r="I1697" t="s">
        <v>2225</v>
      </c>
      <c r="J1697" t="s">
        <v>693</v>
      </c>
      <c r="K1697" t="s">
        <v>155</v>
      </c>
      <c r="L1697" t="s">
        <v>2697</v>
      </c>
      <c r="M1697" t="s">
        <v>32</v>
      </c>
      <c r="N1697" t="s">
        <v>51</v>
      </c>
      <c r="O1697" t="s">
        <v>2698</v>
      </c>
      <c r="P1697">
        <v>22.96</v>
      </c>
      <c r="Q1697">
        <v>2</v>
      </c>
      <c r="R1697">
        <v>4.3624000000000001</v>
      </c>
      <c r="S1697" s="3" t="s">
        <v>65</v>
      </c>
      <c r="T1697">
        <v>2014</v>
      </c>
      <c r="U1697" t="s">
        <v>133</v>
      </c>
      <c r="V1697" s="2">
        <v>0.19</v>
      </c>
    </row>
    <row r="1698" spans="1:22" x14ac:dyDescent="0.25">
      <c r="A1698" t="s">
        <v>3975</v>
      </c>
      <c r="B1698" s="1">
        <v>42407</v>
      </c>
      <c r="C1698" s="1">
        <v>42410</v>
      </c>
      <c r="D1698" t="s">
        <v>40</v>
      </c>
      <c r="E1698" t="s">
        <v>2010</v>
      </c>
      <c r="F1698" t="s">
        <v>2011</v>
      </c>
      <c r="G1698" t="s">
        <v>59</v>
      </c>
      <c r="H1698" t="s">
        <v>27</v>
      </c>
      <c r="I1698" t="s">
        <v>28</v>
      </c>
      <c r="J1698" t="s">
        <v>29</v>
      </c>
      <c r="K1698" t="s">
        <v>30</v>
      </c>
      <c r="L1698" t="s">
        <v>3390</v>
      </c>
      <c r="M1698" t="s">
        <v>32</v>
      </c>
      <c r="N1698" t="s">
        <v>33</v>
      </c>
      <c r="O1698" t="s">
        <v>3391</v>
      </c>
      <c r="P1698">
        <v>623.96</v>
      </c>
      <c r="Q1698">
        <v>5</v>
      </c>
      <c r="R1698">
        <v>38.997500000000002</v>
      </c>
      <c r="S1698" s="3" t="s">
        <v>172</v>
      </c>
      <c r="T1698">
        <v>2016</v>
      </c>
      <c r="U1698" t="s">
        <v>180</v>
      </c>
      <c r="V1698" s="2">
        <v>6.25E-2</v>
      </c>
    </row>
    <row r="1699" spans="1:22" x14ac:dyDescent="0.25">
      <c r="A1699" t="s">
        <v>3976</v>
      </c>
      <c r="B1699" s="1">
        <v>42754</v>
      </c>
      <c r="C1699" s="1">
        <v>42759</v>
      </c>
      <c r="D1699" t="s">
        <v>40</v>
      </c>
      <c r="E1699" t="s">
        <v>1340</v>
      </c>
      <c r="F1699" t="s">
        <v>1341</v>
      </c>
      <c r="G1699" t="s">
        <v>26</v>
      </c>
      <c r="H1699" t="s">
        <v>27</v>
      </c>
      <c r="I1699" t="s">
        <v>206</v>
      </c>
      <c r="J1699" t="s">
        <v>207</v>
      </c>
      <c r="K1699" t="s">
        <v>95</v>
      </c>
      <c r="L1699" t="s">
        <v>1385</v>
      </c>
      <c r="M1699" t="s">
        <v>32</v>
      </c>
      <c r="N1699" t="s">
        <v>33</v>
      </c>
      <c r="O1699" t="s">
        <v>1386</v>
      </c>
      <c r="P1699">
        <v>429.6</v>
      </c>
      <c r="Q1699">
        <v>2</v>
      </c>
      <c r="R1699">
        <v>-93.08</v>
      </c>
      <c r="S1699" s="3" t="s">
        <v>35</v>
      </c>
      <c r="T1699">
        <v>2017</v>
      </c>
      <c r="U1699" t="s">
        <v>54</v>
      </c>
      <c r="V1699" s="2">
        <v>-0.21666666666666701</v>
      </c>
    </row>
    <row r="1700" spans="1:22" x14ac:dyDescent="0.25">
      <c r="A1700" t="s">
        <v>3977</v>
      </c>
      <c r="B1700" s="1">
        <v>42247</v>
      </c>
      <c r="C1700" s="1">
        <v>42251</v>
      </c>
      <c r="D1700" t="s">
        <v>23</v>
      </c>
      <c r="E1700" t="s">
        <v>2382</v>
      </c>
      <c r="F1700" t="s">
        <v>2383</v>
      </c>
      <c r="G1700" t="s">
        <v>70</v>
      </c>
      <c r="H1700" t="s">
        <v>27</v>
      </c>
      <c r="I1700" t="s">
        <v>300</v>
      </c>
      <c r="J1700" t="s">
        <v>29</v>
      </c>
      <c r="K1700" t="s">
        <v>30</v>
      </c>
      <c r="L1700" t="s">
        <v>1049</v>
      </c>
      <c r="M1700" t="s">
        <v>32</v>
      </c>
      <c r="N1700" t="s">
        <v>33</v>
      </c>
      <c r="O1700" t="s">
        <v>1050</v>
      </c>
      <c r="P1700">
        <v>555.96</v>
      </c>
      <c r="Q1700">
        <v>5</v>
      </c>
      <c r="R1700">
        <v>41.697000000000003</v>
      </c>
      <c r="S1700" s="3" t="s">
        <v>53</v>
      </c>
      <c r="T1700">
        <v>2015</v>
      </c>
      <c r="U1700" t="s">
        <v>46</v>
      </c>
      <c r="V1700" s="2">
        <v>7.4999999999999997E-2</v>
      </c>
    </row>
    <row r="1701" spans="1:22" x14ac:dyDescent="0.25">
      <c r="A1701" t="s">
        <v>3978</v>
      </c>
      <c r="B1701" s="1">
        <v>41672</v>
      </c>
      <c r="C1701" s="1">
        <v>41679</v>
      </c>
      <c r="D1701" t="s">
        <v>23</v>
      </c>
      <c r="E1701" t="s">
        <v>3979</v>
      </c>
      <c r="F1701" t="s">
        <v>3980</v>
      </c>
      <c r="G1701" t="s">
        <v>26</v>
      </c>
      <c r="H1701" t="s">
        <v>27</v>
      </c>
      <c r="I1701" t="s">
        <v>351</v>
      </c>
      <c r="J1701" t="s">
        <v>288</v>
      </c>
      <c r="K1701" t="s">
        <v>155</v>
      </c>
      <c r="L1701" t="s">
        <v>1897</v>
      </c>
      <c r="M1701" t="s">
        <v>32</v>
      </c>
      <c r="N1701" t="s">
        <v>33</v>
      </c>
      <c r="O1701" t="s">
        <v>1898</v>
      </c>
      <c r="P1701">
        <v>180.96</v>
      </c>
      <c r="Q1701">
        <v>5</v>
      </c>
      <c r="R1701">
        <v>13.571999999999999</v>
      </c>
      <c r="S1701" s="3" t="s">
        <v>132</v>
      </c>
      <c r="T1701">
        <v>2014</v>
      </c>
      <c r="U1701" t="s">
        <v>180</v>
      </c>
      <c r="V1701" s="2">
        <v>7.4999999999999997E-2</v>
      </c>
    </row>
    <row r="1702" spans="1:22" x14ac:dyDescent="0.25">
      <c r="A1702" t="s">
        <v>3981</v>
      </c>
      <c r="B1702" s="1">
        <v>41884</v>
      </c>
      <c r="C1702" s="1">
        <v>41890</v>
      </c>
      <c r="D1702" t="s">
        <v>23</v>
      </c>
      <c r="E1702" t="s">
        <v>757</v>
      </c>
      <c r="F1702" t="s">
        <v>758</v>
      </c>
      <c r="G1702" t="s">
        <v>26</v>
      </c>
      <c r="H1702" t="s">
        <v>27</v>
      </c>
      <c r="I1702" t="s">
        <v>3982</v>
      </c>
      <c r="J1702" t="s">
        <v>78</v>
      </c>
      <c r="K1702" t="s">
        <v>62</v>
      </c>
      <c r="L1702" t="s">
        <v>164</v>
      </c>
      <c r="M1702" t="s">
        <v>32</v>
      </c>
      <c r="N1702" t="s">
        <v>51</v>
      </c>
      <c r="O1702" t="s">
        <v>165</v>
      </c>
      <c r="P1702">
        <v>475.94400000000002</v>
      </c>
      <c r="Q1702">
        <v>7</v>
      </c>
      <c r="R1702">
        <v>95.188800000000001</v>
      </c>
      <c r="S1702" s="3" t="s">
        <v>107</v>
      </c>
      <c r="T1702">
        <v>2014</v>
      </c>
      <c r="U1702" t="s">
        <v>81</v>
      </c>
      <c r="V1702" s="2">
        <v>0.2</v>
      </c>
    </row>
    <row r="1703" spans="1:22" x14ac:dyDescent="0.25">
      <c r="A1703" t="s">
        <v>3983</v>
      </c>
      <c r="B1703" s="1">
        <v>43008</v>
      </c>
      <c r="C1703" s="1">
        <v>43010</v>
      </c>
      <c r="D1703" t="s">
        <v>40</v>
      </c>
      <c r="E1703" t="s">
        <v>1047</v>
      </c>
      <c r="F1703" t="s">
        <v>1048</v>
      </c>
      <c r="G1703" t="s">
        <v>70</v>
      </c>
      <c r="H1703" t="s">
        <v>27</v>
      </c>
      <c r="I1703" t="s">
        <v>28</v>
      </c>
      <c r="J1703" t="s">
        <v>29</v>
      </c>
      <c r="K1703" t="s">
        <v>30</v>
      </c>
      <c r="L1703" t="s">
        <v>795</v>
      </c>
      <c r="M1703" t="s">
        <v>32</v>
      </c>
      <c r="N1703" t="s">
        <v>51</v>
      </c>
      <c r="O1703" t="s">
        <v>796</v>
      </c>
      <c r="P1703">
        <v>159.97999999999999</v>
      </c>
      <c r="Q1703">
        <v>2</v>
      </c>
      <c r="R1703">
        <v>47.994</v>
      </c>
      <c r="S1703" s="3" t="s">
        <v>65</v>
      </c>
      <c r="T1703">
        <v>2017</v>
      </c>
      <c r="U1703" t="s">
        <v>81</v>
      </c>
      <c r="V1703" s="2">
        <v>0.3</v>
      </c>
    </row>
    <row r="1704" spans="1:22" x14ac:dyDescent="0.25">
      <c r="A1704" t="s">
        <v>3984</v>
      </c>
      <c r="B1704" s="1">
        <v>42618</v>
      </c>
      <c r="C1704" s="1">
        <v>42620</v>
      </c>
      <c r="D1704" t="s">
        <v>56</v>
      </c>
      <c r="E1704" t="s">
        <v>3985</v>
      </c>
      <c r="F1704" t="s">
        <v>3986</v>
      </c>
      <c r="G1704" t="s">
        <v>59</v>
      </c>
      <c r="H1704" t="s">
        <v>27</v>
      </c>
      <c r="I1704" t="s">
        <v>103</v>
      </c>
      <c r="J1704" t="s">
        <v>104</v>
      </c>
      <c r="K1704" t="s">
        <v>95</v>
      </c>
      <c r="L1704" t="s">
        <v>98</v>
      </c>
      <c r="M1704" t="s">
        <v>32</v>
      </c>
      <c r="N1704" t="s">
        <v>33</v>
      </c>
      <c r="O1704" t="s">
        <v>99</v>
      </c>
      <c r="P1704">
        <v>43.6</v>
      </c>
      <c r="Q1704">
        <v>4</v>
      </c>
      <c r="R1704">
        <v>12.208</v>
      </c>
      <c r="S1704" s="3" t="s">
        <v>65</v>
      </c>
      <c r="T1704">
        <v>2016</v>
      </c>
      <c r="U1704" t="s">
        <v>81</v>
      </c>
      <c r="V1704" s="2">
        <v>0.28000000000000003</v>
      </c>
    </row>
    <row r="1705" spans="1:22" x14ac:dyDescent="0.25">
      <c r="A1705" t="s">
        <v>3987</v>
      </c>
      <c r="B1705" s="1">
        <v>42875</v>
      </c>
      <c r="C1705" s="1">
        <v>42881</v>
      </c>
      <c r="D1705" t="s">
        <v>23</v>
      </c>
      <c r="E1705" t="s">
        <v>1279</v>
      </c>
      <c r="F1705" t="s">
        <v>1280</v>
      </c>
      <c r="G1705" t="s">
        <v>26</v>
      </c>
      <c r="H1705" t="s">
        <v>27</v>
      </c>
      <c r="I1705" t="s">
        <v>3988</v>
      </c>
      <c r="J1705" t="s">
        <v>1351</v>
      </c>
      <c r="K1705" t="s">
        <v>30</v>
      </c>
      <c r="L1705" t="s">
        <v>3390</v>
      </c>
      <c r="M1705" t="s">
        <v>32</v>
      </c>
      <c r="N1705" t="s">
        <v>33</v>
      </c>
      <c r="O1705" t="s">
        <v>3391</v>
      </c>
      <c r="P1705">
        <v>1123.1279999999999</v>
      </c>
      <c r="Q1705">
        <v>9</v>
      </c>
      <c r="R1705">
        <v>70.195499999999996</v>
      </c>
      <c r="S1705" s="3" t="s">
        <v>107</v>
      </c>
      <c r="T1705">
        <v>2017</v>
      </c>
      <c r="U1705" t="s">
        <v>527</v>
      </c>
      <c r="V1705" s="2">
        <v>6.25E-2</v>
      </c>
    </row>
    <row r="1706" spans="1:22" x14ac:dyDescent="0.25">
      <c r="A1706" t="s">
        <v>3989</v>
      </c>
      <c r="B1706" s="1">
        <v>42392</v>
      </c>
      <c r="C1706" s="1">
        <v>42396</v>
      </c>
      <c r="D1706" t="s">
        <v>23</v>
      </c>
      <c r="E1706" t="s">
        <v>3105</v>
      </c>
      <c r="F1706" t="s">
        <v>3106</v>
      </c>
      <c r="G1706" t="s">
        <v>59</v>
      </c>
      <c r="H1706" t="s">
        <v>27</v>
      </c>
      <c r="I1706" t="s">
        <v>680</v>
      </c>
      <c r="J1706" t="s">
        <v>1655</v>
      </c>
      <c r="K1706" t="s">
        <v>95</v>
      </c>
      <c r="L1706" t="s">
        <v>1413</v>
      </c>
      <c r="M1706" t="s">
        <v>32</v>
      </c>
      <c r="N1706" t="s">
        <v>51</v>
      </c>
      <c r="O1706" t="s">
        <v>1414</v>
      </c>
      <c r="P1706">
        <v>99.98</v>
      </c>
      <c r="Q1706">
        <v>2</v>
      </c>
      <c r="R1706">
        <v>42.991399999999999</v>
      </c>
      <c r="S1706" s="3" t="s">
        <v>53</v>
      </c>
      <c r="T1706">
        <v>2016</v>
      </c>
      <c r="U1706" t="s">
        <v>54</v>
      </c>
      <c r="V1706" s="2">
        <v>0.43</v>
      </c>
    </row>
    <row r="1707" spans="1:22" x14ac:dyDescent="0.25">
      <c r="A1707" t="s">
        <v>3990</v>
      </c>
      <c r="B1707" s="1">
        <v>42271</v>
      </c>
      <c r="C1707" s="1">
        <v>42276</v>
      </c>
      <c r="D1707" t="s">
        <v>40</v>
      </c>
      <c r="E1707" t="s">
        <v>114</v>
      </c>
      <c r="F1707" t="s">
        <v>115</v>
      </c>
      <c r="G1707" t="s">
        <v>26</v>
      </c>
      <c r="H1707" t="s">
        <v>27</v>
      </c>
      <c r="I1707" t="s">
        <v>2736</v>
      </c>
      <c r="J1707" t="s">
        <v>123</v>
      </c>
      <c r="K1707" t="s">
        <v>30</v>
      </c>
      <c r="L1707" t="s">
        <v>234</v>
      </c>
      <c r="M1707" t="s">
        <v>32</v>
      </c>
      <c r="N1707" t="s">
        <v>51</v>
      </c>
      <c r="O1707" t="s">
        <v>235</v>
      </c>
      <c r="P1707">
        <v>23.2</v>
      </c>
      <c r="Q1707">
        <v>2</v>
      </c>
      <c r="R1707">
        <v>1.45</v>
      </c>
      <c r="S1707" s="3" t="s">
        <v>35</v>
      </c>
      <c r="T1707">
        <v>2015</v>
      </c>
      <c r="U1707" t="s">
        <v>81</v>
      </c>
      <c r="V1707" s="2">
        <v>6.25E-2</v>
      </c>
    </row>
    <row r="1708" spans="1:22" x14ac:dyDescent="0.25">
      <c r="A1708" t="s">
        <v>3991</v>
      </c>
      <c r="B1708" s="1">
        <v>41855</v>
      </c>
      <c r="C1708" s="1">
        <v>41859</v>
      </c>
      <c r="D1708" t="s">
        <v>23</v>
      </c>
      <c r="E1708" t="s">
        <v>1288</v>
      </c>
      <c r="F1708" t="s">
        <v>1289</v>
      </c>
      <c r="G1708" t="s">
        <v>59</v>
      </c>
      <c r="H1708" t="s">
        <v>27</v>
      </c>
      <c r="I1708" t="s">
        <v>1663</v>
      </c>
      <c r="J1708" t="s">
        <v>1664</v>
      </c>
      <c r="K1708" t="s">
        <v>95</v>
      </c>
      <c r="L1708" t="s">
        <v>876</v>
      </c>
      <c r="M1708" t="s">
        <v>32</v>
      </c>
      <c r="N1708" t="s">
        <v>51</v>
      </c>
      <c r="O1708" t="s">
        <v>877</v>
      </c>
      <c r="P1708">
        <v>255.42</v>
      </c>
      <c r="Q1708">
        <v>9</v>
      </c>
      <c r="R1708">
        <v>104.7222</v>
      </c>
      <c r="S1708" s="3" t="s">
        <v>53</v>
      </c>
      <c r="T1708">
        <v>2014</v>
      </c>
      <c r="U1708" t="s">
        <v>46</v>
      </c>
      <c r="V1708" s="2">
        <v>0.41</v>
      </c>
    </row>
    <row r="1709" spans="1:22" x14ac:dyDescent="0.25">
      <c r="A1709" t="s">
        <v>3992</v>
      </c>
      <c r="B1709" s="1">
        <v>42163</v>
      </c>
      <c r="C1709" s="1">
        <v>42167</v>
      </c>
      <c r="D1709" t="s">
        <v>23</v>
      </c>
      <c r="E1709" t="s">
        <v>3993</v>
      </c>
      <c r="F1709" t="s">
        <v>3994</v>
      </c>
      <c r="G1709" t="s">
        <v>26</v>
      </c>
      <c r="H1709" t="s">
        <v>27</v>
      </c>
      <c r="I1709" t="s">
        <v>140</v>
      </c>
      <c r="J1709" t="s">
        <v>78</v>
      </c>
      <c r="K1709" t="s">
        <v>62</v>
      </c>
      <c r="L1709" t="s">
        <v>1965</v>
      </c>
      <c r="M1709" t="s">
        <v>32</v>
      </c>
      <c r="N1709" t="s">
        <v>51</v>
      </c>
      <c r="O1709" t="s">
        <v>1966</v>
      </c>
      <c r="P1709">
        <v>2.3759999999999999</v>
      </c>
      <c r="Q1709">
        <v>3</v>
      </c>
      <c r="R1709">
        <v>0.74250000000000005</v>
      </c>
      <c r="S1709" s="3" t="s">
        <v>53</v>
      </c>
      <c r="T1709">
        <v>2015</v>
      </c>
      <c r="U1709" t="s">
        <v>36</v>
      </c>
      <c r="V1709" s="2">
        <v>0.3125</v>
      </c>
    </row>
    <row r="1710" spans="1:22" x14ac:dyDescent="0.25">
      <c r="A1710" t="s">
        <v>3995</v>
      </c>
      <c r="B1710" s="1">
        <v>42545</v>
      </c>
      <c r="C1710" s="1">
        <v>42547</v>
      </c>
      <c r="D1710" t="s">
        <v>40</v>
      </c>
      <c r="E1710" t="s">
        <v>3077</v>
      </c>
      <c r="F1710" t="s">
        <v>3078</v>
      </c>
      <c r="G1710" t="s">
        <v>26</v>
      </c>
      <c r="H1710" t="s">
        <v>27</v>
      </c>
      <c r="I1710" t="s">
        <v>300</v>
      </c>
      <c r="J1710" t="s">
        <v>29</v>
      </c>
      <c r="K1710" t="s">
        <v>30</v>
      </c>
      <c r="L1710" t="s">
        <v>3681</v>
      </c>
      <c r="M1710" t="s">
        <v>32</v>
      </c>
      <c r="N1710" t="s">
        <v>215</v>
      </c>
      <c r="O1710" t="s">
        <v>3682</v>
      </c>
      <c r="P1710">
        <v>4476.8</v>
      </c>
      <c r="Q1710">
        <v>4</v>
      </c>
      <c r="R1710">
        <v>503.64</v>
      </c>
      <c r="S1710" s="3" t="s">
        <v>65</v>
      </c>
      <c r="T1710">
        <v>2016</v>
      </c>
      <c r="U1710" t="s">
        <v>36</v>
      </c>
      <c r="V1710" s="2">
        <v>0.1125</v>
      </c>
    </row>
    <row r="1711" spans="1:22" x14ac:dyDescent="0.25">
      <c r="A1711" t="s">
        <v>3996</v>
      </c>
      <c r="B1711" s="1">
        <v>42898</v>
      </c>
      <c r="C1711" s="1">
        <v>42900</v>
      </c>
      <c r="D1711" t="s">
        <v>40</v>
      </c>
      <c r="E1711" t="s">
        <v>3173</v>
      </c>
      <c r="F1711" t="s">
        <v>3174</v>
      </c>
      <c r="G1711" t="s">
        <v>26</v>
      </c>
      <c r="H1711" t="s">
        <v>27</v>
      </c>
      <c r="I1711" t="s">
        <v>1300</v>
      </c>
      <c r="J1711" t="s">
        <v>426</v>
      </c>
      <c r="K1711" t="s">
        <v>30</v>
      </c>
      <c r="L1711" t="s">
        <v>1202</v>
      </c>
      <c r="M1711" t="s">
        <v>32</v>
      </c>
      <c r="N1711" t="s">
        <v>33</v>
      </c>
      <c r="O1711" t="s">
        <v>1203</v>
      </c>
      <c r="P1711">
        <v>71.975999999999999</v>
      </c>
      <c r="Q1711">
        <v>3</v>
      </c>
      <c r="R1711">
        <v>8.9969999999999999</v>
      </c>
      <c r="S1711" s="3" t="s">
        <v>65</v>
      </c>
      <c r="T1711">
        <v>2017</v>
      </c>
      <c r="U1711" t="s">
        <v>36</v>
      </c>
      <c r="V1711" s="2">
        <v>0.125</v>
      </c>
    </row>
    <row r="1712" spans="1:22" x14ac:dyDescent="0.25">
      <c r="A1712" t="s">
        <v>3997</v>
      </c>
      <c r="B1712" s="1">
        <v>42688</v>
      </c>
      <c r="C1712" s="1">
        <v>42692</v>
      </c>
      <c r="D1712" t="s">
        <v>23</v>
      </c>
      <c r="E1712" t="s">
        <v>3998</v>
      </c>
      <c r="F1712" t="s">
        <v>3999</v>
      </c>
      <c r="G1712" t="s">
        <v>26</v>
      </c>
      <c r="H1712" t="s">
        <v>27</v>
      </c>
      <c r="I1712" t="s">
        <v>103</v>
      </c>
      <c r="J1712" t="s">
        <v>104</v>
      </c>
      <c r="K1712" t="s">
        <v>95</v>
      </c>
      <c r="L1712" t="s">
        <v>2793</v>
      </c>
      <c r="M1712" t="s">
        <v>32</v>
      </c>
      <c r="N1712" t="s">
        <v>33</v>
      </c>
      <c r="O1712" t="s">
        <v>2794</v>
      </c>
      <c r="P1712">
        <v>13.98</v>
      </c>
      <c r="Q1712">
        <v>2</v>
      </c>
      <c r="R1712">
        <v>3.9144000000000001</v>
      </c>
      <c r="S1712" s="3" t="s">
        <v>53</v>
      </c>
      <c r="T1712">
        <v>2016</v>
      </c>
      <c r="U1712" t="s">
        <v>118</v>
      </c>
      <c r="V1712" s="2">
        <v>0.28000000000000003</v>
      </c>
    </row>
    <row r="1713" spans="1:22" x14ac:dyDescent="0.25">
      <c r="A1713" t="s">
        <v>4000</v>
      </c>
      <c r="B1713" s="1">
        <v>42954</v>
      </c>
      <c r="C1713" s="1">
        <v>42958</v>
      </c>
      <c r="D1713" t="s">
        <v>23</v>
      </c>
      <c r="E1713" t="s">
        <v>4001</v>
      </c>
      <c r="F1713" t="s">
        <v>4002</v>
      </c>
      <c r="G1713" t="s">
        <v>26</v>
      </c>
      <c r="H1713" t="s">
        <v>27</v>
      </c>
      <c r="I1713" t="s">
        <v>1222</v>
      </c>
      <c r="J1713" t="s">
        <v>29</v>
      </c>
      <c r="K1713" t="s">
        <v>30</v>
      </c>
      <c r="L1713" t="s">
        <v>2228</v>
      </c>
      <c r="M1713" t="s">
        <v>32</v>
      </c>
      <c r="N1713" t="s">
        <v>33</v>
      </c>
      <c r="O1713" t="s">
        <v>2229</v>
      </c>
      <c r="P1713">
        <v>707.88</v>
      </c>
      <c r="Q1713">
        <v>3</v>
      </c>
      <c r="R1713">
        <v>44.2425</v>
      </c>
      <c r="S1713" s="3" t="s">
        <v>53</v>
      </c>
      <c r="T1713">
        <v>2017</v>
      </c>
      <c r="U1713" t="s">
        <v>46</v>
      </c>
      <c r="V1713" s="2">
        <v>6.25E-2</v>
      </c>
    </row>
    <row r="1714" spans="1:22" x14ac:dyDescent="0.25">
      <c r="A1714" t="s">
        <v>4000</v>
      </c>
      <c r="B1714" s="1">
        <v>42954</v>
      </c>
      <c r="C1714" s="1">
        <v>42958</v>
      </c>
      <c r="D1714" t="s">
        <v>23</v>
      </c>
      <c r="E1714" t="s">
        <v>4001</v>
      </c>
      <c r="F1714" t="s">
        <v>4002</v>
      </c>
      <c r="G1714" t="s">
        <v>26</v>
      </c>
      <c r="H1714" t="s">
        <v>27</v>
      </c>
      <c r="I1714" t="s">
        <v>1222</v>
      </c>
      <c r="J1714" t="s">
        <v>29</v>
      </c>
      <c r="K1714" t="s">
        <v>30</v>
      </c>
      <c r="L1714" t="s">
        <v>3157</v>
      </c>
      <c r="M1714" t="s">
        <v>32</v>
      </c>
      <c r="N1714" t="s">
        <v>51</v>
      </c>
      <c r="O1714" t="s">
        <v>3158</v>
      </c>
      <c r="P1714">
        <v>55.76</v>
      </c>
      <c r="Q1714">
        <v>4</v>
      </c>
      <c r="R1714">
        <v>7.8064</v>
      </c>
      <c r="S1714" s="3" t="s">
        <v>53</v>
      </c>
      <c r="T1714">
        <v>2017</v>
      </c>
      <c r="U1714" t="s">
        <v>46</v>
      </c>
      <c r="V1714" s="2">
        <v>0.14000000000000001</v>
      </c>
    </row>
    <row r="1715" spans="1:22" x14ac:dyDescent="0.25">
      <c r="A1715" t="s">
        <v>4003</v>
      </c>
      <c r="B1715" s="1">
        <v>42237</v>
      </c>
      <c r="C1715" s="1">
        <v>42241</v>
      </c>
      <c r="D1715" t="s">
        <v>23</v>
      </c>
      <c r="E1715" t="s">
        <v>1900</v>
      </c>
      <c r="F1715" t="s">
        <v>1901</v>
      </c>
      <c r="G1715" t="s">
        <v>70</v>
      </c>
      <c r="H1715" t="s">
        <v>27</v>
      </c>
      <c r="I1715" t="s">
        <v>4004</v>
      </c>
      <c r="J1715" t="s">
        <v>207</v>
      </c>
      <c r="K1715" t="s">
        <v>95</v>
      </c>
      <c r="L1715" t="s">
        <v>309</v>
      </c>
      <c r="M1715" t="s">
        <v>32</v>
      </c>
      <c r="N1715" t="s">
        <v>51</v>
      </c>
      <c r="O1715" t="s">
        <v>310</v>
      </c>
      <c r="P1715">
        <v>21.728000000000002</v>
      </c>
      <c r="Q1715">
        <v>4</v>
      </c>
      <c r="R1715">
        <v>3.8024</v>
      </c>
      <c r="S1715" s="3" t="s">
        <v>53</v>
      </c>
      <c r="T1715">
        <v>2015</v>
      </c>
      <c r="U1715" t="s">
        <v>46</v>
      </c>
      <c r="V1715" s="2">
        <v>0.17499999999999999</v>
      </c>
    </row>
    <row r="1716" spans="1:22" x14ac:dyDescent="0.25">
      <c r="A1716" t="s">
        <v>4005</v>
      </c>
      <c r="B1716" s="1">
        <v>42310</v>
      </c>
      <c r="C1716" s="1">
        <v>42315</v>
      </c>
      <c r="D1716" t="s">
        <v>23</v>
      </c>
      <c r="E1716" t="s">
        <v>4006</v>
      </c>
      <c r="F1716" t="s">
        <v>4007</v>
      </c>
      <c r="G1716" t="s">
        <v>59</v>
      </c>
      <c r="H1716" t="s">
        <v>27</v>
      </c>
      <c r="I1716" t="s">
        <v>213</v>
      </c>
      <c r="J1716" t="s">
        <v>61</v>
      </c>
      <c r="K1716" t="s">
        <v>62</v>
      </c>
      <c r="L1716" t="s">
        <v>1060</v>
      </c>
      <c r="M1716" t="s">
        <v>32</v>
      </c>
      <c r="N1716" t="s">
        <v>33</v>
      </c>
      <c r="O1716" t="s">
        <v>2090</v>
      </c>
      <c r="P1716">
        <v>344.70400000000001</v>
      </c>
      <c r="Q1716">
        <v>2</v>
      </c>
      <c r="R1716">
        <v>38.779200000000003</v>
      </c>
      <c r="S1716" s="3" t="s">
        <v>35</v>
      </c>
      <c r="T1716">
        <v>2015</v>
      </c>
      <c r="U1716" t="s">
        <v>118</v>
      </c>
      <c r="V1716" s="2">
        <v>0.1125</v>
      </c>
    </row>
    <row r="1717" spans="1:22" x14ac:dyDescent="0.25">
      <c r="A1717" t="s">
        <v>4008</v>
      </c>
      <c r="B1717" s="1">
        <v>41973</v>
      </c>
      <c r="C1717" s="1">
        <v>41979</v>
      </c>
      <c r="D1717" t="s">
        <v>23</v>
      </c>
      <c r="E1717" t="s">
        <v>4009</v>
      </c>
      <c r="F1717" t="s">
        <v>4010</v>
      </c>
      <c r="G1717" t="s">
        <v>26</v>
      </c>
      <c r="H1717" t="s">
        <v>27</v>
      </c>
      <c r="I1717" t="s">
        <v>2736</v>
      </c>
      <c r="J1717" t="s">
        <v>123</v>
      </c>
      <c r="K1717" t="s">
        <v>30</v>
      </c>
      <c r="L1717" t="s">
        <v>1807</v>
      </c>
      <c r="M1717" t="s">
        <v>32</v>
      </c>
      <c r="N1717" t="s">
        <v>51</v>
      </c>
      <c r="O1717" t="s">
        <v>2326</v>
      </c>
      <c r="P1717">
        <v>102.24</v>
      </c>
      <c r="Q1717">
        <v>4</v>
      </c>
      <c r="R1717">
        <v>-16.614000000000001</v>
      </c>
      <c r="S1717" s="3" t="s">
        <v>107</v>
      </c>
      <c r="T1717">
        <v>2014</v>
      </c>
      <c r="U1717" t="s">
        <v>118</v>
      </c>
      <c r="V1717" s="2">
        <v>-0.16250000000000001</v>
      </c>
    </row>
    <row r="1718" spans="1:22" x14ac:dyDescent="0.25">
      <c r="A1718" t="s">
        <v>4011</v>
      </c>
      <c r="B1718" s="1">
        <v>41769</v>
      </c>
      <c r="C1718" s="1">
        <v>41774</v>
      </c>
      <c r="D1718" t="s">
        <v>23</v>
      </c>
      <c r="E1718" t="s">
        <v>1495</v>
      </c>
      <c r="F1718" t="s">
        <v>1496</v>
      </c>
      <c r="G1718" t="s">
        <v>26</v>
      </c>
      <c r="H1718" t="s">
        <v>27</v>
      </c>
      <c r="I1718" t="s">
        <v>3478</v>
      </c>
      <c r="J1718" t="s">
        <v>29</v>
      </c>
      <c r="K1718" t="s">
        <v>30</v>
      </c>
      <c r="L1718" t="s">
        <v>1385</v>
      </c>
      <c r="M1718" t="s">
        <v>32</v>
      </c>
      <c r="N1718" t="s">
        <v>33</v>
      </c>
      <c r="O1718" t="s">
        <v>1386</v>
      </c>
      <c r="P1718">
        <v>1432</v>
      </c>
      <c r="Q1718">
        <v>5</v>
      </c>
      <c r="R1718">
        <v>125.3</v>
      </c>
      <c r="S1718" s="3" t="s">
        <v>35</v>
      </c>
      <c r="T1718">
        <v>2014</v>
      </c>
      <c r="U1718" t="s">
        <v>527</v>
      </c>
      <c r="V1718" s="2">
        <v>8.7499999999999994E-2</v>
      </c>
    </row>
    <row r="1719" spans="1:22" x14ac:dyDescent="0.25">
      <c r="A1719" t="s">
        <v>4012</v>
      </c>
      <c r="B1719" s="1">
        <v>42950</v>
      </c>
      <c r="C1719" s="1">
        <v>42954</v>
      </c>
      <c r="D1719" t="s">
        <v>23</v>
      </c>
      <c r="E1719" t="s">
        <v>2458</v>
      </c>
      <c r="F1719" t="s">
        <v>2459</v>
      </c>
      <c r="G1719" t="s">
        <v>26</v>
      </c>
      <c r="H1719" t="s">
        <v>27</v>
      </c>
      <c r="I1719" t="s">
        <v>2434</v>
      </c>
      <c r="J1719" t="s">
        <v>78</v>
      </c>
      <c r="K1719" t="s">
        <v>62</v>
      </c>
      <c r="L1719" t="s">
        <v>1771</v>
      </c>
      <c r="M1719" t="s">
        <v>32</v>
      </c>
      <c r="N1719" t="s">
        <v>51</v>
      </c>
      <c r="O1719" t="s">
        <v>1772</v>
      </c>
      <c r="P1719">
        <v>39.816000000000003</v>
      </c>
      <c r="Q1719">
        <v>3</v>
      </c>
      <c r="R1719">
        <v>7.4654999999999996</v>
      </c>
      <c r="S1719" s="3" t="s">
        <v>53</v>
      </c>
      <c r="T1719">
        <v>2017</v>
      </c>
      <c r="U1719" t="s">
        <v>46</v>
      </c>
      <c r="V1719" s="2">
        <v>0.1875</v>
      </c>
    </row>
    <row r="1720" spans="1:22" x14ac:dyDescent="0.25">
      <c r="A1720" t="s">
        <v>4013</v>
      </c>
      <c r="B1720" s="1">
        <v>42615</v>
      </c>
      <c r="C1720" s="1">
        <v>42619</v>
      </c>
      <c r="D1720" t="s">
        <v>23</v>
      </c>
      <c r="E1720" t="s">
        <v>602</v>
      </c>
      <c r="F1720" t="s">
        <v>603</v>
      </c>
      <c r="G1720" t="s">
        <v>26</v>
      </c>
      <c r="H1720" t="s">
        <v>27</v>
      </c>
      <c r="I1720" t="s">
        <v>28</v>
      </c>
      <c r="J1720" t="s">
        <v>29</v>
      </c>
      <c r="K1720" t="s">
        <v>30</v>
      </c>
      <c r="L1720" t="s">
        <v>765</v>
      </c>
      <c r="M1720" t="s">
        <v>32</v>
      </c>
      <c r="N1720" t="s">
        <v>33</v>
      </c>
      <c r="O1720" t="s">
        <v>766</v>
      </c>
      <c r="P1720">
        <v>1091.1679999999999</v>
      </c>
      <c r="Q1720">
        <v>4</v>
      </c>
      <c r="R1720">
        <v>68.197999999999993</v>
      </c>
      <c r="S1720" s="3" t="s">
        <v>53</v>
      </c>
      <c r="T1720">
        <v>2016</v>
      </c>
      <c r="U1720" t="s">
        <v>81</v>
      </c>
      <c r="V1720" s="2">
        <v>6.25E-2</v>
      </c>
    </row>
    <row r="1721" spans="1:22" x14ac:dyDescent="0.25">
      <c r="A1721" t="s">
        <v>4014</v>
      </c>
      <c r="B1721" s="1">
        <v>42684</v>
      </c>
      <c r="C1721" s="1">
        <v>42688</v>
      </c>
      <c r="D1721" t="s">
        <v>23</v>
      </c>
      <c r="E1721" t="s">
        <v>4015</v>
      </c>
      <c r="F1721" t="s">
        <v>4016</v>
      </c>
      <c r="G1721" t="s">
        <v>26</v>
      </c>
      <c r="H1721" t="s">
        <v>27</v>
      </c>
      <c r="I1721" t="s">
        <v>103</v>
      </c>
      <c r="J1721" t="s">
        <v>104</v>
      </c>
      <c r="K1721" t="s">
        <v>95</v>
      </c>
      <c r="L1721" t="s">
        <v>1933</v>
      </c>
      <c r="M1721" t="s">
        <v>32</v>
      </c>
      <c r="N1721" t="s">
        <v>33</v>
      </c>
      <c r="O1721" t="s">
        <v>1934</v>
      </c>
      <c r="P1721">
        <v>881.93</v>
      </c>
      <c r="Q1721">
        <v>7</v>
      </c>
      <c r="R1721">
        <v>220.48249999999999</v>
      </c>
      <c r="S1721" s="3" t="s">
        <v>53</v>
      </c>
      <c r="T1721">
        <v>2016</v>
      </c>
      <c r="U1721" t="s">
        <v>118</v>
      </c>
      <c r="V1721" s="2">
        <v>0.25</v>
      </c>
    </row>
    <row r="1722" spans="1:22" x14ac:dyDescent="0.25">
      <c r="A1722" t="s">
        <v>4017</v>
      </c>
      <c r="B1722" s="1">
        <v>43001</v>
      </c>
      <c r="C1722" s="1">
        <v>43003</v>
      </c>
      <c r="D1722" t="s">
        <v>40</v>
      </c>
      <c r="E1722" t="s">
        <v>3080</v>
      </c>
      <c r="F1722" t="s">
        <v>3081</v>
      </c>
      <c r="G1722" t="s">
        <v>26</v>
      </c>
      <c r="H1722" t="s">
        <v>27</v>
      </c>
      <c r="I1722" t="s">
        <v>4018</v>
      </c>
      <c r="J1722" t="s">
        <v>1011</v>
      </c>
      <c r="K1722" t="s">
        <v>155</v>
      </c>
      <c r="L1722" t="s">
        <v>1568</v>
      </c>
      <c r="M1722" t="s">
        <v>32</v>
      </c>
      <c r="N1722" t="s">
        <v>51</v>
      </c>
      <c r="O1722" t="s">
        <v>1569</v>
      </c>
      <c r="P1722">
        <v>199.95</v>
      </c>
      <c r="Q1722">
        <v>5</v>
      </c>
      <c r="R1722">
        <v>63.984000000000002</v>
      </c>
      <c r="S1722" s="3" t="s">
        <v>65</v>
      </c>
      <c r="T1722">
        <v>2017</v>
      </c>
      <c r="U1722" t="s">
        <v>81</v>
      </c>
      <c r="V1722" s="2">
        <v>0.32</v>
      </c>
    </row>
    <row r="1723" spans="1:22" x14ac:dyDescent="0.25">
      <c r="A1723" t="s">
        <v>4019</v>
      </c>
      <c r="B1723" s="1">
        <v>42502</v>
      </c>
      <c r="C1723" s="1">
        <v>42507</v>
      </c>
      <c r="D1723" t="s">
        <v>23</v>
      </c>
      <c r="E1723" t="s">
        <v>1146</v>
      </c>
      <c r="F1723" t="s">
        <v>1147</v>
      </c>
      <c r="G1723" t="s">
        <v>59</v>
      </c>
      <c r="H1723" t="s">
        <v>27</v>
      </c>
      <c r="I1723" t="s">
        <v>103</v>
      </c>
      <c r="J1723" t="s">
        <v>104</v>
      </c>
      <c r="K1723" t="s">
        <v>95</v>
      </c>
      <c r="L1723" t="s">
        <v>1781</v>
      </c>
      <c r="M1723" t="s">
        <v>32</v>
      </c>
      <c r="N1723" t="s">
        <v>33</v>
      </c>
      <c r="O1723" t="s">
        <v>1782</v>
      </c>
      <c r="P1723">
        <v>631.96</v>
      </c>
      <c r="Q1723">
        <v>4</v>
      </c>
      <c r="R1723">
        <v>303.3408</v>
      </c>
      <c r="S1723" s="3" t="s">
        <v>35</v>
      </c>
      <c r="T1723">
        <v>2016</v>
      </c>
      <c r="U1723" t="s">
        <v>527</v>
      </c>
      <c r="V1723" s="2">
        <v>0.48</v>
      </c>
    </row>
    <row r="1724" spans="1:22" x14ac:dyDescent="0.25">
      <c r="A1724" t="s">
        <v>4020</v>
      </c>
      <c r="B1724" s="1">
        <v>42516</v>
      </c>
      <c r="C1724" s="1">
        <v>42519</v>
      </c>
      <c r="D1724" t="s">
        <v>40</v>
      </c>
      <c r="E1724" t="s">
        <v>1913</v>
      </c>
      <c r="F1724" t="s">
        <v>1914</v>
      </c>
      <c r="G1724" t="s">
        <v>59</v>
      </c>
      <c r="H1724" t="s">
        <v>27</v>
      </c>
      <c r="I1724" t="s">
        <v>4021</v>
      </c>
      <c r="J1724" t="s">
        <v>288</v>
      </c>
      <c r="K1724" t="s">
        <v>155</v>
      </c>
      <c r="L1724" t="s">
        <v>636</v>
      </c>
      <c r="M1724" t="s">
        <v>32</v>
      </c>
      <c r="N1724" t="s">
        <v>51</v>
      </c>
      <c r="O1724" t="s">
        <v>637</v>
      </c>
      <c r="P1724">
        <v>47.92</v>
      </c>
      <c r="Q1724">
        <v>2</v>
      </c>
      <c r="R1724">
        <v>11.98</v>
      </c>
      <c r="S1724" s="3" t="s">
        <v>172</v>
      </c>
      <c r="T1724">
        <v>2016</v>
      </c>
      <c r="U1724" t="s">
        <v>527</v>
      </c>
      <c r="V1724" s="2">
        <v>0.25</v>
      </c>
    </row>
    <row r="1725" spans="1:22" x14ac:dyDescent="0.25">
      <c r="A1725" t="s">
        <v>4022</v>
      </c>
      <c r="B1725" s="1">
        <v>42112</v>
      </c>
      <c r="C1725" s="1">
        <v>42116</v>
      </c>
      <c r="D1725" t="s">
        <v>40</v>
      </c>
      <c r="E1725" t="s">
        <v>1718</v>
      </c>
      <c r="F1725" t="s">
        <v>1719</v>
      </c>
      <c r="G1725" t="s">
        <v>59</v>
      </c>
      <c r="H1725" t="s">
        <v>27</v>
      </c>
      <c r="I1725" t="s">
        <v>3148</v>
      </c>
      <c r="J1725" t="s">
        <v>61</v>
      </c>
      <c r="K1725" t="s">
        <v>62</v>
      </c>
      <c r="L1725" t="s">
        <v>1379</v>
      </c>
      <c r="M1725" t="s">
        <v>32</v>
      </c>
      <c r="N1725" t="s">
        <v>51</v>
      </c>
      <c r="O1725" t="s">
        <v>1380</v>
      </c>
      <c r="P1725">
        <v>41.423999999999999</v>
      </c>
      <c r="Q1725">
        <v>2</v>
      </c>
      <c r="R1725">
        <v>8.2848000000000006</v>
      </c>
      <c r="S1725" s="3" t="s">
        <v>53</v>
      </c>
      <c r="T1725">
        <v>2015</v>
      </c>
      <c r="U1725" t="s">
        <v>291</v>
      </c>
      <c r="V1725" s="2">
        <v>0.2</v>
      </c>
    </row>
    <row r="1726" spans="1:22" x14ac:dyDescent="0.25">
      <c r="A1726" t="s">
        <v>4022</v>
      </c>
      <c r="B1726" s="1">
        <v>42112</v>
      </c>
      <c r="C1726" s="1">
        <v>42116</v>
      </c>
      <c r="D1726" t="s">
        <v>40</v>
      </c>
      <c r="E1726" t="s">
        <v>1718</v>
      </c>
      <c r="F1726" t="s">
        <v>1719</v>
      </c>
      <c r="G1726" t="s">
        <v>59</v>
      </c>
      <c r="H1726" t="s">
        <v>27</v>
      </c>
      <c r="I1726" t="s">
        <v>3148</v>
      </c>
      <c r="J1726" t="s">
        <v>61</v>
      </c>
      <c r="K1726" t="s">
        <v>62</v>
      </c>
      <c r="L1726" t="s">
        <v>1328</v>
      </c>
      <c r="M1726" t="s">
        <v>32</v>
      </c>
      <c r="N1726" t="s">
        <v>33</v>
      </c>
      <c r="O1726" t="s">
        <v>1329</v>
      </c>
      <c r="P1726">
        <v>244.768</v>
      </c>
      <c r="Q1726">
        <v>4</v>
      </c>
      <c r="R1726">
        <v>24.476800000000001</v>
      </c>
      <c r="S1726" s="3" t="s">
        <v>53</v>
      </c>
      <c r="T1726">
        <v>2015</v>
      </c>
      <c r="U1726" t="s">
        <v>291</v>
      </c>
      <c r="V1726" s="2">
        <v>0.1</v>
      </c>
    </row>
    <row r="1727" spans="1:22" x14ac:dyDescent="0.25">
      <c r="A1727" t="s">
        <v>4022</v>
      </c>
      <c r="B1727" s="1">
        <v>42112</v>
      </c>
      <c r="C1727" s="1">
        <v>42116</v>
      </c>
      <c r="D1727" t="s">
        <v>40</v>
      </c>
      <c r="E1727" t="s">
        <v>1718</v>
      </c>
      <c r="F1727" t="s">
        <v>1719</v>
      </c>
      <c r="G1727" t="s">
        <v>59</v>
      </c>
      <c r="H1727" t="s">
        <v>27</v>
      </c>
      <c r="I1727" t="s">
        <v>3148</v>
      </c>
      <c r="J1727" t="s">
        <v>61</v>
      </c>
      <c r="K1727" t="s">
        <v>62</v>
      </c>
      <c r="L1727" t="s">
        <v>2996</v>
      </c>
      <c r="M1727" t="s">
        <v>32</v>
      </c>
      <c r="N1727" t="s">
        <v>33</v>
      </c>
      <c r="O1727" t="s">
        <v>2997</v>
      </c>
      <c r="P1727">
        <v>97.968000000000004</v>
      </c>
      <c r="Q1727">
        <v>2</v>
      </c>
      <c r="R1727">
        <v>6.1230000000000002</v>
      </c>
      <c r="S1727" s="3" t="s">
        <v>53</v>
      </c>
      <c r="T1727">
        <v>2015</v>
      </c>
      <c r="U1727" t="s">
        <v>291</v>
      </c>
      <c r="V1727" s="2">
        <v>6.25E-2</v>
      </c>
    </row>
    <row r="1728" spans="1:22" x14ac:dyDescent="0.25">
      <c r="A1728" t="s">
        <v>4023</v>
      </c>
      <c r="B1728" s="1">
        <v>41723</v>
      </c>
      <c r="C1728" s="1">
        <v>41728</v>
      </c>
      <c r="D1728" t="s">
        <v>23</v>
      </c>
      <c r="E1728" t="s">
        <v>1373</v>
      </c>
      <c r="F1728" t="s">
        <v>1374</v>
      </c>
      <c r="G1728" t="s">
        <v>26</v>
      </c>
      <c r="H1728" t="s">
        <v>27</v>
      </c>
      <c r="I1728" t="s">
        <v>43</v>
      </c>
      <c r="J1728" t="s">
        <v>29</v>
      </c>
      <c r="K1728" t="s">
        <v>30</v>
      </c>
      <c r="L1728" t="s">
        <v>2333</v>
      </c>
      <c r="M1728" t="s">
        <v>32</v>
      </c>
      <c r="N1728" t="s">
        <v>51</v>
      </c>
      <c r="O1728" t="s">
        <v>2334</v>
      </c>
      <c r="P1728">
        <v>45.48</v>
      </c>
      <c r="Q1728">
        <v>4</v>
      </c>
      <c r="R1728">
        <v>15.917999999999999</v>
      </c>
      <c r="S1728" s="3" t="s">
        <v>35</v>
      </c>
      <c r="T1728">
        <v>2014</v>
      </c>
      <c r="U1728" t="s">
        <v>89</v>
      </c>
      <c r="V1728" s="2">
        <v>0.35</v>
      </c>
    </row>
    <row r="1729" spans="1:22" x14ac:dyDescent="0.25">
      <c r="A1729" t="s">
        <v>4024</v>
      </c>
      <c r="B1729" s="1">
        <v>42465</v>
      </c>
      <c r="C1729" s="1">
        <v>42469</v>
      </c>
      <c r="D1729" t="s">
        <v>23</v>
      </c>
      <c r="E1729" t="s">
        <v>4025</v>
      </c>
      <c r="F1729" t="s">
        <v>4026</v>
      </c>
      <c r="G1729" t="s">
        <v>26</v>
      </c>
      <c r="H1729" t="s">
        <v>27</v>
      </c>
      <c r="I1729" t="s">
        <v>206</v>
      </c>
      <c r="J1729" t="s">
        <v>207</v>
      </c>
      <c r="K1729" t="s">
        <v>95</v>
      </c>
      <c r="L1729" t="s">
        <v>1726</v>
      </c>
      <c r="M1729" t="s">
        <v>32</v>
      </c>
      <c r="N1729" t="s">
        <v>33</v>
      </c>
      <c r="O1729" t="s">
        <v>1727</v>
      </c>
      <c r="P1729">
        <v>118.782</v>
      </c>
      <c r="Q1729">
        <v>3</v>
      </c>
      <c r="R1729">
        <v>-27.715800000000002</v>
      </c>
      <c r="S1729" s="3" t="s">
        <v>53</v>
      </c>
      <c r="T1729">
        <v>2016</v>
      </c>
      <c r="U1729" t="s">
        <v>291</v>
      </c>
      <c r="V1729" s="2">
        <v>-0.233333333333333</v>
      </c>
    </row>
    <row r="1730" spans="1:22" x14ac:dyDescent="0.25">
      <c r="A1730" t="s">
        <v>4027</v>
      </c>
      <c r="B1730" s="1">
        <v>42787</v>
      </c>
      <c r="C1730" s="1">
        <v>42792</v>
      </c>
      <c r="D1730" t="s">
        <v>23</v>
      </c>
      <c r="E1730" t="s">
        <v>3050</v>
      </c>
      <c r="F1730" t="s">
        <v>3051</v>
      </c>
      <c r="G1730" t="s">
        <v>26</v>
      </c>
      <c r="H1730" t="s">
        <v>27</v>
      </c>
      <c r="I1730" t="s">
        <v>1509</v>
      </c>
      <c r="J1730" t="s">
        <v>61</v>
      </c>
      <c r="K1730" t="s">
        <v>62</v>
      </c>
      <c r="L1730" t="s">
        <v>400</v>
      </c>
      <c r="M1730" t="s">
        <v>32</v>
      </c>
      <c r="N1730" t="s">
        <v>51</v>
      </c>
      <c r="O1730" t="s">
        <v>401</v>
      </c>
      <c r="P1730">
        <v>47.904000000000003</v>
      </c>
      <c r="Q1730">
        <v>1</v>
      </c>
      <c r="R1730">
        <v>-2.9940000000000002</v>
      </c>
      <c r="S1730" s="3" t="s">
        <v>35</v>
      </c>
      <c r="T1730">
        <v>2017</v>
      </c>
      <c r="U1730" t="s">
        <v>180</v>
      </c>
      <c r="V1730" s="2">
        <v>-6.25E-2</v>
      </c>
    </row>
    <row r="1731" spans="1:22" x14ac:dyDescent="0.25">
      <c r="A1731" t="s">
        <v>4028</v>
      </c>
      <c r="B1731" s="1">
        <v>42985</v>
      </c>
      <c r="C1731" s="1">
        <v>42988</v>
      </c>
      <c r="D1731" t="s">
        <v>56</v>
      </c>
      <c r="E1731" t="s">
        <v>1769</v>
      </c>
      <c r="F1731" t="s">
        <v>1770</v>
      </c>
      <c r="G1731" t="s">
        <v>26</v>
      </c>
      <c r="H1731" t="s">
        <v>27</v>
      </c>
      <c r="I1731" t="s">
        <v>783</v>
      </c>
      <c r="J1731" t="s">
        <v>426</v>
      </c>
      <c r="K1731" t="s">
        <v>30</v>
      </c>
      <c r="L1731" t="s">
        <v>37</v>
      </c>
      <c r="M1731" t="s">
        <v>32</v>
      </c>
      <c r="N1731" t="s">
        <v>33</v>
      </c>
      <c r="O1731" t="s">
        <v>38</v>
      </c>
      <c r="P1731">
        <v>455.71199999999999</v>
      </c>
      <c r="Q1731">
        <v>2</v>
      </c>
      <c r="R1731">
        <v>34.178400000000003</v>
      </c>
      <c r="S1731" s="3" t="s">
        <v>172</v>
      </c>
      <c r="T1731">
        <v>2017</v>
      </c>
      <c r="U1731" t="s">
        <v>81</v>
      </c>
      <c r="V1731" s="2">
        <v>7.4999999999999997E-2</v>
      </c>
    </row>
    <row r="1732" spans="1:22" x14ac:dyDescent="0.25">
      <c r="A1732" t="s">
        <v>4029</v>
      </c>
      <c r="B1732" s="1">
        <v>42642</v>
      </c>
      <c r="C1732" s="1">
        <v>42646</v>
      </c>
      <c r="D1732" t="s">
        <v>23</v>
      </c>
      <c r="E1732" t="s">
        <v>565</v>
      </c>
      <c r="F1732" t="s">
        <v>566</v>
      </c>
      <c r="G1732" t="s">
        <v>59</v>
      </c>
      <c r="H1732" t="s">
        <v>27</v>
      </c>
      <c r="I1732" t="s">
        <v>946</v>
      </c>
      <c r="J1732" t="s">
        <v>340</v>
      </c>
      <c r="K1732" t="s">
        <v>30</v>
      </c>
      <c r="L1732" t="s">
        <v>1385</v>
      </c>
      <c r="M1732" t="s">
        <v>32</v>
      </c>
      <c r="N1732" t="s">
        <v>33</v>
      </c>
      <c r="O1732" t="s">
        <v>1386</v>
      </c>
      <c r="P1732">
        <v>859.2</v>
      </c>
      <c r="Q1732">
        <v>3</v>
      </c>
      <c r="R1732">
        <v>75.180000000000007</v>
      </c>
      <c r="S1732" s="3" t="s">
        <v>53</v>
      </c>
      <c r="T1732">
        <v>2016</v>
      </c>
      <c r="U1732" t="s">
        <v>81</v>
      </c>
      <c r="V1732" s="2">
        <v>8.7499999999999994E-2</v>
      </c>
    </row>
    <row r="1733" spans="1:22" x14ac:dyDescent="0.25">
      <c r="A1733" t="s">
        <v>4030</v>
      </c>
      <c r="B1733" s="1">
        <v>41931</v>
      </c>
      <c r="C1733" s="1">
        <v>41934</v>
      </c>
      <c r="D1733" t="s">
        <v>40</v>
      </c>
      <c r="E1733" t="s">
        <v>4031</v>
      </c>
      <c r="F1733" t="s">
        <v>4032</v>
      </c>
      <c r="G1733" t="s">
        <v>59</v>
      </c>
      <c r="H1733" t="s">
        <v>27</v>
      </c>
      <c r="I1733" t="s">
        <v>43</v>
      </c>
      <c r="J1733" t="s">
        <v>29</v>
      </c>
      <c r="K1733" t="s">
        <v>30</v>
      </c>
      <c r="L1733" t="s">
        <v>2709</v>
      </c>
      <c r="M1733" t="s">
        <v>32</v>
      </c>
      <c r="N1733" t="s">
        <v>33</v>
      </c>
      <c r="O1733" t="s">
        <v>2710</v>
      </c>
      <c r="P1733">
        <v>117.57599999999999</v>
      </c>
      <c r="Q1733">
        <v>3</v>
      </c>
      <c r="R1733">
        <v>11.7576</v>
      </c>
      <c r="S1733" s="3" t="s">
        <v>172</v>
      </c>
      <c r="T1733">
        <v>2014</v>
      </c>
      <c r="U1733" t="s">
        <v>133</v>
      </c>
      <c r="V1733" s="2">
        <v>0.1</v>
      </c>
    </row>
    <row r="1734" spans="1:22" x14ac:dyDescent="0.25">
      <c r="A1734" t="s">
        <v>4033</v>
      </c>
      <c r="B1734" s="1">
        <v>42783</v>
      </c>
      <c r="C1734" s="1">
        <v>42786</v>
      </c>
      <c r="D1734" t="s">
        <v>56</v>
      </c>
      <c r="E1734" t="s">
        <v>4034</v>
      </c>
      <c r="F1734" t="s">
        <v>4035</v>
      </c>
      <c r="G1734" t="s">
        <v>70</v>
      </c>
      <c r="H1734" t="s">
        <v>27</v>
      </c>
      <c r="I1734" t="s">
        <v>111</v>
      </c>
      <c r="J1734" t="s">
        <v>177</v>
      </c>
      <c r="K1734" t="s">
        <v>95</v>
      </c>
      <c r="L1734" t="s">
        <v>2077</v>
      </c>
      <c r="M1734" t="s">
        <v>32</v>
      </c>
      <c r="N1734" t="s">
        <v>33</v>
      </c>
      <c r="O1734" t="s">
        <v>2078</v>
      </c>
      <c r="P1734">
        <v>57.594000000000001</v>
      </c>
      <c r="Q1734">
        <v>1</v>
      </c>
      <c r="R1734">
        <v>-11.518800000000001</v>
      </c>
      <c r="S1734" s="3" t="s">
        <v>172</v>
      </c>
      <c r="T1734">
        <v>2017</v>
      </c>
      <c r="U1734" t="s">
        <v>180</v>
      </c>
      <c r="V1734" s="2">
        <v>-0.2</v>
      </c>
    </row>
    <row r="1735" spans="1:22" x14ac:dyDescent="0.25">
      <c r="A1735" t="s">
        <v>4036</v>
      </c>
      <c r="B1735" s="1">
        <v>42862</v>
      </c>
      <c r="C1735" s="1">
        <v>42866</v>
      </c>
      <c r="D1735" t="s">
        <v>23</v>
      </c>
      <c r="E1735" t="s">
        <v>2192</v>
      </c>
      <c r="F1735" t="s">
        <v>2193</v>
      </c>
      <c r="G1735" t="s">
        <v>26</v>
      </c>
      <c r="H1735" t="s">
        <v>27</v>
      </c>
      <c r="I1735" t="s">
        <v>911</v>
      </c>
      <c r="J1735" t="s">
        <v>29</v>
      </c>
      <c r="K1735" t="s">
        <v>30</v>
      </c>
      <c r="L1735" t="s">
        <v>1121</v>
      </c>
      <c r="M1735" t="s">
        <v>32</v>
      </c>
      <c r="N1735" t="s">
        <v>33</v>
      </c>
      <c r="O1735" t="s">
        <v>1122</v>
      </c>
      <c r="P1735">
        <v>419.94400000000002</v>
      </c>
      <c r="Q1735">
        <v>7</v>
      </c>
      <c r="R1735">
        <v>52.493000000000002</v>
      </c>
      <c r="S1735" s="3" t="s">
        <v>53</v>
      </c>
      <c r="T1735">
        <v>2017</v>
      </c>
      <c r="U1735" t="s">
        <v>527</v>
      </c>
      <c r="V1735" s="2">
        <v>0.125</v>
      </c>
    </row>
    <row r="1736" spans="1:22" x14ac:dyDescent="0.25">
      <c r="A1736" t="s">
        <v>4037</v>
      </c>
      <c r="B1736" s="1">
        <v>42352</v>
      </c>
      <c r="C1736" s="1">
        <v>42357</v>
      </c>
      <c r="D1736" t="s">
        <v>40</v>
      </c>
      <c r="E1736" t="s">
        <v>3964</v>
      </c>
      <c r="F1736" t="s">
        <v>3965</v>
      </c>
      <c r="G1736" t="s">
        <v>26</v>
      </c>
      <c r="H1736" t="s">
        <v>27</v>
      </c>
      <c r="I1736" t="s">
        <v>28</v>
      </c>
      <c r="J1736" t="s">
        <v>29</v>
      </c>
      <c r="K1736" t="s">
        <v>30</v>
      </c>
      <c r="L1736" t="s">
        <v>1301</v>
      </c>
      <c r="M1736" t="s">
        <v>32</v>
      </c>
      <c r="N1736" t="s">
        <v>51</v>
      </c>
      <c r="O1736" t="s">
        <v>1302</v>
      </c>
      <c r="P1736">
        <v>50</v>
      </c>
      <c r="Q1736">
        <v>2</v>
      </c>
      <c r="R1736">
        <v>10.5</v>
      </c>
      <c r="S1736" s="3" t="s">
        <v>35</v>
      </c>
      <c r="T1736">
        <v>2015</v>
      </c>
      <c r="U1736" t="s">
        <v>66</v>
      </c>
      <c r="V1736" s="2">
        <v>0.21</v>
      </c>
    </row>
    <row r="1737" spans="1:22" x14ac:dyDescent="0.25">
      <c r="A1737" t="s">
        <v>4038</v>
      </c>
      <c r="B1737" s="1">
        <v>43094</v>
      </c>
      <c r="C1737" s="1">
        <v>43098</v>
      </c>
      <c r="D1737" t="s">
        <v>23</v>
      </c>
      <c r="E1737" t="s">
        <v>858</v>
      </c>
      <c r="F1737" t="s">
        <v>859</v>
      </c>
      <c r="G1737" t="s">
        <v>26</v>
      </c>
      <c r="H1737" t="s">
        <v>27</v>
      </c>
      <c r="I1737" t="s">
        <v>4039</v>
      </c>
      <c r="J1737" t="s">
        <v>794</v>
      </c>
      <c r="K1737" t="s">
        <v>95</v>
      </c>
      <c r="L1737" t="s">
        <v>2624</v>
      </c>
      <c r="M1737" t="s">
        <v>32</v>
      </c>
      <c r="N1737" t="s">
        <v>51</v>
      </c>
      <c r="O1737" t="s">
        <v>2625</v>
      </c>
      <c r="P1737">
        <v>31.8</v>
      </c>
      <c r="Q1737">
        <v>3</v>
      </c>
      <c r="R1737">
        <v>13.673999999999999</v>
      </c>
      <c r="S1737" s="3" t="s">
        <v>53</v>
      </c>
      <c r="T1737">
        <v>2017</v>
      </c>
      <c r="U1737" t="s">
        <v>66</v>
      </c>
      <c r="V1737" s="2">
        <v>0.43</v>
      </c>
    </row>
    <row r="1738" spans="1:22" x14ac:dyDescent="0.25">
      <c r="A1738" t="s">
        <v>4040</v>
      </c>
      <c r="B1738" s="1">
        <v>42807</v>
      </c>
      <c r="C1738" s="1">
        <v>42810</v>
      </c>
      <c r="D1738" t="s">
        <v>56</v>
      </c>
      <c r="E1738" t="s">
        <v>1477</v>
      </c>
      <c r="F1738" t="s">
        <v>1478</v>
      </c>
      <c r="G1738" t="s">
        <v>59</v>
      </c>
      <c r="H1738" t="s">
        <v>27</v>
      </c>
      <c r="I1738" t="s">
        <v>146</v>
      </c>
      <c r="J1738" t="s">
        <v>78</v>
      </c>
      <c r="K1738" t="s">
        <v>62</v>
      </c>
      <c r="L1738" t="s">
        <v>1030</v>
      </c>
      <c r="M1738" t="s">
        <v>32</v>
      </c>
      <c r="N1738" t="s">
        <v>33</v>
      </c>
      <c r="O1738" t="s">
        <v>1031</v>
      </c>
      <c r="P1738">
        <v>7.992</v>
      </c>
      <c r="Q1738">
        <v>1</v>
      </c>
      <c r="R1738">
        <v>2.5973999999999999</v>
      </c>
      <c r="S1738" s="3" t="s">
        <v>172</v>
      </c>
      <c r="T1738">
        <v>2017</v>
      </c>
      <c r="U1738" t="s">
        <v>89</v>
      </c>
      <c r="V1738" s="2">
        <v>0.32500000000000001</v>
      </c>
    </row>
    <row r="1739" spans="1:22" x14ac:dyDescent="0.25">
      <c r="A1739" t="s">
        <v>4041</v>
      </c>
      <c r="B1739" s="1">
        <v>41902</v>
      </c>
      <c r="C1739" s="1">
        <v>41905</v>
      </c>
      <c r="D1739" t="s">
        <v>56</v>
      </c>
      <c r="E1739" t="s">
        <v>1671</v>
      </c>
      <c r="F1739" t="s">
        <v>1672</v>
      </c>
      <c r="G1739" t="s">
        <v>26</v>
      </c>
      <c r="H1739" t="s">
        <v>27</v>
      </c>
      <c r="I1739" t="s">
        <v>103</v>
      </c>
      <c r="J1739" t="s">
        <v>104</v>
      </c>
      <c r="K1739" t="s">
        <v>95</v>
      </c>
      <c r="L1739" t="s">
        <v>2290</v>
      </c>
      <c r="M1739" t="s">
        <v>32</v>
      </c>
      <c r="N1739" t="s">
        <v>33</v>
      </c>
      <c r="O1739" t="s">
        <v>2291</v>
      </c>
      <c r="P1739">
        <v>629.95000000000005</v>
      </c>
      <c r="Q1739">
        <v>5</v>
      </c>
      <c r="R1739">
        <v>157.48750000000001</v>
      </c>
      <c r="S1739" s="3" t="s">
        <v>172</v>
      </c>
      <c r="T1739">
        <v>2014</v>
      </c>
      <c r="U1739" t="s">
        <v>81</v>
      </c>
      <c r="V1739" s="2">
        <v>0.25</v>
      </c>
    </row>
    <row r="1740" spans="1:22" x14ac:dyDescent="0.25">
      <c r="A1740" t="s">
        <v>4041</v>
      </c>
      <c r="B1740" s="1">
        <v>41902</v>
      </c>
      <c r="C1740" s="1">
        <v>41905</v>
      </c>
      <c r="D1740" t="s">
        <v>56</v>
      </c>
      <c r="E1740" t="s">
        <v>1671</v>
      </c>
      <c r="F1740" t="s">
        <v>1672</v>
      </c>
      <c r="G1740" t="s">
        <v>26</v>
      </c>
      <c r="H1740" t="s">
        <v>27</v>
      </c>
      <c r="I1740" t="s">
        <v>103</v>
      </c>
      <c r="J1740" t="s">
        <v>104</v>
      </c>
      <c r="K1740" t="s">
        <v>95</v>
      </c>
      <c r="L1740" t="s">
        <v>1744</v>
      </c>
      <c r="M1740" t="s">
        <v>32</v>
      </c>
      <c r="N1740" t="s">
        <v>33</v>
      </c>
      <c r="O1740" t="s">
        <v>1745</v>
      </c>
      <c r="P1740">
        <v>1349.91</v>
      </c>
      <c r="Q1740">
        <v>9</v>
      </c>
      <c r="R1740">
        <v>661.45590000000004</v>
      </c>
      <c r="S1740" s="3" t="s">
        <v>172</v>
      </c>
      <c r="T1740">
        <v>2014</v>
      </c>
      <c r="U1740" t="s">
        <v>81</v>
      </c>
      <c r="V1740" s="2">
        <v>0.49</v>
      </c>
    </row>
    <row r="1741" spans="1:22" x14ac:dyDescent="0.25">
      <c r="A1741" t="s">
        <v>4042</v>
      </c>
      <c r="B1741" s="1">
        <v>41712</v>
      </c>
      <c r="C1741" s="1">
        <v>41715</v>
      </c>
      <c r="D1741" t="s">
        <v>56</v>
      </c>
      <c r="E1741" t="s">
        <v>138</v>
      </c>
      <c r="F1741" t="s">
        <v>139</v>
      </c>
      <c r="G1741" t="s">
        <v>70</v>
      </c>
      <c r="H1741" t="s">
        <v>27</v>
      </c>
      <c r="I1741" t="s">
        <v>140</v>
      </c>
      <c r="J1741" t="s">
        <v>78</v>
      </c>
      <c r="K1741" t="s">
        <v>62</v>
      </c>
      <c r="L1741" t="s">
        <v>1902</v>
      </c>
      <c r="M1741" t="s">
        <v>32</v>
      </c>
      <c r="N1741" t="s">
        <v>215</v>
      </c>
      <c r="O1741" t="s">
        <v>1903</v>
      </c>
      <c r="P1741">
        <v>574.91</v>
      </c>
      <c r="Q1741">
        <v>2</v>
      </c>
      <c r="R1741">
        <v>156.047</v>
      </c>
      <c r="S1741" s="3" t="s">
        <v>172</v>
      </c>
      <c r="T1741">
        <v>2014</v>
      </c>
      <c r="U1741" t="s">
        <v>89</v>
      </c>
      <c r="V1741" s="2">
        <v>0.27142857142857102</v>
      </c>
    </row>
    <row r="1742" spans="1:22" x14ac:dyDescent="0.25">
      <c r="A1742" t="s">
        <v>4043</v>
      </c>
      <c r="B1742" s="1">
        <v>43000</v>
      </c>
      <c r="C1742" s="1">
        <v>43002</v>
      </c>
      <c r="D1742" t="s">
        <v>40</v>
      </c>
      <c r="E1742" t="s">
        <v>2302</v>
      </c>
      <c r="F1742" t="s">
        <v>2303</v>
      </c>
      <c r="G1742" t="s">
        <v>26</v>
      </c>
      <c r="H1742" t="s">
        <v>27</v>
      </c>
      <c r="I1742" t="s">
        <v>103</v>
      </c>
      <c r="J1742" t="s">
        <v>104</v>
      </c>
      <c r="K1742" t="s">
        <v>95</v>
      </c>
      <c r="L1742" t="s">
        <v>1513</v>
      </c>
      <c r="M1742" t="s">
        <v>32</v>
      </c>
      <c r="N1742" t="s">
        <v>51</v>
      </c>
      <c r="O1742" t="s">
        <v>1514</v>
      </c>
      <c r="P1742">
        <v>1071</v>
      </c>
      <c r="Q1742">
        <v>9</v>
      </c>
      <c r="R1742">
        <v>171.36</v>
      </c>
      <c r="S1742" s="3" t="s">
        <v>65</v>
      </c>
      <c r="T1742">
        <v>2017</v>
      </c>
      <c r="U1742" t="s">
        <v>81</v>
      </c>
      <c r="V1742" s="2">
        <v>0.16</v>
      </c>
    </row>
    <row r="1743" spans="1:22" x14ac:dyDescent="0.25">
      <c r="A1743" t="s">
        <v>4044</v>
      </c>
      <c r="B1743" s="1">
        <v>42295</v>
      </c>
      <c r="C1743" s="1">
        <v>42299</v>
      </c>
      <c r="D1743" t="s">
        <v>23</v>
      </c>
      <c r="E1743" t="s">
        <v>1462</v>
      </c>
      <c r="F1743" t="s">
        <v>1463</v>
      </c>
      <c r="G1743" t="s">
        <v>26</v>
      </c>
      <c r="H1743" t="s">
        <v>27</v>
      </c>
      <c r="I1743" t="s">
        <v>481</v>
      </c>
      <c r="J1743" t="s">
        <v>426</v>
      </c>
      <c r="K1743" t="s">
        <v>30</v>
      </c>
      <c r="L1743" t="s">
        <v>3390</v>
      </c>
      <c r="M1743" t="s">
        <v>32</v>
      </c>
      <c r="N1743" t="s">
        <v>33</v>
      </c>
      <c r="O1743" t="s">
        <v>3391</v>
      </c>
      <c r="P1743">
        <v>249.584</v>
      </c>
      <c r="Q1743">
        <v>2</v>
      </c>
      <c r="R1743">
        <v>15.599</v>
      </c>
      <c r="S1743" s="3" t="s">
        <v>53</v>
      </c>
      <c r="T1743">
        <v>2015</v>
      </c>
      <c r="U1743" t="s">
        <v>133</v>
      </c>
      <c r="V1743" s="2">
        <v>6.25E-2</v>
      </c>
    </row>
    <row r="1744" spans="1:22" x14ac:dyDescent="0.25">
      <c r="A1744" t="s">
        <v>4045</v>
      </c>
      <c r="B1744" s="1">
        <v>41843</v>
      </c>
      <c r="C1744" s="1">
        <v>41847</v>
      </c>
      <c r="D1744" t="s">
        <v>23</v>
      </c>
      <c r="E1744" t="s">
        <v>2310</v>
      </c>
      <c r="F1744" t="s">
        <v>2311</v>
      </c>
      <c r="G1744" t="s">
        <v>59</v>
      </c>
      <c r="H1744" t="s">
        <v>27</v>
      </c>
      <c r="I1744" t="s">
        <v>43</v>
      </c>
      <c r="J1744" t="s">
        <v>29</v>
      </c>
      <c r="K1744" t="s">
        <v>30</v>
      </c>
      <c r="L1744" t="s">
        <v>1290</v>
      </c>
      <c r="M1744" t="s">
        <v>32</v>
      </c>
      <c r="N1744" t="s">
        <v>33</v>
      </c>
      <c r="O1744" t="s">
        <v>1291</v>
      </c>
      <c r="P1744">
        <v>604.75199999999995</v>
      </c>
      <c r="Q1744">
        <v>6</v>
      </c>
      <c r="R1744">
        <v>60.475200000000001</v>
      </c>
      <c r="S1744" s="3" t="s">
        <v>53</v>
      </c>
      <c r="T1744">
        <v>2014</v>
      </c>
      <c r="U1744" t="s">
        <v>332</v>
      </c>
      <c r="V1744" s="2">
        <v>0.1</v>
      </c>
    </row>
    <row r="1745" spans="1:22" x14ac:dyDescent="0.25">
      <c r="A1745" t="s">
        <v>4045</v>
      </c>
      <c r="B1745" s="1">
        <v>41843</v>
      </c>
      <c r="C1745" s="1">
        <v>41847</v>
      </c>
      <c r="D1745" t="s">
        <v>23</v>
      </c>
      <c r="E1745" t="s">
        <v>2310</v>
      </c>
      <c r="F1745" t="s">
        <v>2311</v>
      </c>
      <c r="G1745" t="s">
        <v>59</v>
      </c>
      <c r="H1745" t="s">
        <v>27</v>
      </c>
      <c r="I1745" t="s">
        <v>43</v>
      </c>
      <c r="J1745" t="s">
        <v>29</v>
      </c>
      <c r="K1745" t="s">
        <v>30</v>
      </c>
      <c r="L1745" t="s">
        <v>878</v>
      </c>
      <c r="M1745" t="s">
        <v>32</v>
      </c>
      <c r="N1745" t="s">
        <v>33</v>
      </c>
      <c r="O1745" t="s">
        <v>1911</v>
      </c>
      <c r="P1745">
        <v>302.37599999999998</v>
      </c>
      <c r="Q1745">
        <v>3</v>
      </c>
      <c r="R1745">
        <v>37.796999999999997</v>
      </c>
      <c r="S1745" s="3" t="s">
        <v>53</v>
      </c>
      <c r="T1745">
        <v>2014</v>
      </c>
      <c r="U1745" t="s">
        <v>332</v>
      </c>
      <c r="V1745" s="2">
        <v>0.125</v>
      </c>
    </row>
    <row r="1746" spans="1:22" x14ac:dyDescent="0.25">
      <c r="A1746" t="s">
        <v>4045</v>
      </c>
      <c r="B1746" s="1">
        <v>41843</v>
      </c>
      <c r="C1746" s="1">
        <v>41847</v>
      </c>
      <c r="D1746" t="s">
        <v>23</v>
      </c>
      <c r="E1746" t="s">
        <v>2310</v>
      </c>
      <c r="F1746" t="s">
        <v>2311</v>
      </c>
      <c r="G1746" t="s">
        <v>59</v>
      </c>
      <c r="H1746" t="s">
        <v>27</v>
      </c>
      <c r="I1746" t="s">
        <v>43</v>
      </c>
      <c r="J1746" t="s">
        <v>29</v>
      </c>
      <c r="K1746" t="s">
        <v>30</v>
      </c>
      <c r="L1746" t="s">
        <v>96</v>
      </c>
      <c r="M1746" t="s">
        <v>32</v>
      </c>
      <c r="N1746" t="s">
        <v>51</v>
      </c>
      <c r="O1746" t="s">
        <v>97</v>
      </c>
      <c r="P1746">
        <v>45</v>
      </c>
      <c r="Q1746">
        <v>3</v>
      </c>
      <c r="R1746">
        <v>4.95</v>
      </c>
      <c r="S1746" s="3" t="s">
        <v>53</v>
      </c>
      <c r="T1746">
        <v>2014</v>
      </c>
      <c r="U1746" t="s">
        <v>332</v>
      </c>
      <c r="V1746" s="2">
        <v>0.11</v>
      </c>
    </row>
    <row r="1747" spans="1:22" x14ac:dyDescent="0.25">
      <c r="A1747" t="s">
        <v>4046</v>
      </c>
      <c r="B1747" s="1">
        <v>42244</v>
      </c>
      <c r="C1747" s="1">
        <v>42248</v>
      </c>
      <c r="D1747" t="s">
        <v>23</v>
      </c>
      <c r="E1747" t="s">
        <v>2154</v>
      </c>
      <c r="F1747" t="s">
        <v>2155</v>
      </c>
      <c r="G1747" t="s">
        <v>59</v>
      </c>
      <c r="H1747" t="s">
        <v>27</v>
      </c>
      <c r="I1747" t="s">
        <v>262</v>
      </c>
      <c r="J1747" t="s">
        <v>61</v>
      </c>
      <c r="K1747" t="s">
        <v>62</v>
      </c>
      <c r="L1747" t="s">
        <v>1082</v>
      </c>
      <c r="M1747" t="s">
        <v>32</v>
      </c>
      <c r="N1747" t="s">
        <v>33</v>
      </c>
      <c r="O1747" t="s">
        <v>1083</v>
      </c>
      <c r="P1747">
        <v>1099.96</v>
      </c>
      <c r="Q1747">
        <v>5</v>
      </c>
      <c r="R1747">
        <v>82.497</v>
      </c>
      <c r="S1747" s="3" t="s">
        <v>53</v>
      </c>
      <c r="T1747">
        <v>2015</v>
      </c>
      <c r="U1747" t="s">
        <v>46</v>
      </c>
      <c r="V1747" s="2">
        <v>7.4999999999999997E-2</v>
      </c>
    </row>
    <row r="1748" spans="1:22" x14ac:dyDescent="0.25">
      <c r="A1748" t="s">
        <v>4047</v>
      </c>
      <c r="B1748" s="1">
        <v>42233</v>
      </c>
      <c r="C1748" s="1">
        <v>42239</v>
      </c>
      <c r="D1748" t="s">
        <v>23</v>
      </c>
      <c r="E1748" t="s">
        <v>167</v>
      </c>
      <c r="F1748" t="s">
        <v>168</v>
      </c>
      <c r="G1748" t="s">
        <v>26</v>
      </c>
      <c r="H1748" t="s">
        <v>27</v>
      </c>
      <c r="I1748" t="s">
        <v>2875</v>
      </c>
      <c r="J1748" t="s">
        <v>123</v>
      </c>
      <c r="K1748" t="s">
        <v>30</v>
      </c>
      <c r="L1748" t="s">
        <v>1518</v>
      </c>
      <c r="M1748" t="s">
        <v>32</v>
      </c>
      <c r="N1748" t="s">
        <v>51</v>
      </c>
      <c r="O1748" t="s">
        <v>1519</v>
      </c>
      <c r="P1748">
        <v>30.08</v>
      </c>
      <c r="Q1748">
        <v>2</v>
      </c>
      <c r="R1748">
        <v>-5.2640000000000002</v>
      </c>
      <c r="S1748" s="3" t="s">
        <v>107</v>
      </c>
      <c r="T1748">
        <v>2015</v>
      </c>
      <c r="U1748" t="s">
        <v>46</v>
      </c>
      <c r="V1748" s="2">
        <v>-0.17499999999999999</v>
      </c>
    </row>
    <row r="1749" spans="1:22" x14ac:dyDescent="0.25">
      <c r="A1749" t="s">
        <v>4047</v>
      </c>
      <c r="B1749" s="1">
        <v>42233</v>
      </c>
      <c r="C1749" s="1">
        <v>42239</v>
      </c>
      <c r="D1749" t="s">
        <v>23</v>
      </c>
      <c r="E1749" t="s">
        <v>167</v>
      </c>
      <c r="F1749" t="s">
        <v>168</v>
      </c>
      <c r="G1749" t="s">
        <v>26</v>
      </c>
      <c r="H1749" t="s">
        <v>27</v>
      </c>
      <c r="I1749" t="s">
        <v>2875</v>
      </c>
      <c r="J1749" t="s">
        <v>123</v>
      </c>
      <c r="K1749" t="s">
        <v>30</v>
      </c>
      <c r="L1749" t="s">
        <v>654</v>
      </c>
      <c r="M1749" t="s">
        <v>32</v>
      </c>
      <c r="N1749" t="s">
        <v>51</v>
      </c>
      <c r="O1749" t="s">
        <v>655</v>
      </c>
      <c r="P1749">
        <v>252.8</v>
      </c>
      <c r="Q1749">
        <v>4</v>
      </c>
      <c r="R1749">
        <v>-31.6</v>
      </c>
      <c r="S1749" s="3" t="s">
        <v>107</v>
      </c>
      <c r="T1749">
        <v>2015</v>
      </c>
      <c r="U1749" t="s">
        <v>46</v>
      </c>
      <c r="V1749" s="2">
        <v>-0.125</v>
      </c>
    </row>
    <row r="1750" spans="1:22" x14ac:dyDescent="0.25">
      <c r="A1750" t="s">
        <v>4048</v>
      </c>
      <c r="B1750" s="1">
        <v>42947</v>
      </c>
      <c r="C1750" s="1">
        <v>42952</v>
      </c>
      <c r="D1750" t="s">
        <v>23</v>
      </c>
      <c r="E1750" t="s">
        <v>1495</v>
      </c>
      <c r="F1750" t="s">
        <v>1496</v>
      </c>
      <c r="G1750" t="s">
        <v>26</v>
      </c>
      <c r="H1750" t="s">
        <v>27</v>
      </c>
      <c r="I1750" t="s">
        <v>206</v>
      </c>
      <c r="J1750" t="s">
        <v>207</v>
      </c>
      <c r="K1750" t="s">
        <v>95</v>
      </c>
      <c r="L1750" t="s">
        <v>1639</v>
      </c>
      <c r="M1750" t="s">
        <v>32</v>
      </c>
      <c r="N1750" t="s">
        <v>33</v>
      </c>
      <c r="O1750" t="s">
        <v>1640</v>
      </c>
      <c r="P1750">
        <v>285.57600000000002</v>
      </c>
      <c r="Q1750">
        <v>4</v>
      </c>
      <c r="R1750">
        <v>-57.115200000000002</v>
      </c>
      <c r="S1750" s="3" t="s">
        <v>35</v>
      </c>
      <c r="T1750">
        <v>2017</v>
      </c>
      <c r="U1750" t="s">
        <v>332</v>
      </c>
      <c r="V1750" s="2">
        <v>-0.2</v>
      </c>
    </row>
    <row r="1751" spans="1:22" x14ac:dyDescent="0.25">
      <c r="A1751" t="s">
        <v>4049</v>
      </c>
      <c r="B1751" s="1">
        <v>42832</v>
      </c>
      <c r="C1751" s="1">
        <v>42836</v>
      </c>
      <c r="D1751" t="s">
        <v>23</v>
      </c>
      <c r="E1751" t="s">
        <v>3037</v>
      </c>
      <c r="F1751" t="s">
        <v>3038</v>
      </c>
      <c r="G1751" t="s">
        <v>70</v>
      </c>
      <c r="H1751" t="s">
        <v>27</v>
      </c>
      <c r="I1751" t="s">
        <v>460</v>
      </c>
      <c r="J1751" t="s">
        <v>288</v>
      </c>
      <c r="K1751" t="s">
        <v>155</v>
      </c>
      <c r="L1751" t="s">
        <v>990</v>
      </c>
      <c r="M1751" t="s">
        <v>32</v>
      </c>
      <c r="N1751" t="s">
        <v>33</v>
      </c>
      <c r="O1751" t="s">
        <v>991</v>
      </c>
      <c r="P1751">
        <v>219.184</v>
      </c>
      <c r="Q1751">
        <v>2</v>
      </c>
      <c r="R1751">
        <v>19.178599999999999</v>
      </c>
      <c r="S1751" s="3" t="s">
        <v>53</v>
      </c>
      <c r="T1751">
        <v>2017</v>
      </c>
      <c r="U1751" t="s">
        <v>291</v>
      </c>
      <c r="V1751" s="2">
        <v>8.7499999999999994E-2</v>
      </c>
    </row>
    <row r="1752" spans="1:22" x14ac:dyDescent="0.25">
      <c r="A1752" t="s">
        <v>4050</v>
      </c>
      <c r="B1752" s="1">
        <v>42064</v>
      </c>
      <c r="C1752" s="1">
        <v>42065</v>
      </c>
      <c r="D1752" t="s">
        <v>56</v>
      </c>
      <c r="E1752" t="s">
        <v>2559</v>
      </c>
      <c r="F1752" t="s">
        <v>2560</v>
      </c>
      <c r="G1752" t="s">
        <v>59</v>
      </c>
      <c r="H1752" t="s">
        <v>27</v>
      </c>
      <c r="I1752" t="s">
        <v>4051</v>
      </c>
      <c r="J1752" t="s">
        <v>61</v>
      </c>
      <c r="K1752" t="s">
        <v>62</v>
      </c>
      <c r="L1752" t="s">
        <v>2502</v>
      </c>
      <c r="M1752" t="s">
        <v>32</v>
      </c>
      <c r="N1752" t="s">
        <v>33</v>
      </c>
      <c r="O1752" t="s">
        <v>2503</v>
      </c>
      <c r="P1752">
        <v>95.84</v>
      </c>
      <c r="Q1752">
        <v>4</v>
      </c>
      <c r="R1752">
        <v>34.741999999999997</v>
      </c>
      <c r="S1752" s="3" t="s">
        <v>112</v>
      </c>
      <c r="T1752">
        <v>2015</v>
      </c>
      <c r="U1752" t="s">
        <v>89</v>
      </c>
      <c r="V1752" s="2">
        <v>0.36249999999999999</v>
      </c>
    </row>
    <row r="1753" spans="1:22" x14ac:dyDescent="0.25">
      <c r="A1753" t="s">
        <v>4052</v>
      </c>
      <c r="B1753" s="1">
        <v>42275</v>
      </c>
      <c r="C1753" s="1">
        <v>42282</v>
      </c>
      <c r="D1753" t="s">
        <v>23</v>
      </c>
      <c r="E1753" t="s">
        <v>1402</v>
      </c>
      <c r="F1753" t="s">
        <v>1403</v>
      </c>
      <c r="G1753" t="s">
        <v>59</v>
      </c>
      <c r="H1753" t="s">
        <v>27</v>
      </c>
      <c r="I1753" t="s">
        <v>28</v>
      </c>
      <c r="J1753" t="s">
        <v>29</v>
      </c>
      <c r="K1753" t="s">
        <v>30</v>
      </c>
      <c r="L1753" t="s">
        <v>548</v>
      </c>
      <c r="M1753" t="s">
        <v>32</v>
      </c>
      <c r="N1753" t="s">
        <v>33</v>
      </c>
      <c r="O1753" t="s">
        <v>549</v>
      </c>
      <c r="P1753">
        <v>36.783999999999999</v>
      </c>
      <c r="Q1753">
        <v>2</v>
      </c>
      <c r="R1753">
        <v>-8.2764000000000006</v>
      </c>
      <c r="S1753" s="3" t="s">
        <v>132</v>
      </c>
      <c r="T1753">
        <v>2015</v>
      </c>
      <c r="U1753" t="s">
        <v>81</v>
      </c>
      <c r="V1753" s="2">
        <v>-0.22500000000000001</v>
      </c>
    </row>
    <row r="1754" spans="1:22" x14ac:dyDescent="0.25">
      <c r="A1754" t="s">
        <v>4053</v>
      </c>
      <c r="B1754" s="1">
        <v>42537</v>
      </c>
      <c r="C1754" s="1">
        <v>42540</v>
      </c>
      <c r="D1754" t="s">
        <v>40</v>
      </c>
      <c r="E1754" t="s">
        <v>3811</v>
      </c>
      <c r="F1754" t="s">
        <v>3812</v>
      </c>
      <c r="G1754" t="s">
        <v>70</v>
      </c>
      <c r="H1754" t="s">
        <v>27</v>
      </c>
      <c r="I1754" t="s">
        <v>3903</v>
      </c>
      <c r="J1754" t="s">
        <v>2319</v>
      </c>
      <c r="K1754" t="s">
        <v>155</v>
      </c>
      <c r="L1754" t="s">
        <v>4054</v>
      </c>
      <c r="M1754" t="s">
        <v>32</v>
      </c>
      <c r="N1754" t="s">
        <v>215</v>
      </c>
      <c r="O1754" t="s">
        <v>4055</v>
      </c>
      <c r="P1754">
        <v>91.474999999999994</v>
      </c>
      <c r="Q1754">
        <v>1</v>
      </c>
      <c r="R1754">
        <v>-1.8294999999999999</v>
      </c>
      <c r="S1754" s="3" t="s">
        <v>172</v>
      </c>
      <c r="T1754">
        <v>2016</v>
      </c>
      <c r="U1754" t="s">
        <v>36</v>
      </c>
      <c r="V1754" s="2">
        <v>-0.02</v>
      </c>
    </row>
    <row r="1755" spans="1:22" x14ac:dyDescent="0.25">
      <c r="A1755" t="s">
        <v>4056</v>
      </c>
      <c r="B1755" s="1">
        <v>42882</v>
      </c>
      <c r="C1755" s="1">
        <v>42889</v>
      </c>
      <c r="D1755" t="s">
        <v>23</v>
      </c>
      <c r="E1755" t="s">
        <v>901</v>
      </c>
      <c r="F1755" t="s">
        <v>902</v>
      </c>
      <c r="G1755" t="s">
        <v>59</v>
      </c>
      <c r="H1755" t="s">
        <v>27</v>
      </c>
      <c r="I1755" t="s">
        <v>2395</v>
      </c>
      <c r="J1755" t="s">
        <v>154</v>
      </c>
      <c r="K1755" t="s">
        <v>155</v>
      </c>
      <c r="L1755" t="s">
        <v>4057</v>
      </c>
      <c r="M1755" t="s">
        <v>32</v>
      </c>
      <c r="N1755" t="s">
        <v>51</v>
      </c>
      <c r="O1755" t="s">
        <v>4058</v>
      </c>
      <c r="P1755">
        <v>27.192</v>
      </c>
      <c r="Q1755">
        <v>3</v>
      </c>
      <c r="R1755">
        <v>0.33989999999999998</v>
      </c>
      <c r="S1755" s="3" t="s">
        <v>132</v>
      </c>
      <c r="T1755">
        <v>2017</v>
      </c>
      <c r="U1755" t="s">
        <v>527</v>
      </c>
      <c r="V1755" s="2">
        <v>1.2500000000000001E-2</v>
      </c>
    </row>
    <row r="1756" spans="1:22" x14ac:dyDescent="0.25">
      <c r="A1756" t="s">
        <v>4059</v>
      </c>
      <c r="B1756" s="1">
        <v>41921</v>
      </c>
      <c r="C1756" s="1">
        <v>41926</v>
      </c>
      <c r="D1756" t="s">
        <v>23</v>
      </c>
      <c r="E1756" t="s">
        <v>2244</v>
      </c>
      <c r="F1756" t="s">
        <v>2245</v>
      </c>
      <c r="G1756" t="s">
        <v>26</v>
      </c>
      <c r="H1756" t="s">
        <v>27</v>
      </c>
      <c r="I1756" t="s">
        <v>43</v>
      </c>
      <c r="J1756" t="s">
        <v>29</v>
      </c>
      <c r="K1756" t="s">
        <v>30</v>
      </c>
      <c r="L1756" t="s">
        <v>2915</v>
      </c>
      <c r="M1756" t="s">
        <v>32</v>
      </c>
      <c r="N1756" t="s">
        <v>33</v>
      </c>
      <c r="O1756" t="s">
        <v>2916</v>
      </c>
      <c r="P1756">
        <v>15.992000000000001</v>
      </c>
      <c r="Q1756">
        <v>1</v>
      </c>
      <c r="R1756">
        <v>-2.9984999999999999</v>
      </c>
      <c r="S1756" s="3" t="s">
        <v>35</v>
      </c>
      <c r="T1756">
        <v>2014</v>
      </c>
      <c r="U1756" t="s">
        <v>133</v>
      </c>
      <c r="V1756" s="2">
        <v>-0.1875</v>
      </c>
    </row>
    <row r="1757" spans="1:22" x14ac:dyDescent="0.25">
      <c r="A1757" t="s">
        <v>4060</v>
      </c>
      <c r="B1757" s="1">
        <v>41931</v>
      </c>
      <c r="C1757" s="1">
        <v>41936</v>
      </c>
      <c r="D1757" t="s">
        <v>23</v>
      </c>
      <c r="E1757" t="s">
        <v>2389</v>
      </c>
      <c r="F1757" t="s">
        <v>2390</v>
      </c>
      <c r="G1757" t="s">
        <v>70</v>
      </c>
      <c r="H1757" t="s">
        <v>27</v>
      </c>
      <c r="I1757" t="s">
        <v>1040</v>
      </c>
      <c r="J1757" t="s">
        <v>29</v>
      </c>
      <c r="K1757" t="s">
        <v>30</v>
      </c>
      <c r="L1757" t="s">
        <v>1336</v>
      </c>
      <c r="M1757" t="s">
        <v>32</v>
      </c>
      <c r="N1757" t="s">
        <v>33</v>
      </c>
      <c r="O1757" t="s">
        <v>1337</v>
      </c>
      <c r="P1757">
        <v>321.55200000000002</v>
      </c>
      <c r="Q1757">
        <v>6</v>
      </c>
      <c r="R1757">
        <v>20.097000000000001</v>
      </c>
      <c r="S1757" s="3" t="s">
        <v>35</v>
      </c>
      <c r="T1757">
        <v>2014</v>
      </c>
      <c r="U1757" t="s">
        <v>133</v>
      </c>
      <c r="V1757" s="2">
        <v>6.25E-2</v>
      </c>
    </row>
    <row r="1758" spans="1:22" x14ac:dyDescent="0.25">
      <c r="A1758" t="s">
        <v>4061</v>
      </c>
      <c r="B1758" s="1">
        <v>43044</v>
      </c>
      <c r="C1758" s="1">
        <v>43049</v>
      </c>
      <c r="D1758" t="s">
        <v>40</v>
      </c>
      <c r="E1758" t="s">
        <v>1331</v>
      </c>
      <c r="F1758" t="s">
        <v>1332</v>
      </c>
      <c r="G1758" t="s">
        <v>26</v>
      </c>
      <c r="H1758" t="s">
        <v>27</v>
      </c>
      <c r="I1758" t="s">
        <v>103</v>
      </c>
      <c r="J1758" t="s">
        <v>104</v>
      </c>
      <c r="K1758" t="s">
        <v>95</v>
      </c>
      <c r="L1758" t="s">
        <v>188</v>
      </c>
      <c r="M1758" t="s">
        <v>32</v>
      </c>
      <c r="N1758" t="s">
        <v>33</v>
      </c>
      <c r="O1758" t="s">
        <v>189</v>
      </c>
      <c r="P1758">
        <v>99.98</v>
      </c>
      <c r="Q1758">
        <v>2</v>
      </c>
      <c r="R1758">
        <v>3.9992000000000001</v>
      </c>
      <c r="S1758" s="3" t="s">
        <v>35</v>
      </c>
      <c r="T1758">
        <v>2017</v>
      </c>
      <c r="U1758" t="s">
        <v>118</v>
      </c>
      <c r="V1758" s="2">
        <v>0.04</v>
      </c>
    </row>
    <row r="1759" spans="1:22" x14ac:dyDescent="0.25">
      <c r="A1759" t="s">
        <v>4062</v>
      </c>
      <c r="B1759" s="1">
        <v>42175</v>
      </c>
      <c r="C1759" s="1">
        <v>42179</v>
      </c>
      <c r="D1759" t="s">
        <v>40</v>
      </c>
      <c r="E1759" t="s">
        <v>2323</v>
      </c>
      <c r="F1759" t="s">
        <v>2324</v>
      </c>
      <c r="G1759" t="s">
        <v>70</v>
      </c>
      <c r="H1759" t="s">
        <v>27</v>
      </c>
      <c r="I1759" t="s">
        <v>206</v>
      </c>
      <c r="J1759" t="s">
        <v>207</v>
      </c>
      <c r="K1759" t="s">
        <v>95</v>
      </c>
      <c r="L1759" t="s">
        <v>788</v>
      </c>
      <c r="M1759" t="s">
        <v>32</v>
      </c>
      <c r="N1759" t="s">
        <v>51</v>
      </c>
      <c r="O1759" t="s">
        <v>789</v>
      </c>
      <c r="P1759">
        <v>319.98399999999998</v>
      </c>
      <c r="Q1759">
        <v>2</v>
      </c>
      <c r="R1759">
        <v>91.995400000000004</v>
      </c>
      <c r="S1759" s="3" t="s">
        <v>53</v>
      </c>
      <c r="T1759">
        <v>2015</v>
      </c>
      <c r="U1759" t="s">
        <v>36</v>
      </c>
      <c r="V1759" s="2">
        <v>0.28749999999999998</v>
      </c>
    </row>
    <row r="1760" spans="1:22" x14ac:dyDescent="0.25">
      <c r="A1760" t="s">
        <v>4063</v>
      </c>
      <c r="B1760" s="1">
        <v>42278</v>
      </c>
      <c r="C1760" s="1">
        <v>42281</v>
      </c>
      <c r="D1760" t="s">
        <v>56</v>
      </c>
      <c r="E1760" t="s">
        <v>204</v>
      </c>
      <c r="F1760" t="s">
        <v>205</v>
      </c>
      <c r="G1760" t="s">
        <v>26</v>
      </c>
      <c r="H1760" t="s">
        <v>27</v>
      </c>
      <c r="I1760" t="s">
        <v>339</v>
      </c>
      <c r="J1760" t="s">
        <v>340</v>
      </c>
      <c r="K1760" t="s">
        <v>30</v>
      </c>
      <c r="L1760" t="s">
        <v>1385</v>
      </c>
      <c r="M1760" t="s">
        <v>32</v>
      </c>
      <c r="N1760" t="s">
        <v>33</v>
      </c>
      <c r="O1760" t="s">
        <v>1386</v>
      </c>
      <c r="P1760">
        <v>572.79999999999995</v>
      </c>
      <c r="Q1760">
        <v>2</v>
      </c>
      <c r="R1760">
        <v>50.12</v>
      </c>
      <c r="S1760" s="3" t="s">
        <v>172</v>
      </c>
      <c r="T1760">
        <v>2015</v>
      </c>
      <c r="U1760" t="s">
        <v>133</v>
      </c>
      <c r="V1760" s="2">
        <v>8.7499999999999994E-2</v>
      </c>
    </row>
    <row r="1761" spans="1:22" x14ac:dyDescent="0.25">
      <c r="A1761" t="s">
        <v>4064</v>
      </c>
      <c r="B1761" s="1">
        <v>42502</v>
      </c>
      <c r="C1761" s="1">
        <v>42506</v>
      </c>
      <c r="D1761" t="s">
        <v>23</v>
      </c>
      <c r="E1761" t="s">
        <v>2362</v>
      </c>
      <c r="F1761" t="s">
        <v>2363</v>
      </c>
      <c r="G1761" t="s">
        <v>26</v>
      </c>
      <c r="H1761" t="s">
        <v>27</v>
      </c>
      <c r="I1761" t="s">
        <v>4065</v>
      </c>
      <c r="J1761" t="s">
        <v>29</v>
      </c>
      <c r="K1761" t="s">
        <v>30</v>
      </c>
      <c r="L1761" t="s">
        <v>3574</v>
      </c>
      <c r="M1761" t="s">
        <v>32</v>
      </c>
      <c r="N1761" t="s">
        <v>51</v>
      </c>
      <c r="O1761" t="s">
        <v>3575</v>
      </c>
      <c r="P1761">
        <v>120</v>
      </c>
      <c r="Q1761">
        <v>6</v>
      </c>
      <c r="R1761">
        <v>46.8</v>
      </c>
      <c r="S1761" s="3" t="s">
        <v>53</v>
      </c>
      <c r="T1761">
        <v>2016</v>
      </c>
      <c r="U1761" t="s">
        <v>527</v>
      </c>
      <c r="V1761" s="2">
        <v>0.39</v>
      </c>
    </row>
    <row r="1762" spans="1:22" x14ac:dyDescent="0.25">
      <c r="A1762" t="s">
        <v>4066</v>
      </c>
      <c r="B1762" s="1">
        <v>42657</v>
      </c>
      <c r="C1762" s="1">
        <v>42661</v>
      </c>
      <c r="D1762" t="s">
        <v>23</v>
      </c>
      <c r="E1762" t="s">
        <v>3353</v>
      </c>
      <c r="F1762" t="s">
        <v>3354</v>
      </c>
      <c r="G1762" t="s">
        <v>59</v>
      </c>
      <c r="H1762" t="s">
        <v>27</v>
      </c>
      <c r="I1762" t="s">
        <v>103</v>
      </c>
      <c r="J1762" t="s">
        <v>104</v>
      </c>
      <c r="K1762" t="s">
        <v>95</v>
      </c>
      <c r="L1762" t="s">
        <v>3390</v>
      </c>
      <c r="M1762" t="s">
        <v>32</v>
      </c>
      <c r="N1762" t="s">
        <v>33</v>
      </c>
      <c r="O1762" t="s">
        <v>3391</v>
      </c>
      <c r="P1762">
        <v>1091.93</v>
      </c>
      <c r="Q1762">
        <v>7</v>
      </c>
      <c r="R1762">
        <v>272.98250000000002</v>
      </c>
      <c r="S1762" s="3" t="s">
        <v>53</v>
      </c>
      <c r="T1762">
        <v>2016</v>
      </c>
      <c r="U1762" t="s">
        <v>133</v>
      </c>
      <c r="V1762" s="2">
        <v>0.25</v>
      </c>
    </row>
    <row r="1763" spans="1:22" x14ac:dyDescent="0.25">
      <c r="A1763" t="s">
        <v>4067</v>
      </c>
      <c r="B1763" s="1">
        <v>42657</v>
      </c>
      <c r="C1763" s="1">
        <v>42662</v>
      </c>
      <c r="D1763" t="s">
        <v>23</v>
      </c>
      <c r="E1763" t="s">
        <v>4068</v>
      </c>
      <c r="F1763" t="s">
        <v>4069</v>
      </c>
      <c r="G1763" t="s">
        <v>26</v>
      </c>
      <c r="H1763" t="s">
        <v>27</v>
      </c>
      <c r="I1763" t="s">
        <v>4070</v>
      </c>
      <c r="J1763" t="s">
        <v>185</v>
      </c>
      <c r="K1763" t="s">
        <v>62</v>
      </c>
      <c r="L1763" t="s">
        <v>922</v>
      </c>
      <c r="M1763" t="s">
        <v>32</v>
      </c>
      <c r="N1763" t="s">
        <v>51</v>
      </c>
      <c r="O1763" t="s">
        <v>923</v>
      </c>
      <c r="P1763">
        <v>1649.75</v>
      </c>
      <c r="Q1763">
        <v>5</v>
      </c>
      <c r="R1763">
        <v>544.41750000000002</v>
      </c>
      <c r="S1763" s="3" t="s">
        <v>35</v>
      </c>
      <c r="T1763">
        <v>2016</v>
      </c>
      <c r="U1763" t="s">
        <v>133</v>
      </c>
      <c r="V1763" s="2">
        <v>0.33</v>
      </c>
    </row>
    <row r="1764" spans="1:22" x14ac:dyDescent="0.25">
      <c r="A1764" t="s">
        <v>4071</v>
      </c>
      <c r="B1764" s="1">
        <v>42240</v>
      </c>
      <c r="C1764" s="1">
        <v>42242</v>
      </c>
      <c r="D1764" t="s">
        <v>40</v>
      </c>
      <c r="E1764" t="s">
        <v>969</v>
      </c>
      <c r="F1764" t="s">
        <v>970</v>
      </c>
      <c r="G1764" t="s">
        <v>26</v>
      </c>
      <c r="H1764" t="s">
        <v>27</v>
      </c>
      <c r="I1764" t="s">
        <v>1839</v>
      </c>
      <c r="J1764" t="s">
        <v>177</v>
      </c>
      <c r="K1764" t="s">
        <v>95</v>
      </c>
      <c r="L1764" t="s">
        <v>1598</v>
      </c>
      <c r="M1764" t="s">
        <v>32</v>
      </c>
      <c r="N1764" t="s">
        <v>33</v>
      </c>
      <c r="O1764" t="s">
        <v>1599</v>
      </c>
      <c r="P1764">
        <v>26.981999999999999</v>
      </c>
      <c r="Q1764">
        <v>3</v>
      </c>
      <c r="R1764">
        <v>4.0472999999999999</v>
      </c>
      <c r="S1764" s="3" t="s">
        <v>65</v>
      </c>
      <c r="T1764">
        <v>2015</v>
      </c>
      <c r="U1764" t="s">
        <v>46</v>
      </c>
      <c r="V1764" s="2">
        <v>0.15</v>
      </c>
    </row>
    <row r="1765" spans="1:22" x14ac:dyDescent="0.25">
      <c r="A1765" t="s">
        <v>4072</v>
      </c>
      <c r="B1765" s="1">
        <v>41992</v>
      </c>
      <c r="C1765" s="1">
        <v>41998</v>
      </c>
      <c r="D1765" t="s">
        <v>23</v>
      </c>
      <c r="E1765" t="s">
        <v>1731</v>
      </c>
      <c r="F1765" t="s">
        <v>1732</v>
      </c>
      <c r="G1765" t="s">
        <v>26</v>
      </c>
      <c r="H1765" t="s">
        <v>27</v>
      </c>
      <c r="I1765" t="s">
        <v>140</v>
      </c>
      <c r="J1765" t="s">
        <v>78</v>
      </c>
      <c r="K1765" t="s">
        <v>62</v>
      </c>
      <c r="L1765" t="s">
        <v>4073</v>
      </c>
      <c r="M1765" t="s">
        <v>32</v>
      </c>
      <c r="N1765" t="s">
        <v>33</v>
      </c>
      <c r="O1765" t="s">
        <v>4074</v>
      </c>
      <c r="P1765">
        <v>323.976</v>
      </c>
      <c r="Q1765">
        <v>3</v>
      </c>
      <c r="R1765">
        <v>36.447299999999998</v>
      </c>
      <c r="S1765" s="3" t="s">
        <v>107</v>
      </c>
      <c r="T1765">
        <v>2014</v>
      </c>
      <c r="U1765" t="s">
        <v>66</v>
      </c>
      <c r="V1765" s="2">
        <v>0.1125</v>
      </c>
    </row>
    <row r="1766" spans="1:22" x14ac:dyDescent="0.25">
      <c r="A1766" t="s">
        <v>4075</v>
      </c>
      <c r="B1766" s="1">
        <v>43074</v>
      </c>
      <c r="C1766" s="1">
        <v>43075</v>
      </c>
      <c r="D1766" t="s">
        <v>56</v>
      </c>
      <c r="E1766" t="s">
        <v>4076</v>
      </c>
      <c r="F1766" t="s">
        <v>4077</v>
      </c>
      <c r="G1766" t="s">
        <v>70</v>
      </c>
      <c r="H1766" t="s">
        <v>27</v>
      </c>
      <c r="I1766" t="s">
        <v>481</v>
      </c>
      <c r="J1766" t="s">
        <v>426</v>
      </c>
      <c r="K1766" t="s">
        <v>30</v>
      </c>
      <c r="L1766" t="s">
        <v>947</v>
      </c>
      <c r="M1766" t="s">
        <v>32</v>
      </c>
      <c r="N1766" t="s">
        <v>33</v>
      </c>
      <c r="O1766" t="s">
        <v>948</v>
      </c>
      <c r="P1766">
        <v>31.175999999999998</v>
      </c>
      <c r="Q1766">
        <v>3</v>
      </c>
      <c r="R1766">
        <v>-7.0145999999999997</v>
      </c>
      <c r="S1766" s="3" t="s">
        <v>112</v>
      </c>
      <c r="T1766">
        <v>2017</v>
      </c>
      <c r="U1766" t="s">
        <v>66</v>
      </c>
      <c r="V1766" s="2">
        <v>-0.22500000000000001</v>
      </c>
    </row>
    <row r="1767" spans="1:22" x14ac:dyDescent="0.25">
      <c r="A1767" t="s">
        <v>4078</v>
      </c>
      <c r="B1767" s="1">
        <v>41941</v>
      </c>
      <c r="C1767" s="1">
        <v>41945</v>
      </c>
      <c r="D1767" t="s">
        <v>23</v>
      </c>
      <c r="E1767" t="s">
        <v>2536</v>
      </c>
      <c r="F1767" t="s">
        <v>2537</v>
      </c>
      <c r="G1767" t="s">
        <v>59</v>
      </c>
      <c r="H1767" t="s">
        <v>27</v>
      </c>
      <c r="I1767" t="s">
        <v>176</v>
      </c>
      <c r="J1767" t="s">
        <v>669</v>
      </c>
      <c r="K1767" t="s">
        <v>62</v>
      </c>
      <c r="L1767" t="s">
        <v>1965</v>
      </c>
      <c r="M1767" t="s">
        <v>32</v>
      </c>
      <c r="N1767" t="s">
        <v>51</v>
      </c>
      <c r="O1767" t="s">
        <v>1966</v>
      </c>
      <c r="P1767">
        <v>1.98</v>
      </c>
      <c r="Q1767">
        <v>2</v>
      </c>
      <c r="R1767">
        <v>0.89100000000000001</v>
      </c>
      <c r="S1767" s="3" t="s">
        <v>53</v>
      </c>
      <c r="T1767">
        <v>2014</v>
      </c>
      <c r="U1767" t="s">
        <v>133</v>
      </c>
      <c r="V1767" s="2">
        <v>0.45</v>
      </c>
    </row>
    <row r="1768" spans="1:22" x14ac:dyDescent="0.25">
      <c r="A1768" t="s">
        <v>4079</v>
      </c>
      <c r="B1768" s="1">
        <v>42154</v>
      </c>
      <c r="C1768" s="1">
        <v>42158</v>
      </c>
      <c r="D1768" t="s">
        <v>23</v>
      </c>
      <c r="E1768" t="s">
        <v>4080</v>
      </c>
      <c r="F1768" t="s">
        <v>4081</v>
      </c>
      <c r="G1768" t="s">
        <v>70</v>
      </c>
      <c r="H1768" t="s">
        <v>27</v>
      </c>
      <c r="I1768" t="s">
        <v>946</v>
      </c>
      <c r="J1768" t="s">
        <v>693</v>
      </c>
      <c r="K1768" t="s">
        <v>155</v>
      </c>
      <c r="L1768" t="s">
        <v>1705</v>
      </c>
      <c r="M1768" t="s">
        <v>32</v>
      </c>
      <c r="N1768" t="s">
        <v>51</v>
      </c>
      <c r="O1768" t="s">
        <v>1706</v>
      </c>
      <c r="P1768">
        <v>151.96</v>
      </c>
      <c r="Q1768">
        <v>4</v>
      </c>
      <c r="R1768">
        <v>36.470399999999998</v>
      </c>
      <c r="S1768" s="3" t="s">
        <v>53</v>
      </c>
      <c r="T1768">
        <v>2015</v>
      </c>
      <c r="U1768" t="s">
        <v>527</v>
      </c>
      <c r="V1768" s="2">
        <v>0.24</v>
      </c>
    </row>
    <row r="1769" spans="1:22" x14ac:dyDescent="0.25">
      <c r="A1769" t="s">
        <v>4082</v>
      </c>
      <c r="B1769" s="1">
        <v>42493</v>
      </c>
      <c r="C1769" s="1">
        <v>42495</v>
      </c>
      <c r="D1769" t="s">
        <v>56</v>
      </c>
      <c r="E1769" t="s">
        <v>4083</v>
      </c>
      <c r="F1769" t="s">
        <v>4084</v>
      </c>
      <c r="G1769" t="s">
        <v>26</v>
      </c>
      <c r="H1769" t="s">
        <v>27</v>
      </c>
      <c r="I1769" t="s">
        <v>1458</v>
      </c>
      <c r="J1769" t="s">
        <v>177</v>
      </c>
      <c r="K1769" t="s">
        <v>95</v>
      </c>
      <c r="L1769" t="s">
        <v>289</v>
      </c>
      <c r="M1769" t="s">
        <v>32</v>
      </c>
      <c r="N1769" t="s">
        <v>51</v>
      </c>
      <c r="O1769" t="s">
        <v>550</v>
      </c>
      <c r="P1769">
        <v>132.52000000000001</v>
      </c>
      <c r="Q1769">
        <v>5</v>
      </c>
      <c r="R1769">
        <v>34.786499999999997</v>
      </c>
      <c r="S1769" s="3" t="s">
        <v>65</v>
      </c>
      <c r="T1769">
        <v>2016</v>
      </c>
      <c r="U1769" t="s">
        <v>527</v>
      </c>
      <c r="V1769" s="2">
        <v>0.26250000000000001</v>
      </c>
    </row>
    <row r="1770" spans="1:22" x14ac:dyDescent="0.25">
      <c r="A1770" t="s">
        <v>4082</v>
      </c>
      <c r="B1770" s="1">
        <v>42493</v>
      </c>
      <c r="C1770" s="1">
        <v>42495</v>
      </c>
      <c r="D1770" t="s">
        <v>56</v>
      </c>
      <c r="E1770" t="s">
        <v>4083</v>
      </c>
      <c r="F1770" t="s">
        <v>4084</v>
      </c>
      <c r="G1770" t="s">
        <v>26</v>
      </c>
      <c r="H1770" t="s">
        <v>27</v>
      </c>
      <c r="I1770" t="s">
        <v>1458</v>
      </c>
      <c r="J1770" t="s">
        <v>177</v>
      </c>
      <c r="K1770" t="s">
        <v>95</v>
      </c>
      <c r="L1770" t="s">
        <v>1733</v>
      </c>
      <c r="M1770" t="s">
        <v>32</v>
      </c>
      <c r="N1770" t="s">
        <v>51</v>
      </c>
      <c r="O1770" t="s">
        <v>1734</v>
      </c>
      <c r="P1770">
        <v>431.976</v>
      </c>
      <c r="Q1770">
        <v>3</v>
      </c>
      <c r="R1770">
        <v>-75.595799999999997</v>
      </c>
      <c r="S1770" s="3" t="s">
        <v>65</v>
      </c>
      <c r="T1770">
        <v>2016</v>
      </c>
      <c r="U1770" t="s">
        <v>527</v>
      </c>
      <c r="V1770" s="2">
        <v>-0.17499999999999999</v>
      </c>
    </row>
    <row r="1771" spans="1:22" x14ac:dyDescent="0.25">
      <c r="A1771" t="s">
        <v>4082</v>
      </c>
      <c r="B1771" s="1">
        <v>42493</v>
      </c>
      <c r="C1771" s="1">
        <v>42495</v>
      </c>
      <c r="D1771" t="s">
        <v>56</v>
      </c>
      <c r="E1771" t="s">
        <v>4083</v>
      </c>
      <c r="F1771" t="s">
        <v>4084</v>
      </c>
      <c r="G1771" t="s">
        <v>26</v>
      </c>
      <c r="H1771" t="s">
        <v>27</v>
      </c>
      <c r="I1771" t="s">
        <v>1458</v>
      </c>
      <c r="J1771" t="s">
        <v>177</v>
      </c>
      <c r="K1771" t="s">
        <v>95</v>
      </c>
      <c r="L1771" t="s">
        <v>4085</v>
      </c>
      <c r="M1771" t="s">
        <v>32</v>
      </c>
      <c r="N1771" t="s">
        <v>215</v>
      </c>
      <c r="O1771" t="s">
        <v>4086</v>
      </c>
      <c r="P1771">
        <v>224.93700000000001</v>
      </c>
      <c r="Q1771">
        <v>3</v>
      </c>
      <c r="R1771">
        <v>-164.9538</v>
      </c>
      <c r="S1771" s="3" t="s">
        <v>65</v>
      </c>
      <c r="T1771">
        <v>2016</v>
      </c>
      <c r="U1771" t="s">
        <v>527</v>
      </c>
      <c r="V1771" s="2">
        <v>-0.73333333333333295</v>
      </c>
    </row>
    <row r="1772" spans="1:22" x14ac:dyDescent="0.25">
      <c r="A1772" t="s">
        <v>4087</v>
      </c>
      <c r="B1772" s="1">
        <v>42921</v>
      </c>
      <c r="C1772" s="1">
        <v>42923</v>
      </c>
      <c r="D1772" t="s">
        <v>56</v>
      </c>
      <c r="E1772" t="s">
        <v>1471</v>
      </c>
      <c r="F1772" t="s">
        <v>1472</v>
      </c>
      <c r="G1772" t="s">
        <v>59</v>
      </c>
      <c r="H1772" t="s">
        <v>27</v>
      </c>
      <c r="I1772" t="s">
        <v>4088</v>
      </c>
      <c r="J1772" t="s">
        <v>779</v>
      </c>
      <c r="K1772" t="s">
        <v>62</v>
      </c>
      <c r="L1772" t="s">
        <v>178</v>
      </c>
      <c r="M1772" t="s">
        <v>32</v>
      </c>
      <c r="N1772" t="s">
        <v>33</v>
      </c>
      <c r="O1772" t="s">
        <v>179</v>
      </c>
      <c r="P1772">
        <v>79.959999999999994</v>
      </c>
      <c r="Q1772">
        <v>4</v>
      </c>
      <c r="R1772">
        <v>22.3888</v>
      </c>
      <c r="S1772" s="3" t="s">
        <v>65</v>
      </c>
      <c r="T1772">
        <v>2017</v>
      </c>
      <c r="U1772" t="s">
        <v>332</v>
      </c>
      <c r="V1772" s="2">
        <v>0.28000000000000003</v>
      </c>
    </row>
    <row r="1773" spans="1:22" x14ac:dyDescent="0.25">
      <c r="A1773" t="s">
        <v>4089</v>
      </c>
      <c r="B1773" s="1">
        <v>42150</v>
      </c>
      <c r="C1773" s="1">
        <v>42152</v>
      </c>
      <c r="D1773" t="s">
        <v>40</v>
      </c>
      <c r="E1773" t="s">
        <v>3347</v>
      </c>
      <c r="F1773" t="s">
        <v>3348</v>
      </c>
      <c r="G1773" t="s">
        <v>26</v>
      </c>
      <c r="H1773" t="s">
        <v>27</v>
      </c>
      <c r="I1773" t="s">
        <v>213</v>
      </c>
      <c r="J1773" t="s">
        <v>61</v>
      </c>
      <c r="K1773" t="s">
        <v>62</v>
      </c>
      <c r="L1773" t="s">
        <v>1357</v>
      </c>
      <c r="M1773" t="s">
        <v>32</v>
      </c>
      <c r="N1773" t="s">
        <v>215</v>
      </c>
      <c r="O1773" t="s">
        <v>1358</v>
      </c>
      <c r="P1773">
        <v>399.54</v>
      </c>
      <c r="Q1773">
        <v>2</v>
      </c>
      <c r="R1773">
        <v>-79.908000000000001</v>
      </c>
      <c r="S1773" s="3" t="s">
        <v>65</v>
      </c>
      <c r="T1773">
        <v>2015</v>
      </c>
      <c r="U1773" t="s">
        <v>527</v>
      </c>
      <c r="V1773" s="2">
        <v>-0.2</v>
      </c>
    </row>
    <row r="1774" spans="1:22" x14ac:dyDescent="0.25">
      <c r="A1774" t="s">
        <v>4090</v>
      </c>
      <c r="B1774" s="1">
        <v>42992</v>
      </c>
      <c r="C1774" s="1">
        <v>42994</v>
      </c>
      <c r="D1774" t="s">
        <v>56</v>
      </c>
      <c r="E1774" t="s">
        <v>4091</v>
      </c>
      <c r="F1774" t="s">
        <v>4092</v>
      </c>
      <c r="G1774" t="s">
        <v>70</v>
      </c>
      <c r="H1774" t="s">
        <v>27</v>
      </c>
      <c r="I1774" t="s">
        <v>103</v>
      </c>
      <c r="J1774" t="s">
        <v>104</v>
      </c>
      <c r="K1774" t="s">
        <v>95</v>
      </c>
      <c r="L1774" t="s">
        <v>1092</v>
      </c>
      <c r="M1774" t="s">
        <v>32</v>
      </c>
      <c r="N1774" t="s">
        <v>33</v>
      </c>
      <c r="O1774" t="s">
        <v>1093</v>
      </c>
      <c r="P1774">
        <v>1079.8499999999999</v>
      </c>
      <c r="Q1774">
        <v>3</v>
      </c>
      <c r="R1774">
        <v>323.95499999999998</v>
      </c>
      <c r="S1774" s="3" t="s">
        <v>65</v>
      </c>
      <c r="T1774">
        <v>2017</v>
      </c>
      <c r="U1774" t="s">
        <v>81</v>
      </c>
      <c r="V1774" s="2">
        <v>0.3</v>
      </c>
    </row>
    <row r="1775" spans="1:22" x14ac:dyDescent="0.25">
      <c r="A1775" t="s">
        <v>4093</v>
      </c>
      <c r="B1775" s="1">
        <v>42759</v>
      </c>
      <c r="C1775" s="1">
        <v>42764</v>
      </c>
      <c r="D1775" t="s">
        <v>23</v>
      </c>
      <c r="E1775" t="s">
        <v>3707</v>
      </c>
      <c r="F1775" t="s">
        <v>3708</v>
      </c>
      <c r="G1775" t="s">
        <v>59</v>
      </c>
      <c r="H1775" t="s">
        <v>27</v>
      </c>
      <c r="I1775" t="s">
        <v>3478</v>
      </c>
      <c r="J1775" t="s">
        <v>29</v>
      </c>
      <c r="K1775" t="s">
        <v>30</v>
      </c>
      <c r="L1775" t="s">
        <v>2671</v>
      </c>
      <c r="M1775" t="s">
        <v>32</v>
      </c>
      <c r="N1775" t="s">
        <v>33</v>
      </c>
      <c r="O1775" t="s">
        <v>2672</v>
      </c>
      <c r="P1775">
        <v>110.352</v>
      </c>
      <c r="Q1775">
        <v>3</v>
      </c>
      <c r="R1775">
        <v>8.2764000000000006</v>
      </c>
      <c r="S1775" s="3" t="s">
        <v>35</v>
      </c>
      <c r="T1775">
        <v>2017</v>
      </c>
      <c r="U1775" t="s">
        <v>54</v>
      </c>
      <c r="V1775" s="2">
        <v>7.4999999999999997E-2</v>
      </c>
    </row>
    <row r="1776" spans="1:22" x14ac:dyDescent="0.25">
      <c r="A1776" t="s">
        <v>4094</v>
      </c>
      <c r="B1776" s="1">
        <v>43043</v>
      </c>
      <c r="C1776" s="1">
        <v>43048</v>
      </c>
      <c r="D1776" t="s">
        <v>23</v>
      </c>
      <c r="E1776" t="s">
        <v>4095</v>
      </c>
      <c r="F1776" t="s">
        <v>4096</v>
      </c>
      <c r="G1776" t="s">
        <v>59</v>
      </c>
      <c r="H1776" t="s">
        <v>27</v>
      </c>
      <c r="I1776" t="s">
        <v>2300</v>
      </c>
      <c r="J1776" t="s">
        <v>177</v>
      </c>
      <c r="K1776" t="s">
        <v>95</v>
      </c>
      <c r="L1776" t="s">
        <v>239</v>
      </c>
      <c r="M1776" t="s">
        <v>32</v>
      </c>
      <c r="N1776" t="s">
        <v>51</v>
      </c>
      <c r="O1776" t="s">
        <v>240</v>
      </c>
      <c r="P1776">
        <v>70.72</v>
      </c>
      <c r="Q1776">
        <v>4</v>
      </c>
      <c r="R1776">
        <v>-6.1879999999999997</v>
      </c>
      <c r="S1776" s="3" t="s">
        <v>35</v>
      </c>
      <c r="T1776">
        <v>2017</v>
      </c>
      <c r="U1776" t="s">
        <v>118</v>
      </c>
      <c r="V1776" s="2">
        <v>-8.7499999999999994E-2</v>
      </c>
    </row>
    <row r="1777" spans="1:22" x14ac:dyDescent="0.25">
      <c r="A1777" t="s">
        <v>4097</v>
      </c>
      <c r="B1777" s="1">
        <v>42631</v>
      </c>
      <c r="C1777" s="1">
        <v>42635</v>
      </c>
      <c r="D1777" t="s">
        <v>23</v>
      </c>
      <c r="E1777" t="s">
        <v>1523</v>
      </c>
      <c r="F1777" t="s">
        <v>1524</v>
      </c>
      <c r="G1777" t="s">
        <v>26</v>
      </c>
      <c r="H1777" t="s">
        <v>27</v>
      </c>
      <c r="I1777" t="s">
        <v>4098</v>
      </c>
      <c r="J1777" t="s">
        <v>29</v>
      </c>
      <c r="K1777" t="s">
        <v>30</v>
      </c>
      <c r="L1777" t="s">
        <v>2115</v>
      </c>
      <c r="M1777" t="s">
        <v>32</v>
      </c>
      <c r="N1777" t="s">
        <v>33</v>
      </c>
      <c r="O1777" t="s">
        <v>2116</v>
      </c>
      <c r="P1777">
        <v>239.98400000000001</v>
      </c>
      <c r="Q1777">
        <v>2</v>
      </c>
      <c r="R1777">
        <v>23.9984</v>
      </c>
      <c r="S1777" s="3" t="s">
        <v>53</v>
      </c>
      <c r="T1777">
        <v>2016</v>
      </c>
      <c r="U1777" t="s">
        <v>81</v>
      </c>
      <c r="V1777" s="2">
        <v>0.1</v>
      </c>
    </row>
    <row r="1778" spans="1:22" x14ac:dyDescent="0.25">
      <c r="A1778" t="s">
        <v>4099</v>
      </c>
      <c r="B1778" s="1">
        <v>41954</v>
      </c>
      <c r="C1778" s="1">
        <v>41956</v>
      </c>
      <c r="D1778" t="s">
        <v>56</v>
      </c>
      <c r="E1778" t="s">
        <v>4100</v>
      </c>
      <c r="F1778" t="s">
        <v>4101</v>
      </c>
      <c r="G1778" t="s">
        <v>59</v>
      </c>
      <c r="H1778" t="s">
        <v>27</v>
      </c>
      <c r="I1778" t="s">
        <v>481</v>
      </c>
      <c r="J1778" t="s">
        <v>426</v>
      </c>
      <c r="K1778" t="s">
        <v>30</v>
      </c>
      <c r="L1778" t="s">
        <v>1531</v>
      </c>
      <c r="M1778" t="s">
        <v>32</v>
      </c>
      <c r="N1778" t="s">
        <v>51</v>
      </c>
      <c r="O1778" t="s">
        <v>1532</v>
      </c>
      <c r="P1778">
        <v>102.13</v>
      </c>
      <c r="Q1778">
        <v>7</v>
      </c>
      <c r="R1778">
        <v>15.3195</v>
      </c>
      <c r="S1778" s="3" t="s">
        <v>65</v>
      </c>
      <c r="T1778">
        <v>2014</v>
      </c>
      <c r="U1778" t="s">
        <v>118</v>
      </c>
      <c r="V1778" s="2">
        <v>0.15</v>
      </c>
    </row>
    <row r="1779" spans="1:22" x14ac:dyDescent="0.25">
      <c r="A1779" t="s">
        <v>4102</v>
      </c>
      <c r="B1779" s="1">
        <v>43055</v>
      </c>
      <c r="C1779" s="1">
        <v>43060</v>
      </c>
      <c r="D1779" t="s">
        <v>23</v>
      </c>
      <c r="E1779" t="s">
        <v>3532</v>
      </c>
      <c r="F1779" t="s">
        <v>3533</v>
      </c>
      <c r="G1779" t="s">
        <v>59</v>
      </c>
      <c r="H1779" t="s">
        <v>27</v>
      </c>
      <c r="I1779" t="s">
        <v>1839</v>
      </c>
      <c r="J1779" t="s">
        <v>177</v>
      </c>
      <c r="K1779" t="s">
        <v>95</v>
      </c>
      <c r="L1779" t="s">
        <v>737</v>
      </c>
      <c r="M1779" t="s">
        <v>32</v>
      </c>
      <c r="N1779" t="s">
        <v>381</v>
      </c>
      <c r="O1779" t="s">
        <v>738</v>
      </c>
      <c r="P1779">
        <v>899.98199999999997</v>
      </c>
      <c r="Q1779">
        <v>3</v>
      </c>
      <c r="R1779">
        <v>74.998500000000007</v>
      </c>
      <c r="S1779" s="3" t="s">
        <v>35</v>
      </c>
      <c r="T1779">
        <v>2017</v>
      </c>
      <c r="U1779" t="s">
        <v>118</v>
      </c>
      <c r="V1779" s="2">
        <v>8.3333333333333398E-2</v>
      </c>
    </row>
    <row r="1780" spans="1:22" x14ac:dyDescent="0.25">
      <c r="A1780" t="s">
        <v>4102</v>
      </c>
      <c r="B1780" s="1">
        <v>43055</v>
      </c>
      <c r="C1780" s="1">
        <v>43060</v>
      </c>
      <c r="D1780" t="s">
        <v>23</v>
      </c>
      <c r="E1780" t="s">
        <v>3532</v>
      </c>
      <c r="F1780" t="s">
        <v>3533</v>
      </c>
      <c r="G1780" t="s">
        <v>59</v>
      </c>
      <c r="H1780" t="s">
        <v>27</v>
      </c>
      <c r="I1780" t="s">
        <v>1839</v>
      </c>
      <c r="J1780" t="s">
        <v>177</v>
      </c>
      <c r="K1780" t="s">
        <v>95</v>
      </c>
      <c r="L1780" t="s">
        <v>412</v>
      </c>
      <c r="M1780" t="s">
        <v>32</v>
      </c>
      <c r="N1780" t="s">
        <v>51</v>
      </c>
      <c r="O1780" t="s">
        <v>413</v>
      </c>
      <c r="P1780">
        <v>139.96</v>
      </c>
      <c r="Q1780">
        <v>5</v>
      </c>
      <c r="R1780">
        <v>-1.7495000000000001</v>
      </c>
      <c r="S1780" s="3" t="s">
        <v>35</v>
      </c>
      <c r="T1780">
        <v>2017</v>
      </c>
      <c r="U1780" t="s">
        <v>118</v>
      </c>
      <c r="V1780" s="2">
        <v>-1.2500000000000001E-2</v>
      </c>
    </row>
    <row r="1781" spans="1:22" x14ac:dyDescent="0.25">
      <c r="A1781" t="s">
        <v>4103</v>
      </c>
      <c r="B1781" s="1">
        <v>41908</v>
      </c>
      <c r="C1781" s="1">
        <v>41912</v>
      </c>
      <c r="D1781" t="s">
        <v>23</v>
      </c>
      <c r="E1781" t="s">
        <v>4104</v>
      </c>
      <c r="F1781" t="s">
        <v>4105</v>
      </c>
      <c r="G1781" t="s">
        <v>70</v>
      </c>
      <c r="H1781" t="s">
        <v>27</v>
      </c>
      <c r="I1781" t="s">
        <v>2300</v>
      </c>
      <c r="J1781" t="s">
        <v>177</v>
      </c>
      <c r="K1781" t="s">
        <v>95</v>
      </c>
      <c r="L1781" t="s">
        <v>3737</v>
      </c>
      <c r="M1781" t="s">
        <v>32</v>
      </c>
      <c r="N1781" t="s">
        <v>51</v>
      </c>
      <c r="O1781" t="s">
        <v>3738</v>
      </c>
      <c r="P1781">
        <v>3.1520000000000001</v>
      </c>
      <c r="Q1781">
        <v>2</v>
      </c>
      <c r="R1781">
        <v>0.4728</v>
      </c>
      <c r="S1781" s="3" t="s">
        <v>53</v>
      </c>
      <c r="T1781">
        <v>2014</v>
      </c>
      <c r="U1781" t="s">
        <v>81</v>
      </c>
      <c r="V1781" s="2">
        <v>0.15</v>
      </c>
    </row>
    <row r="1782" spans="1:22" x14ac:dyDescent="0.25">
      <c r="A1782" t="s">
        <v>4106</v>
      </c>
      <c r="B1782" s="1">
        <v>42521</v>
      </c>
      <c r="C1782" s="1">
        <v>42527</v>
      </c>
      <c r="D1782" t="s">
        <v>23</v>
      </c>
      <c r="E1782" t="s">
        <v>2953</v>
      </c>
      <c r="F1782" t="s">
        <v>2954</v>
      </c>
      <c r="G1782" t="s">
        <v>26</v>
      </c>
      <c r="H1782" t="s">
        <v>27</v>
      </c>
      <c r="I1782" t="s">
        <v>103</v>
      </c>
      <c r="J1782" t="s">
        <v>104</v>
      </c>
      <c r="K1782" t="s">
        <v>95</v>
      </c>
      <c r="L1782" t="s">
        <v>2502</v>
      </c>
      <c r="M1782" t="s">
        <v>32</v>
      </c>
      <c r="N1782" t="s">
        <v>33</v>
      </c>
      <c r="O1782" t="s">
        <v>2503</v>
      </c>
      <c r="P1782">
        <v>179.7</v>
      </c>
      <c r="Q1782">
        <v>6</v>
      </c>
      <c r="R1782">
        <v>88.052999999999997</v>
      </c>
      <c r="S1782" s="3" t="s">
        <v>107</v>
      </c>
      <c r="T1782">
        <v>2016</v>
      </c>
      <c r="U1782" t="s">
        <v>527</v>
      </c>
      <c r="V1782" s="2">
        <v>0.49</v>
      </c>
    </row>
    <row r="1783" spans="1:22" x14ac:dyDescent="0.25">
      <c r="A1783" t="s">
        <v>4107</v>
      </c>
      <c r="B1783" s="1">
        <v>41926</v>
      </c>
      <c r="C1783" s="1">
        <v>41929</v>
      </c>
      <c r="D1783" t="s">
        <v>56</v>
      </c>
      <c r="E1783" t="s">
        <v>1994</v>
      </c>
      <c r="F1783" t="s">
        <v>1995</v>
      </c>
      <c r="G1783" t="s">
        <v>26</v>
      </c>
      <c r="H1783" t="s">
        <v>27</v>
      </c>
      <c r="I1783" t="s">
        <v>1248</v>
      </c>
      <c r="J1783" t="s">
        <v>1249</v>
      </c>
      <c r="K1783" t="s">
        <v>95</v>
      </c>
      <c r="L1783" t="s">
        <v>1226</v>
      </c>
      <c r="M1783" t="s">
        <v>32</v>
      </c>
      <c r="N1783" t="s">
        <v>51</v>
      </c>
      <c r="O1783" t="s">
        <v>1227</v>
      </c>
      <c r="P1783">
        <v>177</v>
      </c>
      <c r="Q1783">
        <v>3</v>
      </c>
      <c r="R1783">
        <v>30.09</v>
      </c>
      <c r="S1783" s="3" t="s">
        <v>172</v>
      </c>
      <c r="T1783">
        <v>2014</v>
      </c>
      <c r="U1783" t="s">
        <v>133</v>
      </c>
      <c r="V1783" s="2">
        <v>0.17</v>
      </c>
    </row>
    <row r="1784" spans="1:22" x14ac:dyDescent="0.25">
      <c r="A1784" t="s">
        <v>4108</v>
      </c>
      <c r="B1784" s="1">
        <v>42894</v>
      </c>
      <c r="C1784" s="1">
        <v>42899</v>
      </c>
      <c r="D1784" t="s">
        <v>23</v>
      </c>
      <c r="E1784" t="s">
        <v>3876</v>
      </c>
      <c r="F1784" t="s">
        <v>3877</v>
      </c>
      <c r="G1784" t="s">
        <v>26</v>
      </c>
      <c r="H1784" t="s">
        <v>27</v>
      </c>
      <c r="I1784" t="s">
        <v>1217</v>
      </c>
      <c r="J1784" t="s">
        <v>123</v>
      </c>
      <c r="K1784" t="s">
        <v>30</v>
      </c>
      <c r="L1784" t="s">
        <v>1364</v>
      </c>
      <c r="M1784" t="s">
        <v>32</v>
      </c>
      <c r="N1784" t="s">
        <v>51</v>
      </c>
      <c r="O1784" t="s">
        <v>1365</v>
      </c>
      <c r="P1784">
        <v>89.543999999999997</v>
      </c>
      <c r="Q1784">
        <v>7</v>
      </c>
      <c r="R1784">
        <v>12.3123</v>
      </c>
      <c r="S1784" s="3" t="s">
        <v>35</v>
      </c>
      <c r="T1784">
        <v>2017</v>
      </c>
      <c r="U1784" t="s">
        <v>36</v>
      </c>
      <c r="V1784" s="2">
        <v>0.13750000000000001</v>
      </c>
    </row>
    <row r="1785" spans="1:22" x14ac:dyDescent="0.25">
      <c r="A1785" t="s">
        <v>4109</v>
      </c>
      <c r="B1785" s="1">
        <v>41962</v>
      </c>
      <c r="C1785" s="1">
        <v>41967</v>
      </c>
      <c r="D1785" t="s">
        <v>23</v>
      </c>
      <c r="E1785" t="s">
        <v>1671</v>
      </c>
      <c r="F1785" t="s">
        <v>1672</v>
      </c>
      <c r="G1785" t="s">
        <v>26</v>
      </c>
      <c r="H1785" t="s">
        <v>27</v>
      </c>
      <c r="I1785" t="s">
        <v>4110</v>
      </c>
      <c r="J1785" t="s">
        <v>86</v>
      </c>
      <c r="K1785" t="s">
        <v>62</v>
      </c>
      <c r="L1785" t="s">
        <v>638</v>
      </c>
      <c r="M1785" t="s">
        <v>32</v>
      </c>
      <c r="N1785" t="s">
        <v>33</v>
      </c>
      <c r="O1785" t="s">
        <v>639</v>
      </c>
      <c r="P1785">
        <v>281.97000000000003</v>
      </c>
      <c r="Q1785">
        <v>3</v>
      </c>
      <c r="R1785">
        <v>78.951599999999999</v>
      </c>
      <c r="S1785" s="3" t="s">
        <v>35</v>
      </c>
      <c r="T1785">
        <v>2014</v>
      </c>
      <c r="U1785" t="s">
        <v>118</v>
      </c>
      <c r="V1785" s="2">
        <v>0.28000000000000003</v>
      </c>
    </row>
    <row r="1786" spans="1:22" x14ac:dyDescent="0.25">
      <c r="A1786" t="s">
        <v>4111</v>
      </c>
      <c r="B1786" s="1">
        <v>42758</v>
      </c>
      <c r="C1786" s="1">
        <v>42762</v>
      </c>
      <c r="D1786" t="s">
        <v>23</v>
      </c>
      <c r="E1786" t="s">
        <v>4112</v>
      </c>
      <c r="F1786" t="s">
        <v>4113</v>
      </c>
      <c r="G1786" t="s">
        <v>70</v>
      </c>
      <c r="H1786" t="s">
        <v>27</v>
      </c>
      <c r="I1786" t="s">
        <v>397</v>
      </c>
      <c r="J1786" t="s">
        <v>123</v>
      </c>
      <c r="K1786" t="s">
        <v>30</v>
      </c>
      <c r="L1786" t="s">
        <v>2376</v>
      </c>
      <c r="M1786" t="s">
        <v>32</v>
      </c>
      <c r="N1786" t="s">
        <v>51</v>
      </c>
      <c r="O1786" t="s">
        <v>2377</v>
      </c>
      <c r="P1786">
        <v>95.983999999999995</v>
      </c>
      <c r="Q1786">
        <v>2</v>
      </c>
      <c r="R1786">
        <v>11.997999999999999</v>
      </c>
      <c r="S1786" s="3" t="s">
        <v>53</v>
      </c>
      <c r="T1786">
        <v>2017</v>
      </c>
      <c r="U1786" t="s">
        <v>54</v>
      </c>
      <c r="V1786" s="2">
        <v>0.125</v>
      </c>
    </row>
    <row r="1787" spans="1:22" x14ac:dyDescent="0.25">
      <c r="A1787" t="s">
        <v>4114</v>
      </c>
      <c r="B1787" s="1">
        <v>42527</v>
      </c>
      <c r="C1787" s="1">
        <v>42532</v>
      </c>
      <c r="D1787" t="s">
        <v>23</v>
      </c>
      <c r="E1787" t="s">
        <v>2287</v>
      </c>
      <c r="F1787" t="s">
        <v>2288</v>
      </c>
      <c r="G1787" t="s">
        <v>70</v>
      </c>
      <c r="H1787" t="s">
        <v>27</v>
      </c>
      <c r="I1787" t="s">
        <v>4115</v>
      </c>
      <c r="J1787" t="s">
        <v>29</v>
      </c>
      <c r="K1787" t="s">
        <v>30</v>
      </c>
      <c r="L1787" t="s">
        <v>2021</v>
      </c>
      <c r="M1787" t="s">
        <v>32</v>
      </c>
      <c r="N1787" t="s">
        <v>33</v>
      </c>
      <c r="O1787" t="s">
        <v>2022</v>
      </c>
      <c r="P1787">
        <v>3023.9279999999999</v>
      </c>
      <c r="Q1787">
        <v>9</v>
      </c>
      <c r="R1787">
        <v>226.7946</v>
      </c>
      <c r="S1787" s="3" t="s">
        <v>35</v>
      </c>
      <c r="T1787">
        <v>2016</v>
      </c>
      <c r="U1787" t="s">
        <v>36</v>
      </c>
      <c r="V1787" s="2">
        <v>7.4999999999999997E-2</v>
      </c>
    </row>
    <row r="1788" spans="1:22" x14ac:dyDescent="0.25">
      <c r="A1788" t="s">
        <v>4114</v>
      </c>
      <c r="B1788" s="1">
        <v>42527</v>
      </c>
      <c r="C1788" s="1">
        <v>42532</v>
      </c>
      <c r="D1788" t="s">
        <v>23</v>
      </c>
      <c r="E1788" t="s">
        <v>2287</v>
      </c>
      <c r="F1788" t="s">
        <v>2288</v>
      </c>
      <c r="G1788" t="s">
        <v>70</v>
      </c>
      <c r="H1788" t="s">
        <v>27</v>
      </c>
      <c r="I1788" t="s">
        <v>4115</v>
      </c>
      <c r="J1788" t="s">
        <v>29</v>
      </c>
      <c r="K1788" t="s">
        <v>30</v>
      </c>
      <c r="L1788" t="s">
        <v>2304</v>
      </c>
      <c r="M1788" t="s">
        <v>32</v>
      </c>
      <c r="N1788" t="s">
        <v>51</v>
      </c>
      <c r="O1788" t="s">
        <v>2305</v>
      </c>
      <c r="P1788">
        <v>26.96</v>
      </c>
      <c r="Q1788">
        <v>2</v>
      </c>
      <c r="R1788">
        <v>3.7744</v>
      </c>
      <c r="S1788" s="3" t="s">
        <v>35</v>
      </c>
      <c r="T1788">
        <v>2016</v>
      </c>
      <c r="U1788" t="s">
        <v>36</v>
      </c>
      <c r="V1788" s="2">
        <v>0.14000000000000001</v>
      </c>
    </row>
    <row r="1789" spans="1:22" x14ac:dyDescent="0.25">
      <c r="A1789" t="s">
        <v>4114</v>
      </c>
      <c r="B1789" s="1">
        <v>42527</v>
      </c>
      <c r="C1789" s="1">
        <v>42532</v>
      </c>
      <c r="D1789" t="s">
        <v>23</v>
      </c>
      <c r="E1789" t="s">
        <v>2287</v>
      </c>
      <c r="F1789" t="s">
        <v>2288</v>
      </c>
      <c r="G1789" t="s">
        <v>70</v>
      </c>
      <c r="H1789" t="s">
        <v>27</v>
      </c>
      <c r="I1789" t="s">
        <v>4115</v>
      </c>
      <c r="J1789" t="s">
        <v>29</v>
      </c>
      <c r="K1789" t="s">
        <v>30</v>
      </c>
      <c r="L1789" t="s">
        <v>334</v>
      </c>
      <c r="M1789" t="s">
        <v>32</v>
      </c>
      <c r="N1789" t="s">
        <v>33</v>
      </c>
      <c r="O1789" t="s">
        <v>335</v>
      </c>
      <c r="P1789">
        <v>477.6</v>
      </c>
      <c r="Q1789">
        <v>3</v>
      </c>
      <c r="R1789">
        <v>161.19</v>
      </c>
      <c r="S1789" s="3" t="s">
        <v>35</v>
      </c>
      <c r="T1789">
        <v>2016</v>
      </c>
      <c r="U1789" t="s">
        <v>36</v>
      </c>
      <c r="V1789" s="2">
        <v>0.33750000000000002</v>
      </c>
    </row>
    <row r="1790" spans="1:22" x14ac:dyDescent="0.25">
      <c r="A1790" t="s">
        <v>4116</v>
      </c>
      <c r="B1790" s="1">
        <v>43052</v>
      </c>
      <c r="C1790" s="1">
        <v>43058</v>
      </c>
      <c r="D1790" t="s">
        <v>23</v>
      </c>
      <c r="E1790" t="s">
        <v>293</v>
      </c>
      <c r="F1790" t="s">
        <v>294</v>
      </c>
      <c r="G1790" t="s">
        <v>26</v>
      </c>
      <c r="H1790" t="s">
        <v>27</v>
      </c>
      <c r="I1790" t="s">
        <v>281</v>
      </c>
      <c r="J1790" t="s">
        <v>29</v>
      </c>
      <c r="K1790" t="s">
        <v>30</v>
      </c>
      <c r="L1790" t="s">
        <v>1077</v>
      </c>
      <c r="M1790" t="s">
        <v>32</v>
      </c>
      <c r="N1790" t="s">
        <v>33</v>
      </c>
      <c r="O1790" t="s">
        <v>1078</v>
      </c>
      <c r="P1790">
        <v>22</v>
      </c>
      <c r="Q1790">
        <v>5</v>
      </c>
      <c r="R1790">
        <v>1.375</v>
      </c>
      <c r="S1790" s="3" t="s">
        <v>107</v>
      </c>
      <c r="T1790">
        <v>2017</v>
      </c>
      <c r="U1790" t="s">
        <v>118</v>
      </c>
      <c r="V1790" s="2">
        <v>6.25E-2</v>
      </c>
    </row>
    <row r="1791" spans="1:22" x14ac:dyDescent="0.25">
      <c r="A1791" t="s">
        <v>4117</v>
      </c>
      <c r="B1791" s="1">
        <v>42727</v>
      </c>
      <c r="C1791" s="1">
        <v>42732</v>
      </c>
      <c r="D1791" t="s">
        <v>23</v>
      </c>
      <c r="E1791" t="s">
        <v>237</v>
      </c>
      <c r="F1791" t="s">
        <v>238</v>
      </c>
      <c r="G1791" t="s">
        <v>70</v>
      </c>
      <c r="H1791" t="s">
        <v>27</v>
      </c>
      <c r="I1791" t="s">
        <v>206</v>
      </c>
      <c r="J1791" t="s">
        <v>207</v>
      </c>
      <c r="K1791" t="s">
        <v>95</v>
      </c>
      <c r="L1791" t="s">
        <v>4118</v>
      </c>
      <c r="M1791" t="s">
        <v>32</v>
      </c>
      <c r="N1791" t="s">
        <v>33</v>
      </c>
      <c r="O1791" t="s">
        <v>4119</v>
      </c>
      <c r="P1791">
        <v>1499.97</v>
      </c>
      <c r="Q1791">
        <v>5</v>
      </c>
      <c r="R1791">
        <v>-374.99250000000001</v>
      </c>
      <c r="S1791" s="3" t="s">
        <v>35</v>
      </c>
      <c r="T1791">
        <v>2016</v>
      </c>
      <c r="U1791" t="s">
        <v>66</v>
      </c>
      <c r="V1791" s="2">
        <v>-0.25</v>
      </c>
    </row>
    <row r="1792" spans="1:22" x14ac:dyDescent="0.25">
      <c r="A1792" t="s">
        <v>4120</v>
      </c>
      <c r="B1792" s="1">
        <v>42365</v>
      </c>
      <c r="C1792" s="1">
        <v>42369</v>
      </c>
      <c r="D1792" t="s">
        <v>23</v>
      </c>
      <c r="E1792" t="s">
        <v>3864</v>
      </c>
      <c r="F1792" t="s">
        <v>3865</v>
      </c>
      <c r="G1792" t="s">
        <v>59</v>
      </c>
      <c r="H1792" t="s">
        <v>27</v>
      </c>
      <c r="I1792" t="s">
        <v>43</v>
      </c>
      <c r="J1792" t="s">
        <v>29</v>
      </c>
      <c r="K1792" t="s">
        <v>30</v>
      </c>
      <c r="L1792" t="s">
        <v>1111</v>
      </c>
      <c r="M1792" t="s">
        <v>32</v>
      </c>
      <c r="N1792" t="s">
        <v>33</v>
      </c>
      <c r="O1792" t="s">
        <v>1112</v>
      </c>
      <c r="P1792">
        <v>668.16</v>
      </c>
      <c r="Q1792">
        <v>9</v>
      </c>
      <c r="R1792">
        <v>75.168000000000006</v>
      </c>
      <c r="S1792" s="3" t="s">
        <v>53</v>
      </c>
      <c r="T1792">
        <v>2015</v>
      </c>
      <c r="U1792" t="s">
        <v>66</v>
      </c>
      <c r="V1792" s="2">
        <v>0.1125</v>
      </c>
    </row>
    <row r="1793" spans="1:22" x14ac:dyDescent="0.25">
      <c r="A1793" t="s">
        <v>4121</v>
      </c>
      <c r="B1793" s="1">
        <v>42737</v>
      </c>
      <c r="C1793" s="1">
        <v>42739</v>
      </c>
      <c r="D1793" t="s">
        <v>40</v>
      </c>
      <c r="E1793" t="s">
        <v>3985</v>
      </c>
      <c r="F1793" t="s">
        <v>3986</v>
      </c>
      <c r="G1793" t="s">
        <v>59</v>
      </c>
      <c r="H1793" t="s">
        <v>27</v>
      </c>
      <c r="I1793" t="s">
        <v>28</v>
      </c>
      <c r="J1793" t="s">
        <v>29</v>
      </c>
      <c r="K1793" t="s">
        <v>30</v>
      </c>
      <c r="L1793" t="s">
        <v>1771</v>
      </c>
      <c r="M1793" t="s">
        <v>32</v>
      </c>
      <c r="N1793" t="s">
        <v>51</v>
      </c>
      <c r="O1793" t="s">
        <v>1772</v>
      </c>
      <c r="P1793">
        <v>16.59</v>
      </c>
      <c r="Q1793">
        <v>1</v>
      </c>
      <c r="R1793">
        <v>5.8064999999999998</v>
      </c>
      <c r="S1793" s="3" t="s">
        <v>65</v>
      </c>
      <c r="T1793">
        <v>2017</v>
      </c>
      <c r="U1793" t="s">
        <v>54</v>
      </c>
      <c r="V1793" s="2">
        <v>0.35</v>
      </c>
    </row>
    <row r="1794" spans="1:22" x14ac:dyDescent="0.25">
      <c r="A1794" t="s">
        <v>4122</v>
      </c>
      <c r="B1794" s="1">
        <v>42906</v>
      </c>
      <c r="C1794" s="1">
        <v>42913</v>
      </c>
      <c r="D1794" t="s">
        <v>23</v>
      </c>
      <c r="E1794" t="s">
        <v>127</v>
      </c>
      <c r="F1794" t="s">
        <v>128</v>
      </c>
      <c r="G1794" t="s">
        <v>26</v>
      </c>
      <c r="H1794" t="s">
        <v>27</v>
      </c>
      <c r="I1794" t="s">
        <v>2225</v>
      </c>
      <c r="J1794" t="s">
        <v>693</v>
      </c>
      <c r="K1794" t="s">
        <v>155</v>
      </c>
      <c r="L1794" t="s">
        <v>1933</v>
      </c>
      <c r="M1794" t="s">
        <v>32</v>
      </c>
      <c r="N1794" t="s">
        <v>33</v>
      </c>
      <c r="O1794" t="s">
        <v>1934</v>
      </c>
      <c r="P1794">
        <v>503.96</v>
      </c>
      <c r="Q1794">
        <v>4</v>
      </c>
      <c r="R1794">
        <v>125.99</v>
      </c>
      <c r="S1794" s="3" t="s">
        <v>132</v>
      </c>
      <c r="T1794">
        <v>2017</v>
      </c>
      <c r="U1794" t="s">
        <v>36</v>
      </c>
      <c r="V1794" s="2">
        <v>0.25</v>
      </c>
    </row>
    <row r="1795" spans="1:22" x14ac:dyDescent="0.25">
      <c r="A1795" t="s">
        <v>4123</v>
      </c>
      <c r="B1795" s="1">
        <v>43084</v>
      </c>
      <c r="C1795" s="1">
        <v>43088</v>
      </c>
      <c r="D1795" t="s">
        <v>23</v>
      </c>
      <c r="E1795" t="s">
        <v>2491</v>
      </c>
      <c r="F1795" t="s">
        <v>2492</v>
      </c>
      <c r="G1795" t="s">
        <v>26</v>
      </c>
      <c r="H1795" t="s">
        <v>27</v>
      </c>
      <c r="I1795" t="s">
        <v>2366</v>
      </c>
      <c r="J1795" t="s">
        <v>29</v>
      </c>
      <c r="K1795" t="s">
        <v>30</v>
      </c>
      <c r="L1795" t="s">
        <v>1793</v>
      </c>
      <c r="M1795" t="s">
        <v>32</v>
      </c>
      <c r="N1795" t="s">
        <v>33</v>
      </c>
      <c r="O1795" t="s">
        <v>1794</v>
      </c>
      <c r="P1795">
        <v>196.77600000000001</v>
      </c>
      <c r="Q1795">
        <v>3</v>
      </c>
      <c r="R1795">
        <v>14.7582</v>
      </c>
      <c r="S1795" s="3" t="s">
        <v>53</v>
      </c>
      <c r="T1795">
        <v>2017</v>
      </c>
      <c r="U1795" t="s">
        <v>66</v>
      </c>
      <c r="V1795" s="2">
        <v>7.4999999999999997E-2</v>
      </c>
    </row>
    <row r="1796" spans="1:22" x14ac:dyDescent="0.25">
      <c r="A1796" t="s">
        <v>4124</v>
      </c>
      <c r="B1796" s="1">
        <v>41948</v>
      </c>
      <c r="C1796" s="1">
        <v>41953</v>
      </c>
      <c r="D1796" t="s">
        <v>23</v>
      </c>
      <c r="E1796" t="s">
        <v>4125</v>
      </c>
      <c r="F1796" t="s">
        <v>4126</v>
      </c>
      <c r="G1796" t="s">
        <v>26</v>
      </c>
      <c r="H1796" t="s">
        <v>27</v>
      </c>
      <c r="I1796" t="s">
        <v>206</v>
      </c>
      <c r="J1796" t="s">
        <v>207</v>
      </c>
      <c r="K1796" t="s">
        <v>95</v>
      </c>
      <c r="L1796" t="s">
        <v>659</v>
      </c>
      <c r="M1796" t="s">
        <v>32</v>
      </c>
      <c r="N1796" t="s">
        <v>51</v>
      </c>
      <c r="O1796" t="s">
        <v>660</v>
      </c>
      <c r="P1796">
        <v>51.56</v>
      </c>
      <c r="Q1796">
        <v>5</v>
      </c>
      <c r="R1796">
        <v>-6.4450000000000003</v>
      </c>
      <c r="S1796" s="3" t="s">
        <v>35</v>
      </c>
      <c r="T1796">
        <v>2014</v>
      </c>
      <c r="U1796" t="s">
        <v>118</v>
      </c>
      <c r="V1796" s="2">
        <v>-0.125</v>
      </c>
    </row>
    <row r="1797" spans="1:22" x14ac:dyDescent="0.25">
      <c r="A1797" t="s">
        <v>4124</v>
      </c>
      <c r="B1797" s="1">
        <v>41948</v>
      </c>
      <c r="C1797" s="1">
        <v>41953</v>
      </c>
      <c r="D1797" t="s">
        <v>23</v>
      </c>
      <c r="E1797" t="s">
        <v>4125</v>
      </c>
      <c r="F1797" t="s">
        <v>4126</v>
      </c>
      <c r="G1797" t="s">
        <v>26</v>
      </c>
      <c r="H1797" t="s">
        <v>27</v>
      </c>
      <c r="I1797" t="s">
        <v>206</v>
      </c>
      <c r="J1797" t="s">
        <v>207</v>
      </c>
      <c r="K1797" t="s">
        <v>95</v>
      </c>
      <c r="L1797" t="s">
        <v>1713</v>
      </c>
      <c r="M1797" t="s">
        <v>32</v>
      </c>
      <c r="N1797" t="s">
        <v>51</v>
      </c>
      <c r="O1797" t="s">
        <v>1714</v>
      </c>
      <c r="P1797">
        <v>58.415999999999997</v>
      </c>
      <c r="Q1797">
        <v>2</v>
      </c>
      <c r="R1797">
        <v>16.794599999999999</v>
      </c>
      <c r="S1797" s="3" t="s">
        <v>35</v>
      </c>
      <c r="T1797">
        <v>2014</v>
      </c>
      <c r="U1797" t="s">
        <v>118</v>
      </c>
      <c r="V1797" s="2">
        <v>0.28749999999999998</v>
      </c>
    </row>
    <row r="1798" spans="1:22" x14ac:dyDescent="0.25">
      <c r="A1798" t="s">
        <v>4127</v>
      </c>
      <c r="B1798" s="1">
        <v>42520</v>
      </c>
      <c r="C1798" s="1">
        <v>42521</v>
      </c>
      <c r="D1798" t="s">
        <v>677</v>
      </c>
      <c r="E1798" t="s">
        <v>925</v>
      </c>
      <c r="F1798" t="s">
        <v>926</v>
      </c>
      <c r="G1798" t="s">
        <v>26</v>
      </c>
      <c r="H1798" t="s">
        <v>27</v>
      </c>
      <c r="I1798" t="s">
        <v>71</v>
      </c>
      <c r="J1798" t="s">
        <v>61</v>
      </c>
      <c r="K1798" t="s">
        <v>62</v>
      </c>
      <c r="L1798" t="s">
        <v>178</v>
      </c>
      <c r="M1798" t="s">
        <v>32</v>
      </c>
      <c r="N1798" t="s">
        <v>33</v>
      </c>
      <c r="O1798" t="s">
        <v>179</v>
      </c>
      <c r="P1798">
        <v>79.959999999999994</v>
      </c>
      <c r="Q1798">
        <v>5</v>
      </c>
      <c r="R1798">
        <v>7.9960000000000004</v>
      </c>
      <c r="S1798" s="3" t="s">
        <v>112</v>
      </c>
      <c r="T1798">
        <v>2016</v>
      </c>
      <c r="U1798" t="s">
        <v>527</v>
      </c>
      <c r="V1798" s="2">
        <v>0.1</v>
      </c>
    </row>
    <row r="1799" spans="1:22" x14ac:dyDescent="0.25">
      <c r="A1799" t="s">
        <v>4127</v>
      </c>
      <c r="B1799" s="1">
        <v>42520</v>
      </c>
      <c r="C1799" s="1">
        <v>42521</v>
      </c>
      <c r="D1799" t="s">
        <v>677</v>
      </c>
      <c r="E1799" t="s">
        <v>925</v>
      </c>
      <c r="F1799" t="s">
        <v>926</v>
      </c>
      <c r="G1799" t="s">
        <v>26</v>
      </c>
      <c r="H1799" t="s">
        <v>27</v>
      </c>
      <c r="I1799" t="s">
        <v>71</v>
      </c>
      <c r="J1799" t="s">
        <v>61</v>
      </c>
      <c r="K1799" t="s">
        <v>62</v>
      </c>
      <c r="L1799" t="s">
        <v>271</v>
      </c>
      <c r="M1799" t="s">
        <v>32</v>
      </c>
      <c r="N1799" t="s">
        <v>51</v>
      </c>
      <c r="O1799" t="s">
        <v>272</v>
      </c>
      <c r="P1799">
        <v>223.96</v>
      </c>
      <c r="Q1799">
        <v>5</v>
      </c>
      <c r="R1799">
        <v>11.198</v>
      </c>
      <c r="S1799" s="3" t="s">
        <v>112</v>
      </c>
      <c r="T1799">
        <v>2016</v>
      </c>
      <c r="U1799" t="s">
        <v>527</v>
      </c>
      <c r="V1799" s="2">
        <v>0.05</v>
      </c>
    </row>
    <row r="1800" spans="1:22" x14ac:dyDescent="0.25">
      <c r="A1800" t="s">
        <v>4128</v>
      </c>
      <c r="B1800" s="1">
        <v>42416</v>
      </c>
      <c r="C1800" s="1">
        <v>42420</v>
      </c>
      <c r="D1800" t="s">
        <v>23</v>
      </c>
      <c r="E1800" t="s">
        <v>2688</v>
      </c>
      <c r="F1800" t="s">
        <v>2689</v>
      </c>
      <c r="G1800" t="s">
        <v>26</v>
      </c>
      <c r="H1800" t="s">
        <v>27</v>
      </c>
      <c r="I1800" t="s">
        <v>103</v>
      </c>
      <c r="J1800" t="s">
        <v>104</v>
      </c>
      <c r="K1800" t="s">
        <v>95</v>
      </c>
      <c r="L1800" t="s">
        <v>330</v>
      </c>
      <c r="M1800" t="s">
        <v>32</v>
      </c>
      <c r="N1800" t="s">
        <v>51</v>
      </c>
      <c r="O1800" t="s">
        <v>331</v>
      </c>
      <c r="P1800">
        <v>89.97</v>
      </c>
      <c r="Q1800">
        <v>3</v>
      </c>
      <c r="R1800">
        <v>39.586799999999997</v>
      </c>
      <c r="S1800" s="3" t="s">
        <v>53</v>
      </c>
      <c r="T1800">
        <v>2016</v>
      </c>
      <c r="U1800" t="s">
        <v>180</v>
      </c>
      <c r="V1800" s="2">
        <v>0.44</v>
      </c>
    </row>
    <row r="1801" spans="1:22" x14ac:dyDescent="0.25">
      <c r="A1801" t="s">
        <v>4129</v>
      </c>
      <c r="B1801" s="1">
        <v>42995</v>
      </c>
      <c r="C1801" s="1">
        <v>42998</v>
      </c>
      <c r="D1801" t="s">
        <v>56</v>
      </c>
      <c r="E1801" t="s">
        <v>1998</v>
      </c>
      <c r="F1801" t="s">
        <v>1999</v>
      </c>
      <c r="G1801" t="s">
        <v>26</v>
      </c>
      <c r="H1801" t="s">
        <v>27</v>
      </c>
      <c r="I1801" t="s">
        <v>2573</v>
      </c>
      <c r="J1801" t="s">
        <v>2574</v>
      </c>
      <c r="K1801" t="s">
        <v>30</v>
      </c>
      <c r="L1801" t="s">
        <v>1233</v>
      </c>
      <c r="M1801" t="s">
        <v>32</v>
      </c>
      <c r="N1801" t="s">
        <v>51</v>
      </c>
      <c r="O1801" t="s">
        <v>1234</v>
      </c>
      <c r="P1801">
        <v>89.97</v>
      </c>
      <c r="Q1801">
        <v>3</v>
      </c>
      <c r="R1801">
        <v>37.787399999999998</v>
      </c>
      <c r="S1801" s="3" t="s">
        <v>172</v>
      </c>
      <c r="T1801">
        <v>2017</v>
      </c>
      <c r="U1801" t="s">
        <v>81</v>
      </c>
      <c r="V1801" s="2">
        <v>0.42</v>
      </c>
    </row>
    <row r="1802" spans="1:22" x14ac:dyDescent="0.25">
      <c r="A1802" t="s">
        <v>4130</v>
      </c>
      <c r="B1802" s="1">
        <v>43071</v>
      </c>
      <c r="C1802" s="1">
        <v>43073</v>
      </c>
      <c r="D1802" t="s">
        <v>56</v>
      </c>
      <c r="E1802" t="s">
        <v>114</v>
      </c>
      <c r="F1802" t="s">
        <v>115</v>
      </c>
      <c r="G1802" t="s">
        <v>26</v>
      </c>
      <c r="H1802" t="s">
        <v>27</v>
      </c>
      <c r="I1802" t="s">
        <v>2123</v>
      </c>
      <c r="J1802" t="s">
        <v>1249</v>
      </c>
      <c r="K1802" t="s">
        <v>95</v>
      </c>
      <c r="L1802" t="s">
        <v>63</v>
      </c>
      <c r="M1802" t="s">
        <v>32</v>
      </c>
      <c r="N1802" t="s">
        <v>33</v>
      </c>
      <c r="O1802" t="s">
        <v>64</v>
      </c>
      <c r="P1802">
        <v>979.95</v>
      </c>
      <c r="Q1802">
        <v>5</v>
      </c>
      <c r="R1802">
        <v>284.18549999999999</v>
      </c>
      <c r="S1802" s="3" t="s">
        <v>65</v>
      </c>
      <c r="T1802">
        <v>2017</v>
      </c>
      <c r="U1802" t="s">
        <v>66</v>
      </c>
      <c r="V1802" s="2">
        <v>0.28999999999999998</v>
      </c>
    </row>
    <row r="1803" spans="1:22" x14ac:dyDescent="0.25">
      <c r="A1803" t="s">
        <v>4131</v>
      </c>
      <c r="B1803" s="1">
        <v>42184</v>
      </c>
      <c r="C1803" s="1">
        <v>42188</v>
      </c>
      <c r="D1803" t="s">
        <v>23</v>
      </c>
      <c r="E1803" t="s">
        <v>4132</v>
      </c>
      <c r="F1803" t="s">
        <v>4133</v>
      </c>
      <c r="G1803" t="s">
        <v>70</v>
      </c>
      <c r="H1803" t="s">
        <v>27</v>
      </c>
      <c r="I1803" t="s">
        <v>778</v>
      </c>
      <c r="J1803" t="s">
        <v>779</v>
      </c>
      <c r="K1803" t="s">
        <v>62</v>
      </c>
      <c r="L1803" t="s">
        <v>622</v>
      </c>
      <c r="M1803" t="s">
        <v>32</v>
      </c>
      <c r="N1803" t="s">
        <v>33</v>
      </c>
      <c r="O1803" t="s">
        <v>623</v>
      </c>
      <c r="P1803">
        <v>269.98</v>
      </c>
      <c r="Q1803">
        <v>2</v>
      </c>
      <c r="R1803">
        <v>72.894599999999997</v>
      </c>
      <c r="S1803" s="3" t="s">
        <v>53</v>
      </c>
      <c r="T1803">
        <v>2015</v>
      </c>
      <c r="U1803" t="s">
        <v>36</v>
      </c>
      <c r="V1803" s="2">
        <v>0.27</v>
      </c>
    </row>
    <row r="1804" spans="1:22" x14ac:dyDescent="0.25">
      <c r="A1804" t="s">
        <v>4134</v>
      </c>
      <c r="B1804" s="1">
        <v>42433</v>
      </c>
      <c r="C1804" s="1">
        <v>42437</v>
      </c>
      <c r="D1804" t="s">
        <v>23</v>
      </c>
      <c r="E1804" t="s">
        <v>2109</v>
      </c>
      <c r="F1804" t="s">
        <v>2110</v>
      </c>
      <c r="G1804" t="s">
        <v>59</v>
      </c>
      <c r="H1804" t="s">
        <v>27</v>
      </c>
      <c r="I1804" t="s">
        <v>93</v>
      </c>
      <c r="J1804" t="s">
        <v>840</v>
      </c>
      <c r="K1804" t="s">
        <v>95</v>
      </c>
      <c r="L1804" t="s">
        <v>502</v>
      </c>
      <c r="M1804" t="s">
        <v>32</v>
      </c>
      <c r="N1804" t="s">
        <v>51</v>
      </c>
      <c r="O1804" t="s">
        <v>503</v>
      </c>
      <c r="P1804">
        <v>159.97999999999999</v>
      </c>
      <c r="Q1804">
        <v>2</v>
      </c>
      <c r="R1804">
        <v>57.592799999999997</v>
      </c>
      <c r="S1804" s="3" t="s">
        <v>53</v>
      </c>
      <c r="T1804">
        <v>2016</v>
      </c>
      <c r="U1804" t="s">
        <v>89</v>
      </c>
      <c r="V1804" s="2">
        <v>0.36</v>
      </c>
    </row>
    <row r="1805" spans="1:22" x14ac:dyDescent="0.25">
      <c r="A1805" t="s">
        <v>4135</v>
      </c>
      <c r="B1805" s="1">
        <v>42821</v>
      </c>
      <c r="C1805" s="1">
        <v>42823</v>
      </c>
      <c r="D1805" t="s">
        <v>40</v>
      </c>
      <c r="E1805" t="s">
        <v>144</v>
      </c>
      <c r="F1805" t="s">
        <v>145</v>
      </c>
      <c r="G1805" t="s">
        <v>26</v>
      </c>
      <c r="H1805" t="s">
        <v>27</v>
      </c>
      <c r="I1805" t="s">
        <v>2225</v>
      </c>
      <c r="J1805" t="s">
        <v>693</v>
      </c>
      <c r="K1805" t="s">
        <v>155</v>
      </c>
      <c r="L1805" t="s">
        <v>3225</v>
      </c>
      <c r="M1805" t="s">
        <v>32</v>
      </c>
      <c r="N1805" t="s">
        <v>33</v>
      </c>
      <c r="O1805" t="s">
        <v>3226</v>
      </c>
      <c r="P1805">
        <v>206.1</v>
      </c>
      <c r="Q1805">
        <v>5</v>
      </c>
      <c r="R1805">
        <v>55.646999999999998</v>
      </c>
      <c r="S1805" s="3" t="s">
        <v>65</v>
      </c>
      <c r="T1805">
        <v>2017</v>
      </c>
      <c r="U1805" t="s">
        <v>89</v>
      </c>
      <c r="V1805" s="2">
        <v>0.27</v>
      </c>
    </row>
    <row r="1806" spans="1:22" x14ac:dyDescent="0.25">
      <c r="A1806" t="s">
        <v>4136</v>
      </c>
      <c r="B1806" s="1">
        <v>41684</v>
      </c>
      <c r="C1806" s="1">
        <v>41688</v>
      </c>
      <c r="D1806" t="s">
        <v>23</v>
      </c>
      <c r="E1806" t="s">
        <v>1288</v>
      </c>
      <c r="F1806" t="s">
        <v>1289</v>
      </c>
      <c r="G1806" t="s">
        <v>59</v>
      </c>
      <c r="H1806" t="s">
        <v>27</v>
      </c>
      <c r="I1806" t="s">
        <v>481</v>
      </c>
      <c r="J1806" t="s">
        <v>426</v>
      </c>
      <c r="K1806" t="s">
        <v>30</v>
      </c>
      <c r="L1806" t="s">
        <v>1370</v>
      </c>
      <c r="M1806" t="s">
        <v>32</v>
      </c>
      <c r="N1806" t="s">
        <v>51</v>
      </c>
      <c r="O1806" t="s">
        <v>1371</v>
      </c>
      <c r="P1806">
        <v>239.97</v>
      </c>
      <c r="Q1806">
        <v>3</v>
      </c>
      <c r="R1806">
        <v>86.389200000000002</v>
      </c>
      <c r="S1806" s="3" t="s">
        <v>53</v>
      </c>
      <c r="T1806">
        <v>2014</v>
      </c>
      <c r="U1806" t="s">
        <v>180</v>
      </c>
      <c r="V1806" s="2">
        <v>0.36</v>
      </c>
    </row>
    <row r="1807" spans="1:22" x14ac:dyDescent="0.25">
      <c r="A1807" t="s">
        <v>4137</v>
      </c>
      <c r="B1807" s="1">
        <v>41808</v>
      </c>
      <c r="C1807" s="1">
        <v>41813</v>
      </c>
      <c r="D1807" t="s">
        <v>23</v>
      </c>
      <c r="E1807" t="s">
        <v>1272</v>
      </c>
      <c r="F1807" t="s">
        <v>1273</v>
      </c>
      <c r="G1807" t="s">
        <v>26</v>
      </c>
      <c r="H1807" t="s">
        <v>27</v>
      </c>
      <c r="I1807" t="s">
        <v>28</v>
      </c>
      <c r="J1807" t="s">
        <v>29</v>
      </c>
      <c r="K1807" t="s">
        <v>30</v>
      </c>
      <c r="L1807" t="s">
        <v>186</v>
      </c>
      <c r="M1807" t="s">
        <v>32</v>
      </c>
      <c r="N1807" t="s">
        <v>33</v>
      </c>
      <c r="O1807" t="s">
        <v>187</v>
      </c>
      <c r="P1807">
        <v>139.80000000000001</v>
      </c>
      <c r="Q1807">
        <v>5</v>
      </c>
      <c r="R1807">
        <v>12.2325</v>
      </c>
      <c r="S1807" s="3" t="s">
        <v>35</v>
      </c>
      <c r="T1807">
        <v>2014</v>
      </c>
      <c r="U1807" t="s">
        <v>36</v>
      </c>
      <c r="V1807" s="2">
        <v>8.7499999999999994E-2</v>
      </c>
    </row>
    <row r="1808" spans="1:22" x14ac:dyDescent="0.25">
      <c r="A1808" t="s">
        <v>4138</v>
      </c>
      <c r="B1808" s="1">
        <v>42547</v>
      </c>
      <c r="C1808" s="1">
        <v>42554</v>
      </c>
      <c r="D1808" t="s">
        <v>23</v>
      </c>
      <c r="E1808" t="s">
        <v>1769</v>
      </c>
      <c r="F1808" t="s">
        <v>1770</v>
      </c>
      <c r="G1808" t="s">
        <v>26</v>
      </c>
      <c r="H1808" t="s">
        <v>27</v>
      </c>
      <c r="I1808" t="s">
        <v>1674</v>
      </c>
      <c r="J1808" t="s">
        <v>1006</v>
      </c>
      <c r="K1808" t="s">
        <v>155</v>
      </c>
      <c r="L1808" t="s">
        <v>2519</v>
      </c>
      <c r="M1808" t="s">
        <v>32</v>
      </c>
      <c r="N1808" t="s">
        <v>33</v>
      </c>
      <c r="O1808" t="s">
        <v>2520</v>
      </c>
      <c r="P1808">
        <v>135.94999999999999</v>
      </c>
      <c r="Q1808">
        <v>1</v>
      </c>
      <c r="R1808">
        <v>39.4255</v>
      </c>
      <c r="S1808" s="3" t="s">
        <v>132</v>
      </c>
      <c r="T1808">
        <v>2016</v>
      </c>
      <c r="U1808" t="s">
        <v>36</v>
      </c>
      <c r="V1808" s="2">
        <v>0.28999999999999998</v>
      </c>
    </row>
    <row r="1809" spans="1:22" x14ac:dyDescent="0.25">
      <c r="A1809" t="s">
        <v>4139</v>
      </c>
      <c r="B1809" s="1">
        <v>41846</v>
      </c>
      <c r="C1809" s="1">
        <v>41850</v>
      </c>
      <c r="D1809" t="s">
        <v>23</v>
      </c>
      <c r="E1809" t="s">
        <v>4140</v>
      </c>
      <c r="F1809" t="s">
        <v>4141</v>
      </c>
      <c r="G1809" t="s">
        <v>26</v>
      </c>
      <c r="H1809" t="s">
        <v>27</v>
      </c>
      <c r="I1809" t="s">
        <v>213</v>
      </c>
      <c r="J1809" t="s">
        <v>61</v>
      </c>
      <c r="K1809" t="s">
        <v>62</v>
      </c>
      <c r="L1809" t="s">
        <v>400</v>
      </c>
      <c r="M1809" t="s">
        <v>32</v>
      </c>
      <c r="N1809" t="s">
        <v>51</v>
      </c>
      <c r="O1809" t="s">
        <v>401</v>
      </c>
      <c r="P1809">
        <v>431.13600000000002</v>
      </c>
      <c r="Q1809">
        <v>9</v>
      </c>
      <c r="R1809">
        <v>-26.946000000000002</v>
      </c>
      <c r="S1809" s="3" t="s">
        <v>53</v>
      </c>
      <c r="T1809">
        <v>2014</v>
      </c>
      <c r="U1809" t="s">
        <v>332</v>
      </c>
      <c r="V1809" s="2">
        <v>-6.25E-2</v>
      </c>
    </row>
    <row r="1810" spans="1:22" x14ac:dyDescent="0.25">
      <c r="A1810" t="s">
        <v>4142</v>
      </c>
      <c r="B1810" s="1">
        <v>42627</v>
      </c>
      <c r="C1810" s="1">
        <v>42631</v>
      </c>
      <c r="D1810" t="s">
        <v>23</v>
      </c>
      <c r="E1810" t="s">
        <v>1308</v>
      </c>
      <c r="F1810" t="s">
        <v>1309</v>
      </c>
      <c r="G1810" t="s">
        <v>26</v>
      </c>
      <c r="H1810" t="s">
        <v>27</v>
      </c>
      <c r="I1810" t="s">
        <v>1256</v>
      </c>
      <c r="J1810" t="s">
        <v>104</v>
      </c>
      <c r="K1810" t="s">
        <v>95</v>
      </c>
      <c r="L1810" t="s">
        <v>1665</v>
      </c>
      <c r="M1810" t="s">
        <v>32</v>
      </c>
      <c r="N1810" t="s">
        <v>33</v>
      </c>
      <c r="O1810" t="s">
        <v>1666</v>
      </c>
      <c r="P1810">
        <v>437.85</v>
      </c>
      <c r="Q1810">
        <v>3</v>
      </c>
      <c r="R1810">
        <v>131.35499999999999</v>
      </c>
      <c r="S1810" s="3" t="s">
        <v>53</v>
      </c>
      <c r="T1810">
        <v>2016</v>
      </c>
      <c r="U1810" t="s">
        <v>81</v>
      </c>
      <c r="V1810" s="2">
        <v>0.3</v>
      </c>
    </row>
    <row r="1811" spans="1:22" x14ac:dyDescent="0.25">
      <c r="A1811" t="s">
        <v>4143</v>
      </c>
      <c r="B1811" s="1">
        <v>42821</v>
      </c>
      <c r="C1811" s="1">
        <v>42826</v>
      </c>
      <c r="D1811" t="s">
        <v>23</v>
      </c>
      <c r="E1811" t="s">
        <v>1621</v>
      </c>
      <c r="F1811" t="s">
        <v>1622</v>
      </c>
      <c r="G1811" t="s">
        <v>26</v>
      </c>
      <c r="H1811" t="s">
        <v>27</v>
      </c>
      <c r="I1811" t="s">
        <v>71</v>
      </c>
      <c r="J1811" t="s">
        <v>61</v>
      </c>
      <c r="K1811" t="s">
        <v>62</v>
      </c>
      <c r="L1811" t="s">
        <v>780</v>
      </c>
      <c r="M1811" t="s">
        <v>32</v>
      </c>
      <c r="N1811" t="s">
        <v>51</v>
      </c>
      <c r="O1811" t="s">
        <v>781</v>
      </c>
      <c r="P1811">
        <v>39.991999999999997</v>
      </c>
      <c r="Q1811">
        <v>1</v>
      </c>
      <c r="R1811">
        <v>6.9985999999999997</v>
      </c>
      <c r="S1811" s="3" t="s">
        <v>35</v>
      </c>
      <c r="T1811">
        <v>2017</v>
      </c>
      <c r="U1811" t="s">
        <v>89</v>
      </c>
      <c r="V1811" s="2">
        <v>0.17499999999999999</v>
      </c>
    </row>
    <row r="1812" spans="1:22" x14ac:dyDescent="0.25">
      <c r="A1812" t="s">
        <v>4144</v>
      </c>
      <c r="B1812" s="1">
        <v>42016</v>
      </c>
      <c r="C1812" s="1">
        <v>42021</v>
      </c>
      <c r="D1812" t="s">
        <v>23</v>
      </c>
      <c r="E1812" t="s">
        <v>4145</v>
      </c>
      <c r="F1812" t="s">
        <v>4146</v>
      </c>
      <c r="G1812" t="s">
        <v>59</v>
      </c>
      <c r="H1812" t="s">
        <v>27</v>
      </c>
      <c r="I1812" t="s">
        <v>965</v>
      </c>
      <c r="J1812" t="s">
        <v>177</v>
      </c>
      <c r="K1812" t="s">
        <v>95</v>
      </c>
      <c r="L1812" t="s">
        <v>63</v>
      </c>
      <c r="M1812" t="s">
        <v>32</v>
      </c>
      <c r="N1812" t="s">
        <v>33</v>
      </c>
      <c r="O1812" t="s">
        <v>64</v>
      </c>
      <c r="P1812">
        <v>235.18799999999999</v>
      </c>
      <c r="Q1812">
        <v>2</v>
      </c>
      <c r="R1812">
        <v>-43.117800000000003</v>
      </c>
      <c r="S1812" s="3" t="s">
        <v>35</v>
      </c>
      <c r="T1812">
        <v>2015</v>
      </c>
      <c r="U1812" t="s">
        <v>54</v>
      </c>
      <c r="V1812" s="2">
        <v>-0.18333333333333299</v>
      </c>
    </row>
    <row r="1813" spans="1:22" x14ac:dyDescent="0.25">
      <c r="A1813" t="s">
        <v>4144</v>
      </c>
      <c r="B1813" s="1">
        <v>42016</v>
      </c>
      <c r="C1813" s="1">
        <v>42021</v>
      </c>
      <c r="D1813" t="s">
        <v>23</v>
      </c>
      <c r="E1813" t="s">
        <v>4145</v>
      </c>
      <c r="F1813" t="s">
        <v>4146</v>
      </c>
      <c r="G1813" t="s">
        <v>59</v>
      </c>
      <c r="H1813" t="s">
        <v>27</v>
      </c>
      <c r="I1813" t="s">
        <v>965</v>
      </c>
      <c r="J1813" t="s">
        <v>177</v>
      </c>
      <c r="K1813" t="s">
        <v>95</v>
      </c>
      <c r="L1813" t="s">
        <v>1776</v>
      </c>
      <c r="M1813" t="s">
        <v>32</v>
      </c>
      <c r="N1813" t="s">
        <v>33</v>
      </c>
      <c r="O1813" t="s">
        <v>1777</v>
      </c>
      <c r="P1813">
        <v>26.376000000000001</v>
      </c>
      <c r="Q1813">
        <v>4</v>
      </c>
      <c r="R1813">
        <v>2.6375999999999999</v>
      </c>
      <c r="S1813" s="3" t="s">
        <v>35</v>
      </c>
      <c r="T1813">
        <v>2015</v>
      </c>
      <c r="U1813" t="s">
        <v>54</v>
      </c>
      <c r="V1813" s="2">
        <v>0.1</v>
      </c>
    </row>
    <row r="1814" spans="1:22" x14ac:dyDescent="0.25">
      <c r="A1814" t="s">
        <v>4144</v>
      </c>
      <c r="B1814" s="1">
        <v>42016</v>
      </c>
      <c r="C1814" s="1">
        <v>42021</v>
      </c>
      <c r="D1814" t="s">
        <v>23</v>
      </c>
      <c r="E1814" t="s">
        <v>4145</v>
      </c>
      <c r="F1814" t="s">
        <v>4146</v>
      </c>
      <c r="G1814" t="s">
        <v>59</v>
      </c>
      <c r="H1814" t="s">
        <v>27</v>
      </c>
      <c r="I1814" t="s">
        <v>965</v>
      </c>
      <c r="J1814" t="s">
        <v>177</v>
      </c>
      <c r="K1814" t="s">
        <v>95</v>
      </c>
      <c r="L1814" t="s">
        <v>2718</v>
      </c>
      <c r="M1814" t="s">
        <v>32</v>
      </c>
      <c r="N1814" t="s">
        <v>51</v>
      </c>
      <c r="O1814" t="s">
        <v>2719</v>
      </c>
      <c r="P1814">
        <v>10.384</v>
      </c>
      <c r="Q1814">
        <v>2</v>
      </c>
      <c r="R1814">
        <v>2.2065999999999999</v>
      </c>
      <c r="S1814" s="3" t="s">
        <v>35</v>
      </c>
      <c r="T1814">
        <v>2015</v>
      </c>
      <c r="U1814" t="s">
        <v>54</v>
      </c>
      <c r="V1814" s="2">
        <v>0.21249999999999999</v>
      </c>
    </row>
    <row r="1815" spans="1:22" x14ac:dyDescent="0.25">
      <c r="A1815" t="s">
        <v>4144</v>
      </c>
      <c r="B1815" s="1">
        <v>42016</v>
      </c>
      <c r="C1815" s="1">
        <v>42021</v>
      </c>
      <c r="D1815" t="s">
        <v>23</v>
      </c>
      <c r="E1815" t="s">
        <v>4145</v>
      </c>
      <c r="F1815" t="s">
        <v>4146</v>
      </c>
      <c r="G1815" t="s">
        <v>59</v>
      </c>
      <c r="H1815" t="s">
        <v>27</v>
      </c>
      <c r="I1815" t="s">
        <v>965</v>
      </c>
      <c r="J1815" t="s">
        <v>177</v>
      </c>
      <c r="K1815" t="s">
        <v>95</v>
      </c>
      <c r="L1815" t="s">
        <v>567</v>
      </c>
      <c r="M1815" t="s">
        <v>32</v>
      </c>
      <c r="N1815" t="s">
        <v>33</v>
      </c>
      <c r="O1815" t="s">
        <v>568</v>
      </c>
      <c r="P1815">
        <v>107.11799999999999</v>
      </c>
      <c r="Q1815">
        <v>3</v>
      </c>
      <c r="R1815">
        <v>-21.4236</v>
      </c>
      <c r="S1815" s="3" t="s">
        <v>35</v>
      </c>
      <c r="T1815">
        <v>2015</v>
      </c>
      <c r="U1815" t="s">
        <v>54</v>
      </c>
      <c r="V1815" s="2">
        <v>-0.2</v>
      </c>
    </row>
    <row r="1816" spans="1:22" x14ac:dyDescent="0.25">
      <c r="A1816" t="s">
        <v>4147</v>
      </c>
      <c r="B1816" s="1">
        <v>42203</v>
      </c>
      <c r="C1816" s="1">
        <v>42205</v>
      </c>
      <c r="D1816" t="s">
        <v>40</v>
      </c>
      <c r="E1816" t="s">
        <v>785</v>
      </c>
      <c r="F1816" t="s">
        <v>786</v>
      </c>
      <c r="G1816" t="s">
        <v>26</v>
      </c>
      <c r="H1816" t="s">
        <v>27</v>
      </c>
      <c r="I1816" t="s">
        <v>103</v>
      </c>
      <c r="J1816" t="s">
        <v>104</v>
      </c>
      <c r="K1816" t="s">
        <v>95</v>
      </c>
      <c r="L1816" t="s">
        <v>1580</v>
      </c>
      <c r="M1816" t="s">
        <v>32</v>
      </c>
      <c r="N1816" t="s">
        <v>33</v>
      </c>
      <c r="O1816" t="s">
        <v>1581</v>
      </c>
      <c r="P1816">
        <v>135.99</v>
      </c>
      <c r="Q1816">
        <v>1</v>
      </c>
      <c r="R1816">
        <v>36.717300000000002</v>
      </c>
      <c r="S1816" s="3" t="s">
        <v>65</v>
      </c>
      <c r="T1816">
        <v>2015</v>
      </c>
      <c r="U1816" t="s">
        <v>332</v>
      </c>
      <c r="V1816" s="2">
        <v>0.27</v>
      </c>
    </row>
    <row r="1817" spans="1:22" x14ac:dyDescent="0.25">
      <c r="A1817" t="s">
        <v>4148</v>
      </c>
      <c r="B1817" s="1">
        <v>41989</v>
      </c>
      <c r="C1817" s="1">
        <v>41991</v>
      </c>
      <c r="D1817" t="s">
        <v>40</v>
      </c>
      <c r="E1817" t="s">
        <v>647</v>
      </c>
      <c r="F1817" t="s">
        <v>648</v>
      </c>
      <c r="G1817" t="s">
        <v>26</v>
      </c>
      <c r="H1817" t="s">
        <v>27</v>
      </c>
      <c r="I1817" t="s">
        <v>3367</v>
      </c>
      <c r="J1817" t="s">
        <v>61</v>
      </c>
      <c r="K1817" t="s">
        <v>62</v>
      </c>
      <c r="L1817" t="s">
        <v>1756</v>
      </c>
      <c r="M1817" t="s">
        <v>32</v>
      </c>
      <c r="N1817" t="s">
        <v>51</v>
      </c>
      <c r="O1817" t="s">
        <v>1757</v>
      </c>
      <c r="P1817">
        <v>319.96800000000002</v>
      </c>
      <c r="Q1817">
        <v>4</v>
      </c>
      <c r="R1817">
        <v>95.990399999999994</v>
      </c>
      <c r="S1817" s="3" t="s">
        <v>65</v>
      </c>
      <c r="T1817">
        <v>2014</v>
      </c>
      <c r="U1817" t="s">
        <v>66</v>
      </c>
      <c r="V1817" s="2">
        <v>0.3</v>
      </c>
    </row>
    <row r="1818" spans="1:22" x14ac:dyDescent="0.25">
      <c r="A1818" t="s">
        <v>4149</v>
      </c>
      <c r="B1818" s="1">
        <v>42992</v>
      </c>
      <c r="C1818" s="1">
        <v>42997</v>
      </c>
      <c r="D1818" t="s">
        <v>23</v>
      </c>
      <c r="E1818" t="s">
        <v>981</v>
      </c>
      <c r="F1818" t="s">
        <v>982</v>
      </c>
      <c r="G1818" t="s">
        <v>59</v>
      </c>
      <c r="H1818" t="s">
        <v>27</v>
      </c>
      <c r="I1818" t="s">
        <v>946</v>
      </c>
      <c r="J1818" t="s">
        <v>177</v>
      </c>
      <c r="K1818" t="s">
        <v>95</v>
      </c>
      <c r="L1818" t="s">
        <v>346</v>
      </c>
      <c r="M1818" t="s">
        <v>32</v>
      </c>
      <c r="N1818" t="s">
        <v>51</v>
      </c>
      <c r="O1818" t="s">
        <v>347</v>
      </c>
      <c r="P1818">
        <v>895.94399999999996</v>
      </c>
      <c r="Q1818">
        <v>7</v>
      </c>
      <c r="R1818">
        <v>190.38810000000001</v>
      </c>
      <c r="S1818" s="3" t="s">
        <v>35</v>
      </c>
      <c r="T1818">
        <v>2017</v>
      </c>
      <c r="U1818" t="s">
        <v>81</v>
      </c>
      <c r="V1818" s="2">
        <v>0.21249999999999999</v>
      </c>
    </row>
    <row r="1819" spans="1:22" x14ac:dyDescent="0.25">
      <c r="A1819" t="s">
        <v>4150</v>
      </c>
      <c r="B1819" s="1">
        <v>42638</v>
      </c>
      <c r="C1819" s="1">
        <v>42644</v>
      </c>
      <c r="D1819" t="s">
        <v>23</v>
      </c>
      <c r="E1819" t="s">
        <v>4151</v>
      </c>
      <c r="F1819" t="s">
        <v>4152</v>
      </c>
      <c r="G1819" t="s">
        <v>26</v>
      </c>
      <c r="H1819" t="s">
        <v>27</v>
      </c>
      <c r="I1819" t="s">
        <v>1256</v>
      </c>
      <c r="J1819" t="s">
        <v>29</v>
      </c>
      <c r="K1819" t="s">
        <v>30</v>
      </c>
      <c r="L1819" t="s">
        <v>2691</v>
      </c>
      <c r="M1819" t="s">
        <v>32</v>
      </c>
      <c r="N1819" t="s">
        <v>381</v>
      </c>
      <c r="O1819" t="s">
        <v>2692</v>
      </c>
      <c r="P1819">
        <v>479.976</v>
      </c>
      <c r="Q1819">
        <v>3</v>
      </c>
      <c r="R1819">
        <v>161.99189999999999</v>
      </c>
      <c r="S1819" s="3" t="s">
        <v>107</v>
      </c>
      <c r="T1819">
        <v>2016</v>
      </c>
      <c r="U1819" t="s">
        <v>81</v>
      </c>
      <c r="V1819" s="2">
        <v>0.33750000000000002</v>
      </c>
    </row>
    <row r="1820" spans="1:22" x14ac:dyDescent="0.25">
      <c r="A1820" t="s">
        <v>4150</v>
      </c>
      <c r="B1820" s="1">
        <v>42638</v>
      </c>
      <c r="C1820" s="1">
        <v>42644</v>
      </c>
      <c r="D1820" t="s">
        <v>23</v>
      </c>
      <c r="E1820" t="s">
        <v>4151</v>
      </c>
      <c r="F1820" t="s">
        <v>4152</v>
      </c>
      <c r="G1820" t="s">
        <v>26</v>
      </c>
      <c r="H1820" t="s">
        <v>27</v>
      </c>
      <c r="I1820" t="s">
        <v>1256</v>
      </c>
      <c r="J1820" t="s">
        <v>29</v>
      </c>
      <c r="K1820" t="s">
        <v>30</v>
      </c>
      <c r="L1820" t="s">
        <v>2793</v>
      </c>
      <c r="M1820" t="s">
        <v>32</v>
      </c>
      <c r="N1820" t="s">
        <v>33</v>
      </c>
      <c r="O1820" t="s">
        <v>2794</v>
      </c>
      <c r="P1820">
        <v>44.735999999999997</v>
      </c>
      <c r="Q1820">
        <v>8</v>
      </c>
      <c r="R1820">
        <v>4.4736000000000002</v>
      </c>
      <c r="S1820" s="3" t="s">
        <v>107</v>
      </c>
      <c r="T1820">
        <v>2016</v>
      </c>
      <c r="U1820" t="s">
        <v>81</v>
      </c>
      <c r="V1820" s="2">
        <v>0.1</v>
      </c>
    </row>
    <row r="1821" spans="1:22" x14ac:dyDescent="0.25">
      <c r="A1821" t="s">
        <v>4153</v>
      </c>
      <c r="B1821" s="1">
        <v>42749</v>
      </c>
      <c r="C1821" s="1">
        <v>42755</v>
      </c>
      <c r="D1821" t="s">
        <v>23</v>
      </c>
      <c r="E1821" t="s">
        <v>3037</v>
      </c>
      <c r="F1821" t="s">
        <v>3038</v>
      </c>
      <c r="G1821" t="s">
        <v>70</v>
      </c>
      <c r="H1821" t="s">
        <v>27</v>
      </c>
      <c r="I1821" t="s">
        <v>2225</v>
      </c>
      <c r="J1821" t="s">
        <v>669</v>
      </c>
      <c r="K1821" t="s">
        <v>62</v>
      </c>
      <c r="L1821" t="s">
        <v>1275</v>
      </c>
      <c r="M1821" t="s">
        <v>32</v>
      </c>
      <c r="N1821" t="s">
        <v>33</v>
      </c>
      <c r="O1821" t="s">
        <v>1276</v>
      </c>
      <c r="P1821">
        <v>67.8</v>
      </c>
      <c r="Q1821">
        <v>4</v>
      </c>
      <c r="R1821">
        <v>1.3560000000000001</v>
      </c>
      <c r="S1821" s="3" t="s">
        <v>107</v>
      </c>
      <c r="T1821">
        <v>2017</v>
      </c>
      <c r="U1821" t="s">
        <v>54</v>
      </c>
      <c r="V1821" s="2">
        <v>0.02</v>
      </c>
    </row>
    <row r="1822" spans="1:22" x14ac:dyDescent="0.25">
      <c r="A1822" t="s">
        <v>4153</v>
      </c>
      <c r="B1822" s="1">
        <v>42749</v>
      </c>
      <c r="C1822" s="1">
        <v>42755</v>
      </c>
      <c r="D1822" t="s">
        <v>23</v>
      </c>
      <c r="E1822" t="s">
        <v>3037</v>
      </c>
      <c r="F1822" t="s">
        <v>3038</v>
      </c>
      <c r="G1822" t="s">
        <v>70</v>
      </c>
      <c r="H1822" t="s">
        <v>27</v>
      </c>
      <c r="I1822" t="s">
        <v>2225</v>
      </c>
      <c r="J1822" t="s">
        <v>669</v>
      </c>
      <c r="K1822" t="s">
        <v>62</v>
      </c>
      <c r="L1822" t="s">
        <v>497</v>
      </c>
      <c r="M1822" t="s">
        <v>32</v>
      </c>
      <c r="N1822" t="s">
        <v>51</v>
      </c>
      <c r="O1822" t="s">
        <v>498</v>
      </c>
      <c r="P1822">
        <v>12.12</v>
      </c>
      <c r="Q1822">
        <v>4</v>
      </c>
      <c r="R1822">
        <v>2.5451999999999999</v>
      </c>
      <c r="S1822" s="3" t="s">
        <v>107</v>
      </c>
      <c r="T1822">
        <v>2017</v>
      </c>
      <c r="U1822" t="s">
        <v>54</v>
      </c>
      <c r="V1822" s="2">
        <v>0.21</v>
      </c>
    </row>
    <row r="1823" spans="1:22" x14ac:dyDescent="0.25">
      <c r="A1823" t="s">
        <v>4153</v>
      </c>
      <c r="B1823" s="1">
        <v>42749</v>
      </c>
      <c r="C1823" s="1">
        <v>42755</v>
      </c>
      <c r="D1823" t="s">
        <v>23</v>
      </c>
      <c r="E1823" t="s">
        <v>3037</v>
      </c>
      <c r="F1823" t="s">
        <v>3038</v>
      </c>
      <c r="G1823" t="s">
        <v>70</v>
      </c>
      <c r="H1823" t="s">
        <v>27</v>
      </c>
      <c r="I1823" t="s">
        <v>2225</v>
      </c>
      <c r="J1823" t="s">
        <v>669</v>
      </c>
      <c r="K1823" t="s">
        <v>62</v>
      </c>
      <c r="L1823" t="s">
        <v>325</v>
      </c>
      <c r="M1823" t="s">
        <v>32</v>
      </c>
      <c r="N1823" t="s">
        <v>51</v>
      </c>
      <c r="O1823" t="s">
        <v>326</v>
      </c>
      <c r="P1823">
        <v>159.80000000000001</v>
      </c>
      <c r="Q1823">
        <v>4</v>
      </c>
      <c r="R1823">
        <v>70.311999999999998</v>
      </c>
      <c r="S1823" s="3" t="s">
        <v>107</v>
      </c>
      <c r="T1823">
        <v>2017</v>
      </c>
      <c r="U1823" t="s">
        <v>54</v>
      </c>
      <c r="V1823" s="2">
        <v>0.44</v>
      </c>
    </row>
    <row r="1824" spans="1:22" x14ac:dyDescent="0.25">
      <c r="A1824" t="s">
        <v>4154</v>
      </c>
      <c r="B1824" s="1">
        <v>42845</v>
      </c>
      <c r="C1824" s="1">
        <v>42846</v>
      </c>
      <c r="D1824" t="s">
        <v>56</v>
      </c>
      <c r="E1824" t="s">
        <v>2801</v>
      </c>
      <c r="F1824" t="s">
        <v>2802</v>
      </c>
      <c r="G1824" t="s">
        <v>70</v>
      </c>
      <c r="H1824" t="s">
        <v>27</v>
      </c>
      <c r="I1824" t="s">
        <v>1310</v>
      </c>
      <c r="J1824" t="s">
        <v>177</v>
      </c>
      <c r="K1824" t="s">
        <v>95</v>
      </c>
      <c r="L1824" t="s">
        <v>3243</v>
      </c>
      <c r="M1824" t="s">
        <v>32</v>
      </c>
      <c r="N1824" t="s">
        <v>33</v>
      </c>
      <c r="O1824" t="s">
        <v>3244</v>
      </c>
      <c r="P1824">
        <v>122.38200000000001</v>
      </c>
      <c r="Q1824">
        <v>3</v>
      </c>
      <c r="R1824">
        <v>-24.476400000000002</v>
      </c>
      <c r="S1824" s="3" t="s">
        <v>112</v>
      </c>
      <c r="T1824">
        <v>2017</v>
      </c>
      <c r="U1824" t="s">
        <v>291</v>
      </c>
      <c r="V1824" s="2">
        <v>-0.2</v>
      </c>
    </row>
    <row r="1825" spans="1:22" x14ac:dyDescent="0.25">
      <c r="A1825" t="s">
        <v>4155</v>
      </c>
      <c r="B1825" s="1">
        <v>41863</v>
      </c>
      <c r="C1825" s="1">
        <v>41864</v>
      </c>
      <c r="D1825" t="s">
        <v>56</v>
      </c>
      <c r="E1825" t="s">
        <v>2636</v>
      </c>
      <c r="F1825" t="s">
        <v>2637</v>
      </c>
      <c r="G1825" t="s">
        <v>26</v>
      </c>
      <c r="H1825" t="s">
        <v>27</v>
      </c>
      <c r="I1825" t="s">
        <v>4156</v>
      </c>
      <c r="J1825" t="s">
        <v>1006</v>
      </c>
      <c r="K1825" t="s">
        <v>155</v>
      </c>
      <c r="L1825" t="s">
        <v>1107</v>
      </c>
      <c r="M1825" t="s">
        <v>32</v>
      </c>
      <c r="N1825" t="s">
        <v>51</v>
      </c>
      <c r="O1825" t="s">
        <v>1108</v>
      </c>
      <c r="P1825">
        <v>272.61</v>
      </c>
      <c r="Q1825">
        <v>13</v>
      </c>
      <c r="R1825">
        <v>98.139600000000002</v>
      </c>
      <c r="S1825" s="3" t="s">
        <v>112</v>
      </c>
      <c r="T1825">
        <v>2014</v>
      </c>
      <c r="U1825" t="s">
        <v>46</v>
      </c>
      <c r="V1825" s="2">
        <v>0.36</v>
      </c>
    </row>
    <row r="1826" spans="1:22" x14ac:dyDescent="0.25">
      <c r="A1826" t="s">
        <v>4157</v>
      </c>
      <c r="B1826" s="1">
        <v>41732</v>
      </c>
      <c r="C1826" s="1">
        <v>41737</v>
      </c>
      <c r="D1826" t="s">
        <v>23</v>
      </c>
      <c r="E1826" t="s">
        <v>2513</v>
      </c>
      <c r="F1826" t="s">
        <v>2514</v>
      </c>
      <c r="G1826" t="s">
        <v>59</v>
      </c>
      <c r="H1826" t="s">
        <v>27</v>
      </c>
      <c r="I1826" t="s">
        <v>28</v>
      </c>
      <c r="J1826" t="s">
        <v>29</v>
      </c>
      <c r="K1826" t="s">
        <v>30</v>
      </c>
      <c r="L1826" t="s">
        <v>1504</v>
      </c>
      <c r="M1826" t="s">
        <v>32</v>
      </c>
      <c r="N1826" t="s">
        <v>51</v>
      </c>
      <c r="O1826" t="s">
        <v>1505</v>
      </c>
      <c r="P1826">
        <v>62.31</v>
      </c>
      <c r="Q1826">
        <v>3</v>
      </c>
      <c r="R1826">
        <v>22.4316</v>
      </c>
      <c r="S1826" s="3" t="s">
        <v>35</v>
      </c>
      <c r="T1826">
        <v>2014</v>
      </c>
      <c r="U1826" t="s">
        <v>291</v>
      </c>
      <c r="V1826" s="2">
        <v>0.36</v>
      </c>
    </row>
    <row r="1827" spans="1:22" x14ac:dyDescent="0.25">
      <c r="A1827" t="s">
        <v>4157</v>
      </c>
      <c r="B1827" s="1">
        <v>41732</v>
      </c>
      <c r="C1827" s="1">
        <v>41737</v>
      </c>
      <c r="D1827" t="s">
        <v>23</v>
      </c>
      <c r="E1827" t="s">
        <v>2513</v>
      </c>
      <c r="F1827" t="s">
        <v>2514</v>
      </c>
      <c r="G1827" t="s">
        <v>59</v>
      </c>
      <c r="H1827" t="s">
        <v>27</v>
      </c>
      <c r="I1827" t="s">
        <v>28</v>
      </c>
      <c r="J1827" t="s">
        <v>29</v>
      </c>
      <c r="K1827" t="s">
        <v>30</v>
      </c>
      <c r="L1827" t="s">
        <v>1370</v>
      </c>
      <c r="M1827" t="s">
        <v>32</v>
      </c>
      <c r="N1827" t="s">
        <v>51</v>
      </c>
      <c r="O1827" t="s">
        <v>1371</v>
      </c>
      <c r="P1827">
        <v>159.97999999999999</v>
      </c>
      <c r="Q1827">
        <v>2</v>
      </c>
      <c r="R1827">
        <v>57.592799999999997</v>
      </c>
      <c r="S1827" s="3" t="s">
        <v>35</v>
      </c>
      <c r="T1827">
        <v>2014</v>
      </c>
      <c r="U1827" t="s">
        <v>291</v>
      </c>
      <c r="V1827" s="2">
        <v>0.36</v>
      </c>
    </row>
    <row r="1828" spans="1:22" x14ac:dyDescent="0.25">
      <c r="A1828" t="s">
        <v>4158</v>
      </c>
      <c r="B1828" s="1">
        <v>42224</v>
      </c>
      <c r="C1828" s="1">
        <v>42228</v>
      </c>
      <c r="D1828" t="s">
        <v>23</v>
      </c>
      <c r="E1828" t="s">
        <v>1353</v>
      </c>
      <c r="F1828" t="s">
        <v>1354</v>
      </c>
      <c r="G1828" t="s">
        <v>26</v>
      </c>
      <c r="H1828" t="s">
        <v>27</v>
      </c>
      <c r="I1828" t="s">
        <v>3074</v>
      </c>
      <c r="J1828" t="s">
        <v>104</v>
      </c>
      <c r="K1828" t="s">
        <v>95</v>
      </c>
      <c r="L1828" t="s">
        <v>1370</v>
      </c>
      <c r="M1828" t="s">
        <v>32</v>
      </c>
      <c r="N1828" t="s">
        <v>51</v>
      </c>
      <c r="O1828" t="s">
        <v>1371</v>
      </c>
      <c r="P1828">
        <v>79.989999999999995</v>
      </c>
      <c r="Q1828">
        <v>1</v>
      </c>
      <c r="R1828">
        <v>28.796399999999998</v>
      </c>
      <c r="S1828" s="3" t="s">
        <v>53</v>
      </c>
      <c r="T1828">
        <v>2015</v>
      </c>
      <c r="U1828" t="s">
        <v>46</v>
      </c>
      <c r="V1828" s="2">
        <v>0.36</v>
      </c>
    </row>
    <row r="1829" spans="1:22" x14ac:dyDescent="0.25">
      <c r="A1829" t="s">
        <v>4159</v>
      </c>
      <c r="B1829" s="1">
        <v>42576</v>
      </c>
      <c r="C1829" s="1">
        <v>42579</v>
      </c>
      <c r="D1829" t="s">
        <v>40</v>
      </c>
      <c r="E1829" t="s">
        <v>2317</v>
      </c>
      <c r="F1829" t="s">
        <v>2318</v>
      </c>
      <c r="G1829" t="s">
        <v>59</v>
      </c>
      <c r="H1829" t="s">
        <v>27</v>
      </c>
      <c r="I1829" t="s">
        <v>872</v>
      </c>
      <c r="J1829" t="s">
        <v>185</v>
      </c>
      <c r="K1829" t="s">
        <v>62</v>
      </c>
      <c r="L1829" t="s">
        <v>1124</v>
      </c>
      <c r="M1829" t="s">
        <v>32</v>
      </c>
      <c r="N1829" t="s">
        <v>51</v>
      </c>
      <c r="O1829" t="s">
        <v>1125</v>
      </c>
      <c r="P1829">
        <v>124.25</v>
      </c>
      <c r="Q1829">
        <v>7</v>
      </c>
      <c r="R1829">
        <v>48.457500000000003</v>
      </c>
      <c r="S1829" s="3" t="s">
        <v>172</v>
      </c>
      <c r="T1829">
        <v>2016</v>
      </c>
      <c r="U1829" t="s">
        <v>332</v>
      </c>
      <c r="V1829" s="2">
        <v>0.39</v>
      </c>
    </row>
    <row r="1830" spans="1:22" x14ac:dyDescent="0.25">
      <c r="A1830" t="s">
        <v>4159</v>
      </c>
      <c r="B1830" s="1">
        <v>42576</v>
      </c>
      <c r="C1830" s="1">
        <v>42579</v>
      </c>
      <c r="D1830" t="s">
        <v>40</v>
      </c>
      <c r="E1830" t="s">
        <v>2317</v>
      </c>
      <c r="F1830" t="s">
        <v>2318</v>
      </c>
      <c r="G1830" t="s">
        <v>59</v>
      </c>
      <c r="H1830" t="s">
        <v>27</v>
      </c>
      <c r="I1830" t="s">
        <v>872</v>
      </c>
      <c r="J1830" t="s">
        <v>185</v>
      </c>
      <c r="K1830" t="s">
        <v>62</v>
      </c>
      <c r="L1830" t="s">
        <v>567</v>
      </c>
      <c r="M1830" t="s">
        <v>32</v>
      </c>
      <c r="N1830" t="s">
        <v>33</v>
      </c>
      <c r="O1830" t="s">
        <v>568</v>
      </c>
      <c r="P1830">
        <v>297.55</v>
      </c>
      <c r="Q1830">
        <v>5</v>
      </c>
      <c r="R1830">
        <v>83.313999999999993</v>
      </c>
      <c r="S1830" s="3" t="s">
        <v>172</v>
      </c>
      <c r="T1830">
        <v>2016</v>
      </c>
      <c r="U1830" t="s">
        <v>332</v>
      </c>
      <c r="V1830" s="2">
        <v>0.28000000000000003</v>
      </c>
    </row>
    <row r="1831" spans="1:22" x14ac:dyDescent="0.25">
      <c r="A1831" t="s">
        <v>4160</v>
      </c>
      <c r="B1831" s="1">
        <v>41908</v>
      </c>
      <c r="C1831" s="1">
        <v>41913</v>
      </c>
      <c r="D1831" t="s">
        <v>23</v>
      </c>
      <c r="E1831" t="s">
        <v>2539</v>
      </c>
      <c r="F1831" t="s">
        <v>2540</v>
      </c>
      <c r="G1831" t="s">
        <v>26</v>
      </c>
      <c r="H1831" t="s">
        <v>27</v>
      </c>
      <c r="I1831" t="s">
        <v>140</v>
      </c>
      <c r="J1831" t="s">
        <v>78</v>
      </c>
      <c r="K1831" t="s">
        <v>62</v>
      </c>
      <c r="L1831" t="s">
        <v>2328</v>
      </c>
      <c r="M1831" t="s">
        <v>32</v>
      </c>
      <c r="N1831" t="s">
        <v>51</v>
      </c>
      <c r="O1831" t="s">
        <v>2329</v>
      </c>
      <c r="P1831">
        <v>153.82400000000001</v>
      </c>
      <c r="Q1831">
        <v>11</v>
      </c>
      <c r="R1831">
        <v>38.456000000000003</v>
      </c>
      <c r="S1831" s="3" t="s">
        <v>35</v>
      </c>
      <c r="T1831">
        <v>2014</v>
      </c>
      <c r="U1831" t="s">
        <v>81</v>
      </c>
      <c r="V1831" s="2">
        <v>0.25</v>
      </c>
    </row>
    <row r="1832" spans="1:22" x14ac:dyDescent="0.25">
      <c r="A1832" t="s">
        <v>4161</v>
      </c>
      <c r="B1832" s="1">
        <v>41955</v>
      </c>
      <c r="C1832" s="1">
        <v>41961</v>
      </c>
      <c r="D1832" t="s">
        <v>23</v>
      </c>
      <c r="E1832" t="s">
        <v>3998</v>
      </c>
      <c r="F1832" t="s">
        <v>3999</v>
      </c>
      <c r="G1832" t="s">
        <v>26</v>
      </c>
      <c r="H1832" t="s">
        <v>27</v>
      </c>
      <c r="I1832" t="s">
        <v>1509</v>
      </c>
      <c r="J1832" t="s">
        <v>61</v>
      </c>
      <c r="K1832" t="s">
        <v>62</v>
      </c>
      <c r="L1832" t="s">
        <v>502</v>
      </c>
      <c r="M1832" t="s">
        <v>32</v>
      </c>
      <c r="N1832" t="s">
        <v>51</v>
      </c>
      <c r="O1832" t="s">
        <v>503</v>
      </c>
      <c r="P1832">
        <v>127.98399999999999</v>
      </c>
      <c r="Q1832">
        <v>2</v>
      </c>
      <c r="R1832">
        <v>25.596800000000002</v>
      </c>
      <c r="S1832" s="3" t="s">
        <v>107</v>
      </c>
      <c r="T1832">
        <v>2014</v>
      </c>
      <c r="U1832" t="s">
        <v>118</v>
      </c>
      <c r="V1832" s="2">
        <v>0.2</v>
      </c>
    </row>
    <row r="1833" spans="1:22" x14ac:dyDescent="0.25">
      <c r="A1833" t="s">
        <v>4162</v>
      </c>
      <c r="B1833" s="1">
        <v>42861</v>
      </c>
      <c r="C1833" s="1">
        <v>42865</v>
      </c>
      <c r="D1833" t="s">
        <v>23</v>
      </c>
      <c r="E1833" t="s">
        <v>4163</v>
      </c>
      <c r="F1833" t="s">
        <v>4164</v>
      </c>
      <c r="G1833" t="s">
        <v>26</v>
      </c>
      <c r="H1833" t="s">
        <v>27</v>
      </c>
      <c r="I1833" t="s">
        <v>140</v>
      </c>
      <c r="J1833" t="s">
        <v>78</v>
      </c>
      <c r="K1833" t="s">
        <v>62</v>
      </c>
      <c r="L1833" t="s">
        <v>1052</v>
      </c>
      <c r="M1833" t="s">
        <v>32</v>
      </c>
      <c r="N1833" t="s">
        <v>51</v>
      </c>
      <c r="O1833" t="s">
        <v>1053</v>
      </c>
      <c r="P1833">
        <v>191.96799999999999</v>
      </c>
      <c r="Q1833">
        <v>4</v>
      </c>
      <c r="R1833">
        <v>28.795200000000001</v>
      </c>
      <c r="S1833" s="3" t="s">
        <v>53</v>
      </c>
      <c r="T1833">
        <v>2017</v>
      </c>
      <c r="U1833" t="s">
        <v>527</v>
      </c>
      <c r="V1833" s="2">
        <v>0.15</v>
      </c>
    </row>
    <row r="1834" spans="1:22" x14ac:dyDescent="0.25">
      <c r="A1834" t="s">
        <v>4165</v>
      </c>
      <c r="B1834" s="1">
        <v>42083</v>
      </c>
      <c r="C1834" s="1">
        <v>42086</v>
      </c>
      <c r="D1834" t="s">
        <v>56</v>
      </c>
      <c r="E1834" t="s">
        <v>2223</v>
      </c>
      <c r="F1834" t="s">
        <v>2224</v>
      </c>
      <c r="G1834" t="s">
        <v>59</v>
      </c>
      <c r="H1834" t="s">
        <v>27</v>
      </c>
      <c r="I1834" t="s">
        <v>103</v>
      </c>
      <c r="J1834" t="s">
        <v>104</v>
      </c>
      <c r="K1834" t="s">
        <v>95</v>
      </c>
      <c r="L1834" t="s">
        <v>1168</v>
      </c>
      <c r="M1834" t="s">
        <v>32</v>
      </c>
      <c r="N1834" t="s">
        <v>33</v>
      </c>
      <c r="O1834" t="s">
        <v>1169</v>
      </c>
      <c r="P1834">
        <v>199.98</v>
      </c>
      <c r="Q1834">
        <v>2</v>
      </c>
      <c r="R1834">
        <v>53.994599999999998</v>
      </c>
      <c r="S1834" s="3" t="s">
        <v>172</v>
      </c>
      <c r="T1834">
        <v>2015</v>
      </c>
      <c r="U1834" t="s">
        <v>89</v>
      </c>
      <c r="V1834" s="2">
        <v>0.27</v>
      </c>
    </row>
    <row r="1835" spans="1:22" x14ac:dyDescent="0.25">
      <c r="A1835" t="s">
        <v>4166</v>
      </c>
      <c r="B1835" s="1">
        <v>42617</v>
      </c>
      <c r="C1835" s="1">
        <v>42617</v>
      </c>
      <c r="D1835" t="s">
        <v>677</v>
      </c>
      <c r="E1835" t="s">
        <v>4167</v>
      </c>
      <c r="F1835" t="s">
        <v>4168</v>
      </c>
      <c r="G1835" t="s">
        <v>26</v>
      </c>
      <c r="H1835" t="s">
        <v>27</v>
      </c>
      <c r="I1835" t="s">
        <v>43</v>
      </c>
      <c r="J1835" t="s">
        <v>29</v>
      </c>
      <c r="K1835" t="s">
        <v>30</v>
      </c>
      <c r="L1835" t="s">
        <v>1678</v>
      </c>
      <c r="M1835" t="s">
        <v>32</v>
      </c>
      <c r="N1835" t="s">
        <v>381</v>
      </c>
      <c r="O1835" t="s">
        <v>1679</v>
      </c>
      <c r="P1835">
        <v>2799.96</v>
      </c>
      <c r="Q1835">
        <v>5</v>
      </c>
      <c r="R1835">
        <v>944.98649999999998</v>
      </c>
      <c r="S1835" s="3" t="s">
        <v>683</v>
      </c>
      <c r="T1835">
        <v>2016</v>
      </c>
      <c r="U1835" t="s">
        <v>81</v>
      </c>
      <c r="V1835" s="2">
        <v>0.33750000000000002</v>
      </c>
    </row>
    <row r="1836" spans="1:22" x14ac:dyDescent="0.25">
      <c r="A1836" t="s">
        <v>4169</v>
      </c>
      <c r="B1836" s="1">
        <v>41831</v>
      </c>
      <c r="C1836" s="1">
        <v>41834</v>
      </c>
      <c r="D1836" t="s">
        <v>56</v>
      </c>
      <c r="E1836" t="s">
        <v>1367</v>
      </c>
      <c r="F1836" t="s">
        <v>1368</v>
      </c>
      <c r="G1836" t="s">
        <v>26</v>
      </c>
      <c r="H1836" t="s">
        <v>27</v>
      </c>
      <c r="I1836" t="s">
        <v>4170</v>
      </c>
      <c r="J1836" t="s">
        <v>104</v>
      </c>
      <c r="K1836" t="s">
        <v>95</v>
      </c>
      <c r="L1836" t="s">
        <v>2151</v>
      </c>
      <c r="M1836" t="s">
        <v>32</v>
      </c>
      <c r="N1836" t="s">
        <v>33</v>
      </c>
      <c r="O1836" t="s">
        <v>2152</v>
      </c>
      <c r="P1836">
        <v>164.85</v>
      </c>
      <c r="Q1836">
        <v>3</v>
      </c>
      <c r="R1836">
        <v>47.8065</v>
      </c>
      <c r="S1836" s="3" t="s">
        <v>172</v>
      </c>
      <c r="T1836">
        <v>2014</v>
      </c>
      <c r="U1836" t="s">
        <v>332</v>
      </c>
      <c r="V1836" s="2">
        <v>0.28999999999999998</v>
      </c>
    </row>
    <row r="1837" spans="1:22" x14ac:dyDescent="0.25">
      <c r="A1837" t="s">
        <v>4171</v>
      </c>
      <c r="B1837" s="1">
        <v>43063</v>
      </c>
      <c r="C1837" s="1">
        <v>43069</v>
      </c>
      <c r="D1837" t="s">
        <v>23</v>
      </c>
      <c r="E1837" t="s">
        <v>2282</v>
      </c>
      <c r="F1837" t="s">
        <v>2283</v>
      </c>
      <c r="G1837" t="s">
        <v>26</v>
      </c>
      <c r="H1837" t="s">
        <v>27</v>
      </c>
      <c r="I1837" t="s">
        <v>43</v>
      </c>
      <c r="J1837" t="s">
        <v>29</v>
      </c>
      <c r="K1837" t="s">
        <v>30</v>
      </c>
      <c r="L1837" t="s">
        <v>478</v>
      </c>
      <c r="M1837" t="s">
        <v>32</v>
      </c>
      <c r="N1837" t="s">
        <v>51</v>
      </c>
      <c r="O1837" t="s">
        <v>479</v>
      </c>
      <c r="P1837">
        <v>223.58</v>
      </c>
      <c r="Q1837">
        <v>14</v>
      </c>
      <c r="R1837">
        <v>87.196200000000005</v>
      </c>
      <c r="S1837" s="3" t="s">
        <v>107</v>
      </c>
      <c r="T1837">
        <v>2017</v>
      </c>
      <c r="U1837" t="s">
        <v>118</v>
      </c>
      <c r="V1837" s="2">
        <v>0.39</v>
      </c>
    </row>
    <row r="1838" spans="1:22" x14ac:dyDescent="0.25">
      <c r="A1838" t="s">
        <v>4172</v>
      </c>
      <c r="B1838" s="1">
        <v>41700</v>
      </c>
      <c r="C1838" s="1">
        <v>41704</v>
      </c>
      <c r="D1838" t="s">
        <v>23</v>
      </c>
      <c r="E1838" t="s">
        <v>2473</v>
      </c>
      <c r="F1838" t="s">
        <v>2474</v>
      </c>
      <c r="G1838" t="s">
        <v>59</v>
      </c>
      <c r="H1838" t="s">
        <v>27</v>
      </c>
      <c r="I1838" t="s">
        <v>206</v>
      </c>
      <c r="J1838" t="s">
        <v>207</v>
      </c>
      <c r="K1838" t="s">
        <v>95</v>
      </c>
      <c r="L1838" t="s">
        <v>883</v>
      </c>
      <c r="M1838" t="s">
        <v>32</v>
      </c>
      <c r="N1838" t="s">
        <v>51</v>
      </c>
      <c r="O1838" t="s">
        <v>884</v>
      </c>
      <c r="P1838">
        <v>151.19999999999999</v>
      </c>
      <c r="Q1838">
        <v>3</v>
      </c>
      <c r="R1838">
        <v>32.130000000000003</v>
      </c>
      <c r="S1838" s="3" t="s">
        <v>53</v>
      </c>
      <c r="T1838">
        <v>2014</v>
      </c>
      <c r="U1838" t="s">
        <v>89</v>
      </c>
      <c r="V1838" s="2">
        <v>0.21249999999999999</v>
      </c>
    </row>
    <row r="1839" spans="1:22" x14ac:dyDescent="0.25">
      <c r="A1839" t="s">
        <v>4173</v>
      </c>
      <c r="B1839" s="1">
        <v>42887</v>
      </c>
      <c r="C1839" s="1">
        <v>42889</v>
      </c>
      <c r="D1839" t="s">
        <v>40</v>
      </c>
      <c r="E1839" t="s">
        <v>768</v>
      </c>
      <c r="F1839" t="s">
        <v>769</v>
      </c>
      <c r="G1839" t="s">
        <v>59</v>
      </c>
      <c r="H1839" t="s">
        <v>27</v>
      </c>
      <c r="I1839" t="s">
        <v>2524</v>
      </c>
      <c r="J1839" t="s">
        <v>669</v>
      </c>
      <c r="K1839" t="s">
        <v>62</v>
      </c>
      <c r="L1839" t="s">
        <v>1405</v>
      </c>
      <c r="M1839" t="s">
        <v>32</v>
      </c>
      <c r="N1839" t="s">
        <v>51</v>
      </c>
      <c r="O1839" t="s">
        <v>1406</v>
      </c>
      <c r="P1839">
        <v>83.97</v>
      </c>
      <c r="Q1839">
        <v>3</v>
      </c>
      <c r="R1839">
        <v>15.9543</v>
      </c>
      <c r="S1839" s="3" t="s">
        <v>65</v>
      </c>
      <c r="T1839">
        <v>2017</v>
      </c>
      <c r="U1839" t="s">
        <v>36</v>
      </c>
      <c r="V1839" s="2">
        <v>0.19</v>
      </c>
    </row>
    <row r="1840" spans="1:22" x14ac:dyDescent="0.25">
      <c r="A1840" t="s">
        <v>4173</v>
      </c>
      <c r="B1840" s="1">
        <v>42887</v>
      </c>
      <c r="C1840" s="1">
        <v>42889</v>
      </c>
      <c r="D1840" t="s">
        <v>40</v>
      </c>
      <c r="E1840" t="s">
        <v>768</v>
      </c>
      <c r="F1840" t="s">
        <v>769</v>
      </c>
      <c r="G1840" t="s">
        <v>59</v>
      </c>
      <c r="H1840" t="s">
        <v>27</v>
      </c>
      <c r="I1840" t="s">
        <v>2524</v>
      </c>
      <c r="J1840" t="s">
        <v>669</v>
      </c>
      <c r="K1840" t="s">
        <v>62</v>
      </c>
      <c r="L1840" t="s">
        <v>829</v>
      </c>
      <c r="M1840" t="s">
        <v>32</v>
      </c>
      <c r="N1840" t="s">
        <v>51</v>
      </c>
      <c r="O1840" t="s">
        <v>830</v>
      </c>
      <c r="P1840">
        <v>39.89</v>
      </c>
      <c r="Q1840">
        <v>1</v>
      </c>
      <c r="R1840">
        <v>14.7593</v>
      </c>
      <c r="S1840" s="3" t="s">
        <v>65</v>
      </c>
      <c r="T1840">
        <v>2017</v>
      </c>
      <c r="U1840" t="s">
        <v>36</v>
      </c>
      <c r="V1840" s="2">
        <v>0.37</v>
      </c>
    </row>
    <row r="1841" spans="1:22" x14ac:dyDescent="0.25">
      <c r="A1841" t="s">
        <v>4174</v>
      </c>
      <c r="B1841" s="1">
        <v>42994</v>
      </c>
      <c r="C1841" s="1">
        <v>42996</v>
      </c>
      <c r="D1841" t="s">
        <v>40</v>
      </c>
      <c r="E1841" t="s">
        <v>3341</v>
      </c>
      <c r="F1841" t="s">
        <v>3342</v>
      </c>
      <c r="G1841" t="s">
        <v>70</v>
      </c>
      <c r="H1841" t="s">
        <v>27</v>
      </c>
      <c r="I1841" t="s">
        <v>803</v>
      </c>
      <c r="J1841" t="s">
        <v>804</v>
      </c>
      <c r="K1841" t="s">
        <v>155</v>
      </c>
      <c r="L1841" t="s">
        <v>2256</v>
      </c>
      <c r="M1841" t="s">
        <v>32</v>
      </c>
      <c r="N1841" t="s">
        <v>51</v>
      </c>
      <c r="O1841" t="s">
        <v>2257</v>
      </c>
      <c r="P1841">
        <v>18</v>
      </c>
      <c r="Q1841">
        <v>1</v>
      </c>
      <c r="R1841">
        <v>3.24</v>
      </c>
      <c r="S1841" s="3" t="s">
        <v>65</v>
      </c>
      <c r="T1841">
        <v>2017</v>
      </c>
      <c r="U1841" t="s">
        <v>81</v>
      </c>
      <c r="V1841" s="2">
        <v>0.18</v>
      </c>
    </row>
    <row r="1842" spans="1:22" x14ac:dyDescent="0.25">
      <c r="A1842" t="s">
        <v>4175</v>
      </c>
      <c r="B1842" s="1">
        <v>42710</v>
      </c>
      <c r="C1842" s="1">
        <v>42714</v>
      </c>
      <c r="D1842" t="s">
        <v>23</v>
      </c>
      <c r="E1842" t="s">
        <v>1028</v>
      </c>
      <c r="F1842" t="s">
        <v>1029</v>
      </c>
      <c r="G1842" t="s">
        <v>70</v>
      </c>
      <c r="H1842" t="s">
        <v>27</v>
      </c>
      <c r="I1842" t="s">
        <v>28</v>
      </c>
      <c r="J1842" t="s">
        <v>29</v>
      </c>
      <c r="K1842" t="s">
        <v>30</v>
      </c>
      <c r="L1842" t="s">
        <v>3243</v>
      </c>
      <c r="M1842" t="s">
        <v>32</v>
      </c>
      <c r="N1842" t="s">
        <v>33</v>
      </c>
      <c r="O1842" t="s">
        <v>3244</v>
      </c>
      <c r="P1842">
        <v>271.95999999999998</v>
      </c>
      <c r="Q1842">
        <v>5</v>
      </c>
      <c r="R1842">
        <v>27.196000000000002</v>
      </c>
      <c r="S1842" s="3" t="s">
        <v>53</v>
      </c>
      <c r="T1842">
        <v>2016</v>
      </c>
      <c r="U1842" t="s">
        <v>66</v>
      </c>
      <c r="V1842" s="2">
        <v>0.1</v>
      </c>
    </row>
    <row r="1843" spans="1:22" x14ac:dyDescent="0.25">
      <c r="A1843" t="s">
        <v>4175</v>
      </c>
      <c r="B1843" s="1">
        <v>42710</v>
      </c>
      <c r="C1843" s="1">
        <v>42714</v>
      </c>
      <c r="D1843" t="s">
        <v>23</v>
      </c>
      <c r="E1843" t="s">
        <v>1028</v>
      </c>
      <c r="F1843" t="s">
        <v>1029</v>
      </c>
      <c r="G1843" t="s">
        <v>70</v>
      </c>
      <c r="H1843" t="s">
        <v>27</v>
      </c>
      <c r="I1843" t="s">
        <v>28</v>
      </c>
      <c r="J1843" t="s">
        <v>29</v>
      </c>
      <c r="K1843" t="s">
        <v>30</v>
      </c>
      <c r="L1843" t="s">
        <v>578</v>
      </c>
      <c r="M1843" t="s">
        <v>32</v>
      </c>
      <c r="N1843" t="s">
        <v>33</v>
      </c>
      <c r="O1843" t="s">
        <v>579</v>
      </c>
      <c r="P1843">
        <v>249.584</v>
      </c>
      <c r="Q1843">
        <v>2</v>
      </c>
      <c r="R1843">
        <v>31.198</v>
      </c>
      <c r="S1843" s="3" t="s">
        <v>53</v>
      </c>
      <c r="T1843">
        <v>2016</v>
      </c>
      <c r="U1843" t="s">
        <v>66</v>
      </c>
      <c r="V1843" s="2">
        <v>0.125</v>
      </c>
    </row>
    <row r="1844" spans="1:22" x14ac:dyDescent="0.25">
      <c r="A1844" t="s">
        <v>4176</v>
      </c>
      <c r="B1844" s="1">
        <v>42635</v>
      </c>
      <c r="C1844" s="1">
        <v>42641</v>
      </c>
      <c r="D1844" t="s">
        <v>23</v>
      </c>
      <c r="E1844" t="s">
        <v>3442</v>
      </c>
      <c r="F1844" t="s">
        <v>3443</v>
      </c>
      <c r="G1844" t="s">
        <v>26</v>
      </c>
      <c r="H1844" t="s">
        <v>27</v>
      </c>
      <c r="I1844" t="s">
        <v>4177</v>
      </c>
      <c r="J1844" t="s">
        <v>256</v>
      </c>
      <c r="K1844" t="s">
        <v>62</v>
      </c>
      <c r="L1844" t="s">
        <v>2709</v>
      </c>
      <c r="M1844" t="s">
        <v>32</v>
      </c>
      <c r="N1844" t="s">
        <v>33</v>
      </c>
      <c r="O1844" t="s">
        <v>2710</v>
      </c>
      <c r="P1844">
        <v>97.98</v>
      </c>
      <c r="Q1844">
        <v>2</v>
      </c>
      <c r="R1844">
        <v>27.4344</v>
      </c>
      <c r="S1844" s="3" t="s">
        <v>107</v>
      </c>
      <c r="T1844">
        <v>2016</v>
      </c>
      <c r="U1844" t="s">
        <v>81</v>
      </c>
      <c r="V1844" s="2">
        <v>0.28000000000000003</v>
      </c>
    </row>
    <row r="1845" spans="1:22" x14ac:dyDescent="0.25">
      <c r="A1845" t="s">
        <v>4178</v>
      </c>
      <c r="B1845" s="1">
        <v>42642</v>
      </c>
      <c r="C1845" s="1">
        <v>42646</v>
      </c>
      <c r="D1845" t="s">
        <v>23</v>
      </c>
      <c r="E1845" t="s">
        <v>1636</v>
      </c>
      <c r="F1845" t="s">
        <v>1637</v>
      </c>
      <c r="G1845" t="s">
        <v>26</v>
      </c>
      <c r="H1845" t="s">
        <v>27</v>
      </c>
      <c r="I1845" t="s">
        <v>28</v>
      </c>
      <c r="J1845" t="s">
        <v>29</v>
      </c>
      <c r="K1845" t="s">
        <v>30</v>
      </c>
      <c r="L1845" t="s">
        <v>2185</v>
      </c>
      <c r="M1845" t="s">
        <v>32</v>
      </c>
      <c r="N1845" t="s">
        <v>51</v>
      </c>
      <c r="O1845" t="s">
        <v>2186</v>
      </c>
      <c r="P1845">
        <v>36.24</v>
      </c>
      <c r="Q1845">
        <v>1</v>
      </c>
      <c r="R1845">
        <v>15.220800000000001</v>
      </c>
      <c r="S1845" s="3" t="s">
        <v>53</v>
      </c>
      <c r="T1845">
        <v>2016</v>
      </c>
      <c r="U1845" t="s">
        <v>81</v>
      </c>
      <c r="V1845" s="2">
        <v>0.42</v>
      </c>
    </row>
    <row r="1846" spans="1:22" x14ac:dyDescent="0.25">
      <c r="A1846" t="s">
        <v>4179</v>
      </c>
      <c r="B1846" s="1">
        <v>43056</v>
      </c>
      <c r="C1846" s="1">
        <v>43060</v>
      </c>
      <c r="D1846" t="s">
        <v>23</v>
      </c>
      <c r="E1846" t="s">
        <v>886</v>
      </c>
      <c r="F1846" t="s">
        <v>887</v>
      </c>
      <c r="G1846" t="s">
        <v>59</v>
      </c>
      <c r="H1846" t="s">
        <v>27</v>
      </c>
      <c r="I1846" t="s">
        <v>3030</v>
      </c>
      <c r="J1846" t="s">
        <v>1006</v>
      </c>
      <c r="K1846" t="s">
        <v>155</v>
      </c>
      <c r="L1846" t="s">
        <v>2420</v>
      </c>
      <c r="M1846" t="s">
        <v>32</v>
      </c>
      <c r="N1846" t="s">
        <v>51</v>
      </c>
      <c r="O1846" t="s">
        <v>2421</v>
      </c>
      <c r="P1846">
        <v>79.989999999999995</v>
      </c>
      <c r="Q1846">
        <v>1</v>
      </c>
      <c r="R1846">
        <v>28.796399999999998</v>
      </c>
      <c r="S1846" s="3" t="s">
        <v>53</v>
      </c>
      <c r="T1846">
        <v>2017</v>
      </c>
      <c r="U1846" t="s">
        <v>118</v>
      </c>
      <c r="V1846" s="2">
        <v>0.36</v>
      </c>
    </row>
    <row r="1847" spans="1:22" x14ac:dyDescent="0.25">
      <c r="A1847" t="s">
        <v>4179</v>
      </c>
      <c r="B1847" s="1">
        <v>43056</v>
      </c>
      <c r="C1847" s="1">
        <v>43060</v>
      </c>
      <c r="D1847" t="s">
        <v>23</v>
      </c>
      <c r="E1847" t="s">
        <v>886</v>
      </c>
      <c r="F1847" t="s">
        <v>887</v>
      </c>
      <c r="G1847" t="s">
        <v>59</v>
      </c>
      <c r="H1847" t="s">
        <v>27</v>
      </c>
      <c r="I1847" t="s">
        <v>3030</v>
      </c>
      <c r="J1847" t="s">
        <v>1006</v>
      </c>
      <c r="K1847" t="s">
        <v>155</v>
      </c>
      <c r="L1847" t="s">
        <v>3225</v>
      </c>
      <c r="M1847" t="s">
        <v>32</v>
      </c>
      <c r="N1847" t="s">
        <v>33</v>
      </c>
      <c r="O1847" t="s">
        <v>3226</v>
      </c>
      <c r="P1847">
        <v>206.1</v>
      </c>
      <c r="Q1847">
        <v>5</v>
      </c>
      <c r="R1847">
        <v>55.646999999999998</v>
      </c>
      <c r="S1847" s="3" t="s">
        <v>53</v>
      </c>
      <c r="T1847">
        <v>2017</v>
      </c>
      <c r="U1847" t="s">
        <v>118</v>
      </c>
      <c r="V1847" s="2">
        <v>0.27</v>
      </c>
    </row>
    <row r="1848" spans="1:22" x14ac:dyDescent="0.25">
      <c r="A1848" t="s">
        <v>4180</v>
      </c>
      <c r="B1848" s="1">
        <v>42792</v>
      </c>
      <c r="C1848" s="1">
        <v>42797</v>
      </c>
      <c r="D1848" t="s">
        <v>23</v>
      </c>
      <c r="E1848" t="s">
        <v>855</v>
      </c>
      <c r="F1848" t="s">
        <v>856</v>
      </c>
      <c r="G1848" t="s">
        <v>26</v>
      </c>
      <c r="H1848" t="s">
        <v>27</v>
      </c>
      <c r="I1848" t="s">
        <v>1182</v>
      </c>
      <c r="J1848" t="s">
        <v>29</v>
      </c>
      <c r="K1848" t="s">
        <v>30</v>
      </c>
      <c r="L1848" t="s">
        <v>370</v>
      </c>
      <c r="M1848" t="s">
        <v>32</v>
      </c>
      <c r="N1848" t="s">
        <v>33</v>
      </c>
      <c r="O1848" t="s">
        <v>371</v>
      </c>
      <c r="P1848">
        <v>258.57600000000002</v>
      </c>
      <c r="Q1848">
        <v>2</v>
      </c>
      <c r="R1848">
        <v>19.3932</v>
      </c>
      <c r="S1848" s="3" t="s">
        <v>35</v>
      </c>
      <c r="T1848">
        <v>2017</v>
      </c>
      <c r="U1848" t="s">
        <v>180</v>
      </c>
      <c r="V1848" s="2">
        <v>7.4999999999999997E-2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E13E-3A44-4891-93B1-E8DD7D24526D}">
  <dimension ref="B4:X85"/>
  <sheetViews>
    <sheetView topLeftCell="F1" zoomScale="80" zoomScaleNormal="80" workbookViewId="0">
      <selection activeCell="W7" sqref="W7"/>
    </sheetView>
  </sheetViews>
  <sheetFormatPr defaultRowHeight="15" x14ac:dyDescent="0.25"/>
  <cols>
    <col min="2" max="2" width="18.85546875" bestFit="1" customWidth="1"/>
    <col min="3" max="3" width="12.5703125" bestFit="1" customWidth="1"/>
    <col min="4" max="4" width="15.5703125" bestFit="1" customWidth="1"/>
    <col min="5" max="5" width="12.7109375" bestFit="1" customWidth="1"/>
    <col min="6" max="6" width="17" bestFit="1" customWidth="1"/>
    <col min="7" max="7" width="14.42578125" bestFit="1" customWidth="1"/>
    <col min="8" max="8" width="17" bestFit="1" customWidth="1"/>
    <col min="9" max="9" width="25.7109375" bestFit="1" customWidth="1"/>
    <col min="10" max="10" width="10" bestFit="1" customWidth="1"/>
    <col min="11" max="11" width="12.28515625" bestFit="1" customWidth="1"/>
    <col min="12" max="12" width="12.7109375" bestFit="1" customWidth="1"/>
    <col min="13" max="13" width="14.140625" bestFit="1" customWidth="1"/>
    <col min="14" max="14" width="12.5703125" bestFit="1" customWidth="1"/>
    <col min="15" max="15" width="12.7109375" bestFit="1" customWidth="1"/>
  </cols>
  <sheetData>
    <row r="4" spans="2:14" x14ac:dyDescent="0.25">
      <c r="B4" t="s">
        <v>4181</v>
      </c>
      <c r="C4" t="s">
        <v>4182</v>
      </c>
      <c r="D4" t="s">
        <v>4183</v>
      </c>
      <c r="E4" t="s">
        <v>4184</v>
      </c>
      <c r="F4" t="s">
        <v>4194</v>
      </c>
      <c r="I4" s="12" t="s">
        <v>4185</v>
      </c>
      <c r="J4" s="12"/>
      <c r="K4" s="12"/>
      <c r="L4" s="12"/>
      <c r="M4" s="12"/>
    </row>
    <row r="5" spans="2:14" x14ac:dyDescent="0.25">
      <c r="B5" s="3">
        <v>836154.03299999656</v>
      </c>
      <c r="C5" s="3">
        <v>6939</v>
      </c>
      <c r="D5" s="3">
        <v>145454.94809999989</v>
      </c>
      <c r="E5" s="3">
        <v>1847</v>
      </c>
      <c r="F5" s="2">
        <v>0.15613805312776621</v>
      </c>
      <c r="I5" s="8" t="s">
        <v>4186</v>
      </c>
      <c r="J5" s="8" t="s">
        <v>4190</v>
      </c>
      <c r="K5" s="8" t="s">
        <v>4191</v>
      </c>
      <c r="L5" s="8" t="s">
        <v>4192</v>
      </c>
      <c r="M5" s="8" t="s">
        <v>4193</v>
      </c>
    </row>
    <row r="6" spans="2:14" x14ac:dyDescent="0.25">
      <c r="I6" s="8" t="s">
        <v>4187</v>
      </c>
      <c r="J6" s="6">
        <f>GETPIVOTDATA("Sum of Sales",$B$4)</f>
        <v>836154.03299999656</v>
      </c>
      <c r="K6" s="6">
        <f>GETPIVOTDATA("Sum of Sales",$B$11,"Year",2017)</f>
        <v>271730.8110000001</v>
      </c>
      <c r="L6" s="6">
        <f>GETPIVOTDATA("Sum of Sales",$B$11,"Year",2016)</f>
        <v>226364.18000000011</v>
      </c>
      <c r="M6" s="9">
        <f>('CALCULATIONS AND PIVOT'!K6-'CALCULATIONS AND PIVOT'!L6)/'CALCULATIONS AND PIVOT'!L6</f>
        <v>0.20041435442657038</v>
      </c>
      <c r="N6" t="str">
        <f>IF(M6&gt;0,"▲","▼")&amp;TEXT(ABS(M6),"0.0%")&amp;" YoY"</f>
        <v>▲20.0% YoY</v>
      </c>
    </row>
    <row r="7" spans="2:14" x14ac:dyDescent="0.25">
      <c r="I7" s="8" t="s">
        <v>4188</v>
      </c>
      <c r="J7">
        <f>GETPIVOTDATA("Sum of Quantity",$B$4)</f>
        <v>6939</v>
      </c>
      <c r="K7">
        <f>GETPIVOTDATA("Sum of Quantity",$B$11,"Year",2017)</f>
        <v>2363</v>
      </c>
      <c r="L7">
        <f>GETPIVOTDATA("Sum of Quantity",$B$11,"Year",2016)</f>
        <v>1698</v>
      </c>
      <c r="M7" s="9">
        <f>('CALCULATIONS AND PIVOT'!K7-'CALCULATIONS AND PIVOT'!L7)/'CALCULATIONS AND PIVOT'!L7</f>
        <v>0.39163722025912839</v>
      </c>
      <c r="N7" t="str">
        <f t="shared" ref="N7:N10" si="0">IF(M7&gt;0,"▲","▼")&amp;TEXT(ABS(M7),"0.0%")&amp;" YoY"</f>
        <v>▲39.2% YoY</v>
      </c>
    </row>
    <row r="8" spans="2:14" x14ac:dyDescent="0.25">
      <c r="I8" s="8" t="s">
        <v>4189</v>
      </c>
      <c r="J8" s="6">
        <f>GETPIVOTDATA("Sum of Profit",$B$4)</f>
        <v>145454.94809999989</v>
      </c>
      <c r="K8" s="6">
        <f>GETPIVOTDATA("Sum of Profit",$B$11,"Year",2017)</f>
        <v>50684.256600000022</v>
      </c>
      <c r="L8" s="6">
        <f>GETPIVOTDATA("Sum of Profit",$B$11,"Year",2016)</f>
        <v>39773.991999999991</v>
      </c>
      <c r="M8" s="9">
        <f>('CALCULATIONS AND PIVOT'!K8-'CALCULATIONS AND PIVOT'!L8)/'CALCULATIONS AND PIVOT'!L8</f>
        <v>0.27430650159531467</v>
      </c>
      <c r="N8" t="str">
        <f t="shared" si="0"/>
        <v>▲27.4% YoY</v>
      </c>
    </row>
    <row r="9" spans="2:14" x14ac:dyDescent="0.25">
      <c r="I9" s="8" t="s">
        <v>4198</v>
      </c>
      <c r="J9">
        <f>GETPIVOTDATA("Count of Order ID",$B$4)</f>
        <v>1847</v>
      </c>
      <c r="K9">
        <f>GETPIVOTDATA("Count of Order ID",$B$11,"Year",2017)</f>
        <v>624</v>
      </c>
      <c r="L9">
        <f>GETPIVOTDATA("Count of Order ID",$B$11,"Year",2016)</f>
        <v>459</v>
      </c>
      <c r="M9" s="9">
        <f>('CALCULATIONS AND PIVOT'!K9-'CALCULATIONS AND PIVOT'!L9)/'CALCULATIONS AND PIVOT'!L9</f>
        <v>0.35947712418300654</v>
      </c>
      <c r="N9" t="str">
        <f t="shared" si="0"/>
        <v>▲35.9% YoY</v>
      </c>
    </row>
    <row r="10" spans="2:14" x14ac:dyDescent="0.25">
      <c r="B10" s="10"/>
      <c r="C10" s="10"/>
      <c r="D10" s="10"/>
      <c r="E10" s="10"/>
      <c r="I10" s="8" t="s">
        <v>4195</v>
      </c>
      <c r="J10" s="7">
        <f>J8/J6</f>
        <v>0.17395712076891998</v>
      </c>
      <c r="K10" s="7">
        <f>K8/K6</f>
        <v>0.1865237748103582</v>
      </c>
      <c r="L10" s="7">
        <f>L8/L6</f>
        <v>0.17570797641216898</v>
      </c>
      <c r="M10" s="9">
        <f>('CALCULATIONS AND PIVOT'!K10-'CALCULATIONS AND PIVOT'!L10)/'CALCULATIONS AND PIVOT'!L10</f>
        <v>6.1555534467131627E-2</v>
      </c>
      <c r="N10" t="str">
        <f t="shared" si="0"/>
        <v>▲6.2% YoY</v>
      </c>
    </row>
    <row r="11" spans="2:14" x14ac:dyDescent="0.25">
      <c r="B11" s="4" t="s">
        <v>4196</v>
      </c>
      <c r="C11" t="s">
        <v>4181</v>
      </c>
      <c r="D11" t="s">
        <v>4182</v>
      </c>
      <c r="E11" t="s">
        <v>4183</v>
      </c>
      <c r="F11" t="s">
        <v>4184</v>
      </c>
      <c r="G11" t="s">
        <v>4194</v>
      </c>
    </row>
    <row r="12" spans="2:14" x14ac:dyDescent="0.25">
      <c r="B12" s="5">
        <v>2014</v>
      </c>
      <c r="C12" s="3">
        <v>175278.23300000007</v>
      </c>
      <c r="D12" s="3">
        <v>1389</v>
      </c>
      <c r="E12" s="3">
        <v>21492.8325</v>
      </c>
      <c r="F12" s="3">
        <v>355</v>
      </c>
      <c r="G12" s="2">
        <v>0.16060731052984581</v>
      </c>
    </row>
    <row r="13" spans="2:14" x14ac:dyDescent="0.25">
      <c r="B13" s="5">
        <v>2015</v>
      </c>
      <c r="C13" s="3">
        <v>162780.80899999989</v>
      </c>
      <c r="D13" s="3">
        <v>1489</v>
      </c>
      <c r="E13" s="3">
        <v>33503.866999999984</v>
      </c>
      <c r="F13" s="3">
        <v>409</v>
      </c>
      <c r="G13" s="2">
        <v>0.16766358132495038</v>
      </c>
    </row>
    <row r="14" spans="2:14" x14ac:dyDescent="0.25">
      <c r="B14" s="5">
        <v>2016</v>
      </c>
      <c r="C14" s="3">
        <v>226364.18000000011</v>
      </c>
      <c r="D14" s="3">
        <v>1698</v>
      </c>
      <c r="E14" s="3">
        <v>39773.991999999991</v>
      </c>
      <c r="F14" s="3">
        <v>459</v>
      </c>
      <c r="G14" s="2">
        <v>0.13429608880589275</v>
      </c>
    </row>
    <row r="15" spans="2:14" x14ac:dyDescent="0.25">
      <c r="B15" s="5">
        <v>2017</v>
      </c>
      <c r="C15" s="3">
        <v>271730.8110000001</v>
      </c>
      <c r="D15" s="3">
        <v>2363</v>
      </c>
      <c r="E15" s="3">
        <v>50684.256600000022</v>
      </c>
      <c r="F15" s="3">
        <v>624</v>
      </c>
      <c r="G15" s="2">
        <v>0.16210749898249874</v>
      </c>
    </row>
    <row r="16" spans="2:14" x14ac:dyDescent="0.25">
      <c r="B16" s="5" t="s">
        <v>4197</v>
      </c>
      <c r="C16" s="3">
        <v>836154.03299999645</v>
      </c>
      <c r="D16" s="3">
        <v>6939</v>
      </c>
      <c r="E16" s="3">
        <v>145454.94809999969</v>
      </c>
      <c r="F16" s="3">
        <v>1847</v>
      </c>
      <c r="G16" s="2">
        <v>0.15613805312776646</v>
      </c>
    </row>
    <row r="18" spans="2:24" x14ac:dyDescent="0.25">
      <c r="G18" s="8" t="s">
        <v>4200</v>
      </c>
      <c r="M18" t="str">
        <f>"Highest Profit Category: "&amp; INDEX(M21:M24,MATCH(MAX(O21:O24),O21:O24,0)) &amp; " (" &amp;TEXT(MAX(O21:O24),"$#,##0") &amp;")"</f>
        <v>Highest Profit Category: Copiers ($55,618)</v>
      </c>
    </row>
    <row r="19" spans="2:24" x14ac:dyDescent="0.25">
      <c r="B19" s="8" t="s">
        <v>4199</v>
      </c>
      <c r="G19" t="str">
        <f>"Top Selling City: "&amp;INDEX(G21:G25,MATCH(MAX(H21:H25),H21:H25,0)) &amp;" (" &amp;TEXT(MAX(H21:H25),"$#,##0") &amp;")"</f>
        <v>Top Selling City: New York City ($109,316)</v>
      </c>
      <c r="M19" t="str">
        <f>"Highest Sales from category: "&amp; INDEX(M21:M24,MATCH(MAX(N21:N24),N21:N24,0)) &amp;" (" &amp;TEXT(MAX(N21:N24),"$#,##0") &amp;")"</f>
        <v>Highest Sales from category: Phones ($330,007)</v>
      </c>
    </row>
    <row r="20" spans="2:24" x14ac:dyDescent="0.25">
      <c r="B20" t="str">
        <f>"Peak Sales Month: " &amp;INDEX(B22:B33,MATCH(MAX(C22:C33),C22:C33,0)) &amp;" with"&amp;TEXT(MAX(C22:C33)," $#,##0")&amp;" in Sales"</f>
        <v>Peak Sales Month: Nov with $131,135 in Sales</v>
      </c>
      <c r="G20" s="4" t="s">
        <v>4196</v>
      </c>
      <c r="H20" t="s">
        <v>4181</v>
      </c>
      <c r="K20" s="11">
        <f>MAX(J21:J25)*1.2</f>
        <v>131179.32720000006</v>
      </c>
      <c r="M20" s="4" t="s">
        <v>4196</v>
      </c>
      <c r="N20" t="s">
        <v>4181</v>
      </c>
      <c r="O20" t="s">
        <v>4183</v>
      </c>
    </row>
    <row r="21" spans="2:24" x14ac:dyDescent="0.25">
      <c r="B21" s="4" t="s">
        <v>4196</v>
      </c>
      <c r="C21" t="s">
        <v>4181</v>
      </c>
      <c r="G21" s="5" t="s">
        <v>28</v>
      </c>
      <c r="H21" s="6">
        <v>73029.785999999993</v>
      </c>
      <c r="I21" s="5" t="s">
        <v>28</v>
      </c>
      <c r="J21" s="6">
        <v>73029.785999999993</v>
      </c>
      <c r="K21" s="11">
        <f>$K$20-J21</f>
        <v>58149.541200000065</v>
      </c>
      <c r="M21" s="5" t="s">
        <v>381</v>
      </c>
      <c r="N21" s="6">
        <v>149528.02999999994</v>
      </c>
      <c r="O21" s="6">
        <v>55617.824900000007</v>
      </c>
    </row>
    <row r="22" spans="2:24" x14ac:dyDescent="0.25">
      <c r="B22" s="5" t="s">
        <v>54</v>
      </c>
      <c r="C22" s="6">
        <v>30121.762999999992</v>
      </c>
      <c r="G22" s="5" t="s">
        <v>103</v>
      </c>
      <c r="H22" s="6">
        <v>109316.10600000004</v>
      </c>
      <c r="I22" s="5" t="s">
        <v>103</v>
      </c>
      <c r="J22" s="6">
        <v>109316.10600000004</v>
      </c>
      <c r="K22" s="11">
        <f>$K$20-J22</f>
        <v>21863.221200000015</v>
      </c>
      <c r="M22" s="5" t="s">
        <v>51</v>
      </c>
      <c r="N22" s="6">
        <v>167380.31800000009</v>
      </c>
      <c r="O22" s="6">
        <v>41936.635699999933</v>
      </c>
    </row>
    <row r="23" spans="2:24" x14ac:dyDescent="0.25">
      <c r="B23" s="5" t="s">
        <v>180</v>
      </c>
      <c r="C23" s="6">
        <v>23343.417999999998</v>
      </c>
      <c r="G23" s="5" t="s">
        <v>206</v>
      </c>
      <c r="H23" s="6">
        <v>41923.318999999996</v>
      </c>
      <c r="I23" s="5" t="s">
        <v>206</v>
      </c>
      <c r="J23" s="6">
        <v>41923.318999999996</v>
      </c>
      <c r="K23" s="11">
        <f>$K$20-J23</f>
        <v>89256.008200000069</v>
      </c>
      <c r="M23" s="5" t="s">
        <v>215</v>
      </c>
      <c r="N23" s="6">
        <v>189238.63099999996</v>
      </c>
      <c r="O23" s="6">
        <v>3384.7568999999999</v>
      </c>
    </row>
    <row r="24" spans="2:24" x14ac:dyDescent="0.25">
      <c r="B24" s="5" t="s">
        <v>89</v>
      </c>
      <c r="C24" s="6">
        <v>97851.569999999978</v>
      </c>
      <c r="G24" s="5" t="s">
        <v>43</v>
      </c>
      <c r="H24" s="6">
        <v>34058.632000000005</v>
      </c>
      <c r="I24" s="5" t="s">
        <v>43</v>
      </c>
      <c r="J24" s="6">
        <v>34058.632000000005</v>
      </c>
      <c r="K24" s="11">
        <f>$K$20-J24</f>
        <v>97120.695200000046</v>
      </c>
      <c r="M24" s="5" t="s">
        <v>33</v>
      </c>
      <c r="N24" s="6">
        <v>330007.05400000012</v>
      </c>
      <c r="O24" s="6">
        <v>44515.730600000003</v>
      </c>
    </row>
    <row r="25" spans="2:24" x14ac:dyDescent="0.25">
      <c r="B25" s="5" t="s">
        <v>291</v>
      </c>
      <c r="C25" s="6">
        <v>47630.275000000023</v>
      </c>
      <c r="G25" s="5" t="s">
        <v>481</v>
      </c>
      <c r="H25" s="6">
        <v>42506.372000000003</v>
      </c>
      <c r="I25" s="5" t="s">
        <v>481</v>
      </c>
      <c r="J25" s="6">
        <v>42506.372000000003</v>
      </c>
      <c r="K25" s="11">
        <f>$K$20-J25</f>
        <v>88672.955200000055</v>
      </c>
      <c r="M25" s="5" t="s">
        <v>4197</v>
      </c>
      <c r="N25" s="6">
        <v>836154.03300000005</v>
      </c>
      <c r="O25" s="6">
        <v>145454.94809999992</v>
      </c>
    </row>
    <row r="26" spans="2:24" x14ac:dyDescent="0.25">
      <c r="B26" s="5" t="s">
        <v>527</v>
      </c>
      <c r="C26" s="6">
        <v>63642.154999999999</v>
      </c>
      <c r="G26" s="5" t="s">
        <v>4197</v>
      </c>
      <c r="H26" s="6">
        <v>300834.21500000008</v>
      </c>
    </row>
    <row r="27" spans="2:24" x14ac:dyDescent="0.25">
      <c r="B27" s="5" t="s">
        <v>36</v>
      </c>
      <c r="C27" s="6">
        <v>48304.583000000006</v>
      </c>
    </row>
    <row r="28" spans="2:24" x14ac:dyDescent="0.25">
      <c r="B28" s="5" t="s">
        <v>332</v>
      </c>
      <c r="C28" s="6">
        <v>54854.025999999983</v>
      </c>
      <c r="X28" t="s">
        <v>4201</v>
      </c>
    </row>
    <row r="29" spans="2:24" x14ac:dyDescent="0.25">
      <c r="B29" s="5" t="s">
        <v>46</v>
      </c>
      <c r="C29" s="6">
        <v>52025.856000000029</v>
      </c>
    </row>
    <row r="30" spans="2:24" x14ac:dyDescent="0.25">
      <c r="B30" s="5" t="s">
        <v>81</v>
      </c>
      <c r="C30" s="6">
        <v>99380.708999999959</v>
      </c>
      <c r="G30" s="8" t="s">
        <v>4202</v>
      </c>
    </row>
    <row r="31" spans="2:24" x14ac:dyDescent="0.25">
      <c r="B31" s="5" t="s">
        <v>133</v>
      </c>
      <c r="C31" s="6">
        <v>87031.944999999992</v>
      </c>
      <c r="G31" t="str">
        <f>"Most Orders ("&amp;TEXT(MAX(H33:H40),"0%")&amp;") were delivered in "&amp;INDEX(G33:G40,MATCH(MAX(H33:H40),H33:H40,0))</f>
        <v>Most Orders (28%) were delivered in 4 days</v>
      </c>
    </row>
    <row r="32" spans="2:24" x14ac:dyDescent="0.25">
      <c r="B32" s="5" t="s">
        <v>118</v>
      </c>
      <c r="C32" s="6">
        <v>131134.84100000004</v>
      </c>
      <c r="G32" s="4" t="s">
        <v>4196</v>
      </c>
      <c r="H32" t="s">
        <v>4184</v>
      </c>
    </row>
    <row r="33" spans="2:8" x14ac:dyDescent="0.25">
      <c r="B33" s="5" t="s">
        <v>66</v>
      </c>
      <c r="C33" s="6">
        <v>100832.89200000001</v>
      </c>
      <c r="G33" s="5" t="s">
        <v>53</v>
      </c>
      <c r="H33" s="2">
        <v>0.2777476989713048</v>
      </c>
    </row>
    <row r="34" spans="2:8" x14ac:dyDescent="0.25">
      <c r="B34" s="5" t="s">
        <v>4197</v>
      </c>
      <c r="C34" s="6">
        <v>836154.03299999994</v>
      </c>
      <c r="G34" s="5" t="s">
        <v>35</v>
      </c>
      <c r="H34" s="2">
        <v>0.21277747698971305</v>
      </c>
    </row>
    <row r="35" spans="2:8" x14ac:dyDescent="0.25">
      <c r="G35" s="5" t="s">
        <v>65</v>
      </c>
      <c r="H35" s="2">
        <v>0.14022739577693558</v>
      </c>
    </row>
    <row r="36" spans="2:8" x14ac:dyDescent="0.25">
      <c r="G36" s="5" t="s">
        <v>107</v>
      </c>
      <c r="H36" s="2">
        <v>0.11802923659989172</v>
      </c>
    </row>
    <row r="37" spans="2:8" x14ac:dyDescent="0.25">
      <c r="G37" s="5" t="s">
        <v>172</v>
      </c>
      <c r="H37" s="2">
        <v>0.10395235517054684</v>
      </c>
    </row>
    <row r="38" spans="2:8" x14ac:dyDescent="0.25">
      <c r="B38" s="4" t="s">
        <v>4196</v>
      </c>
      <c r="C38" t="s">
        <v>4181</v>
      </c>
      <c r="D38" s="8" t="s">
        <v>4204</v>
      </c>
      <c r="E38" s="8" t="s">
        <v>4187</v>
      </c>
      <c r="G38" s="5" t="s">
        <v>132</v>
      </c>
      <c r="H38" s="2">
        <v>5.8473199783432593E-2</v>
      </c>
    </row>
    <row r="39" spans="2:8" x14ac:dyDescent="0.25">
      <c r="B39" s="5" t="s">
        <v>555</v>
      </c>
      <c r="C39" s="6">
        <v>8969.08</v>
      </c>
      <c r="D39" s="5" t="s">
        <v>555</v>
      </c>
      <c r="E39" s="6">
        <v>8969.08</v>
      </c>
      <c r="G39" s="5" t="s">
        <v>683</v>
      </c>
      <c r="H39" s="2">
        <v>5.0351922035733625E-2</v>
      </c>
    </row>
    <row r="40" spans="2:8" x14ac:dyDescent="0.25">
      <c r="B40" s="5" t="s">
        <v>123</v>
      </c>
      <c r="C40" s="6">
        <v>11750.885000000004</v>
      </c>
      <c r="D40" s="5" t="s">
        <v>123</v>
      </c>
      <c r="E40" s="6">
        <v>11750.885000000004</v>
      </c>
      <c r="G40" s="5" t="s">
        <v>112</v>
      </c>
      <c r="H40" s="2">
        <v>3.8440714672441798E-2</v>
      </c>
    </row>
    <row r="41" spans="2:8" x14ac:dyDescent="0.25">
      <c r="B41" s="5" t="s">
        <v>1011</v>
      </c>
      <c r="C41" s="6">
        <v>3925.25</v>
      </c>
      <c r="D41" s="5" t="s">
        <v>1011</v>
      </c>
      <c r="E41" s="6">
        <v>3925.25</v>
      </c>
      <c r="G41" s="5" t="s">
        <v>4197</v>
      </c>
      <c r="H41" s="2">
        <v>1</v>
      </c>
    </row>
    <row r="42" spans="2:8" x14ac:dyDescent="0.25">
      <c r="B42" s="5" t="s">
        <v>29</v>
      </c>
      <c r="C42" s="6">
        <v>159271.08200000002</v>
      </c>
      <c r="D42" s="5" t="s">
        <v>29</v>
      </c>
      <c r="E42" s="6">
        <v>159271.08200000002</v>
      </c>
    </row>
    <row r="43" spans="2:8" x14ac:dyDescent="0.25">
      <c r="B43" s="5" t="s">
        <v>147</v>
      </c>
      <c r="C43" s="6">
        <v>10966.329000000002</v>
      </c>
      <c r="D43" s="5" t="s">
        <v>147</v>
      </c>
      <c r="E43" s="6">
        <v>10966.329000000002</v>
      </c>
    </row>
    <row r="44" spans="2:8" x14ac:dyDescent="0.25">
      <c r="B44" s="5" t="s">
        <v>1451</v>
      </c>
      <c r="C44" s="6">
        <v>2791.0299999999997</v>
      </c>
      <c r="D44" s="5" t="s">
        <v>1451</v>
      </c>
      <c r="E44" s="6">
        <v>2791.0299999999997</v>
      </c>
    </row>
    <row r="45" spans="2:8" x14ac:dyDescent="0.25">
      <c r="B45" s="5" t="s">
        <v>94</v>
      </c>
      <c r="C45" s="6">
        <v>14562.219999999996</v>
      </c>
      <c r="D45" s="5" t="s">
        <v>94</v>
      </c>
      <c r="E45" s="6">
        <v>14562.219999999996</v>
      </c>
    </row>
    <row r="46" spans="2:8" x14ac:dyDescent="0.25">
      <c r="B46" s="5" t="s">
        <v>940</v>
      </c>
      <c r="C46" s="6">
        <v>1379.92</v>
      </c>
      <c r="D46" s="5" t="s">
        <v>940</v>
      </c>
      <c r="E46" s="6">
        <v>1379.92</v>
      </c>
    </row>
    <row r="47" spans="2:8" x14ac:dyDescent="0.25">
      <c r="B47" s="5" t="s">
        <v>288</v>
      </c>
      <c r="C47" s="6">
        <v>46968.035999999978</v>
      </c>
      <c r="D47" s="5" t="s">
        <v>288</v>
      </c>
      <c r="E47" s="6">
        <v>46968.035999999978</v>
      </c>
    </row>
    <row r="48" spans="2:8" x14ac:dyDescent="0.25">
      <c r="B48" s="5" t="s">
        <v>1006</v>
      </c>
      <c r="C48" s="6">
        <v>14058.55</v>
      </c>
      <c r="D48" s="5" t="s">
        <v>1006</v>
      </c>
      <c r="E48" s="6">
        <v>14058.55</v>
      </c>
      <c r="G48" s="8" t="s">
        <v>4203</v>
      </c>
      <c r="H48" s="8"/>
    </row>
    <row r="49" spans="2:8" x14ac:dyDescent="0.25">
      <c r="B49" s="5" t="s">
        <v>2574</v>
      </c>
      <c r="C49" s="6">
        <v>837.49800000000005</v>
      </c>
      <c r="D49" s="5" t="s">
        <v>2574</v>
      </c>
      <c r="E49" s="6">
        <v>837.49800000000005</v>
      </c>
      <c r="G49" t="str">
        <f>"Most Orders Used "&amp;INDEX(G51:G54,MATCH(MAX(H51:H54),H51:H54,0)) &amp; "(" &amp;TEXT(MAX(H51:H54),"0%")&amp; ")"</f>
        <v>Most Orders Used Standard Class(59%)</v>
      </c>
    </row>
    <row r="50" spans="2:8" x14ac:dyDescent="0.25">
      <c r="B50" s="5" t="s">
        <v>78</v>
      </c>
      <c r="C50" s="6">
        <v>31983.673000000006</v>
      </c>
      <c r="D50" s="5" t="s">
        <v>78</v>
      </c>
      <c r="E50" s="6">
        <v>31983.673000000006</v>
      </c>
      <c r="G50" s="4" t="s">
        <v>4196</v>
      </c>
      <c r="H50" t="s">
        <v>4184</v>
      </c>
    </row>
    <row r="51" spans="2:8" x14ac:dyDescent="0.25">
      <c r="B51" s="5" t="s">
        <v>669</v>
      </c>
      <c r="C51" s="6">
        <v>26323.249999999996</v>
      </c>
      <c r="D51" s="5" t="s">
        <v>669</v>
      </c>
      <c r="E51" s="6">
        <v>26323.249999999996</v>
      </c>
      <c r="G51" s="5" t="s">
        <v>56</v>
      </c>
      <c r="H51" s="2">
        <v>0.16296697347049269</v>
      </c>
    </row>
    <row r="52" spans="2:8" x14ac:dyDescent="0.25">
      <c r="B52" s="5" t="s">
        <v>755</v>
      </c>
      <c r="C52" s="6">
        <v>1154.3</v>
      </c>
      <c r="D52" s="5" t="s">
        <v>755</v>
      </c>
      <c r="E52" s="6">
        <v>1154.3</v>
      </c>
      <c r="G52" s="5" t="s">
        <v>677</v>
      </c>
      <c r="H52" s="2">
        <v>5.3059014618299948E-2</v>
      </c>
    </row>
    <row r="53" spans="2:8" x14ac:dyDescent="0.25">
      <c r="B53" s="5" t="s">
        <v>2242</v>
      </c>
      <c r="C53" s="6">
        <v>849.04</v>
      </c>
      <c r="D53" s="5" t="s">
        <v>2242</v>
      </c>
      <c r="E53" s="6">
        <v>849.04</v>
      </c>
      <c r="G53" s="5" t="s">
        <v>40</v>
      </c>
      <c r="H53" s="2">
        <v>0.19815917704385491</v>
      </c>
    </row>
    <row r="54" spans="2:8" x14ac:dyDescent="0.25">
      <c r="B54" s="5" t="s">
        <v>804</v>
      </c>
      <c r="C54" s="6">
        <v>12570.64</v>
      </c>
      <c r="D54" s="5" t="s">
        <v>804</v>
      </c>
      <c r="E54" s="6">
        <v>12570.64</v>
      </c>
      <c r="G54" s="5" t="s">
        <v>23</v>
      </c>
      <c r="H54" s="2">
        <v>0.58581483486735242</v>
      </c>
    </row>
    <row r="55" spans="2:8" x14ac:dyDescent="0.25">
      <c r="B55" s="5" t="s">
        <v>229</v>
      </c>
      <c r="C55" s="6">
        <v>2830.84</v>
      </c>
      <c r="D55" s="5" t="s">
        <v>229</v>
      </c>
      <c r="E55" s="6">
        <v>2830.84</v>
      </c>
      <c r="G55" s="5" t="s">
        <v>4197</v>
      </c>
      <c r="H55" s="2">
        <v>1</v>
      </c>
    </row>
    <row r="56" spans="2:8" x14ac:dyDescent="0.25">
      <c r="B56" s="5" t="s">
        <v>1664</v>
      </c>
      <c r="C56" s="6">
        <v>761.25</v>
      </c>
      <c r="D56" s="5" t="s">
        <v>1664</v>
      </c>
      <c r="E56" s="6">
        <v>761.25</v>
      </c>
    </row>
    <row r="57" spans="2:8" x14ac:dyDescent="0.25">
      <c r="B57" s="5" t="s">
        <v>1035</v>
      </c>
      <c r="C57" s="6">
        <v>4166.0399999999991</v>
      </c>
      <c r="D57" s="5" t="s">
        <v>1035</v>
      </c>
      <c r="E57" s="6">
        <v>4166.0399999999991</v>
      </c>
    </row>
    <row r="58" spans="2:8" x14ac:dyDescent="0.25">
      <c r="B58" s="5" t="s">
        <v>1249</v>
      </c>
      <c r="C58" s="6">
        <v>5726.6299999999992</v>
      </c>
      <c r="D58" s="5" t="s">
        <v>1249</v>
      </c>
      <c r="E58" s="6">
        <v>5726.6299999999992</v>
      </c>
    </row>
    <row r="59" spans="2:8" x14ac:dyDescent="0.25">
      <c r="B59" s="5" t="s">
        <v>256</v>
      </c>
      <c r="C59" s="6">
        <v>16224.754999999996</v>
      </c>
      <c r="D59" s="5" t="s">
        <v>256</v>
      </c>
      <c r="E59" s="6">
        <v>16224.754999999996</v>
      </c>
    </row>
    <row r="60" spans="2:8" x14ac:dyDescent="0.25">
      <c r="B60" s="5" t="s">
        <v>86</v>
      </c>
      <c r="C60" s="6">
        <v>2845.26</v>
      </c>
      <c r="D60" s="5" t="s">
        <v>86</v>
      </c>
      <c r="E60" s="6">
        <v>2845.26</v>
      </c>
    </row>
    <row r="61" spans="2:8" x14ac:dyDescent="0.25">
      <c r="B61" s="5" t="s">
        <v>688</v>
      </c>
      <c r="C61" s="6">
        <v>2822.3300000000004</v>
      </c>
      <c r="D61" s="5" t="s">
        <v>688</v>
      </c>
      <c r="E61" s="6">
        <v>2822.3300000000004</v>
      </c>
    </row>
    <row r="62" spans="2:8" x14ac:dyDescent="0.25">
      <c r="B62" s="5" t="s">
        <v>532</v>
      </c>
      <c r="C62" s="6">
        <v>7086.52</v>
      </c>
      <c r="D62" s="5" t="s">
        <v>532</v>
      </c>
      <c r="E62" s="6">
        <v>7086.52</v>
      </c>
    </row>
    <row r="63" spans="2:8" x14ac:dyDescent="0.25">
      <c r="B63" s="5" t="s">
        <v>539</v>
      </c>
      <c r="C63" s="6">
        <v>3662.9339999999997</v>
      </c>
      <c r="D63" s="5" t="s">
        <v>539</v>
      </c>
      <c r="E63" s="6">
        <v>3662.9339999999997</v>
      </c>
    </row>
    <row r="64" spans="2:8" x14ac:dyDescent="0.25">
      <c r="B64" s="5" t="s">
        <v>779</v>
      </c>
      <c r="C64" s="6">
        <v>3285.7399999999993</v>
      </c>
      <c r="D64" s="5" t="s">
        <v>779</v>
      </c>
      <c r="E64" s="6">
        <v>3285.7399999999993</v>
      </c>
    </row>
    <row r="65" spans="2:5" x14ac:dyDescent="0.25">
      <c r="B65" s="5" t="s">
        <v>1351</v>
      </c>
      <c r="C65" s="6">
        <v>5137.0059999999994</v>
      </c>
      <c r="D65" s="5" t="s">
        <v>1351</v>
      </c>
      <c r="E65" s="6">
        <v>5137.0059999999994</v>
      </c>
    </row>
    <row r="66" spans="2:5" x14ac:dyDescent="0.25">
      <c r="B66" s="5" t="s">
        <v>840</v>
      </c>
      <c r="C66" s="6">
        <v>3636.7999999999997</v>
      </c>
      <c r="D66" s="5" t="s">
        <v>840</v>
      </c>
      <c r="E66" s="6">
        <v>3636.7999999999997</v>
      </c>
    </row>
    <row r="67" spans="2:5" x14ac:dyDescent="0.25">
      <c r="B67" s="5" t="s">
        <v>794</v>
      </c>
      <c r="C67" s="6">
        <v>14501.16</v>
      </c>
      <c r="D67" s="5" t="s">
        <v>794</v>
      </c>
      <c r="E67" s="6">
        <v>14501.16</v>
      </c>
    </row>
    <row r="68" spans="2:5" x14ac:dyDescent="0.25">
      <c r="B68" s="5" t="s">
        <v>889</v>
      </c>
      <c r="C68" s="6">
        <v>1697.9279999999999</v>
      </c>
      <c r="D68" s="5" t="s">
        <v>889</v>
      </c>
      <c r="E68" s="6">
        <v>1697.9279999999999</v>
      </c>
    </row>
    <row r="69" spans="2:5" x14ac:dyDescent="0.25">
      <c r="B69" s="5" t="s">
        <v>104</v>
      </c>
      <c r="C69" s="6">
        <v>127483.50000000006</v>
      </c>
      <c r="D69" s="5" t="s">
        <v>104</v>
      </c>
      <c r="E69" s="6">
        <v>127483.50000000006</v>
      </c>
    </row>
    <row r="70" spans="2:5" x14ac:dyDescent="0.25">
      <c r="B70" s="5" t="s">
        <v>154</v>
      </c>
      <c r="C70" s="6">
        <v>26083.11900000001</v>
      </c>
      <c r="D70" s="5" t="s">
        <v>154</v>
      </c>
      <c r="E70" s="6">
        <v>26083.11900000001</v>
      </c>
    </row>
    <row r="71" spans="2:5" x14ac:dyDescent="0.25">
      <c r="B71" s="5" t="s">
        <v>177</v>
      </c>
      <c r="C71" s="6">
        <v>35675.991999999998</v>
      </c>
      <c r="D71" s="5" t="s">
        <v>177</v>
      </c>
      <c r="E71" s="6">
        <v>35675.991999999998</v>
      </c>
    </row>
    <row r="72" spans="2:5" x14ac:dyDescent="0.25">
      <c r="B72" s="5" t="s">
        <v>200</v>
      </c>
      <c r="C72" s="6">
        <v>6368.4499999999989</v>
      </c>
      <c r="D72" s="5" t="s">
        <v>200</v>
      </c>
      <c r="E72" s="6">
        <v>6368.4499999999989</v>
      </c>
    </row>
    <row r="73" spans="2:5" x14ac:dyDescent="0.25">
      <c r="B73" s="5" t="s">
        <v>340</v>
      </c>
      <c r="C73" s="6">
        <v>5821.5559999999996</v>
      </c>
      <c r="D73" s="5" t="s">
        <v>340</v>
      </c>
      <c r="E73" s="6">
        <v>5821.5559999999996</v>
      </c>
    </row>
    <row r="74" spans="2:5" x14ac:dyDescent="0.25">
      <c r="B74" s="5" t="s">
        <v>207</v>
      </c>
      <c r="C74" s="6">
        <v>42215.268999999993</v>
      </c>
      <c r="D74" s="5" t="s">
        <v>207</v>
      </c>
      <c r="E74" s="6">
        <v>42215.268999999993</v>
      </c>
    </row>
    <row r="75" spans="2:5" x14ac:dyDescent="0.25">
      <c r="B75" s="5" t="s">
        <v>1721</v>
      </c>
      <c r="C75" s="6">
        <v>10474.41</v>
      </c>
      <c r="D75" s="5" t="s">
        <v>1721</v>
      </c>
      <c r="E75" s="6">
        <v>10474.41</v>
      </c>
    </row>
    <row r="76" spans="2:5" x14ac:dyDescent="0.25">
      <c r="B76" s="5" t="s">
        <v>1851</v>
      </c>
      <c r="C76" s="6">
        <v>1591.6200000000001</v>
      </c>
      <c r="D76" s="5" t="s">
        <v>1851</v>
      </c>
      <c r="E76" s="6">
        <v>1591.6200000000001</v>
      </c>
    </row>
    <row r="77" spans="2:5" x14ac:dyDescent="0.25">
      <c r="B77" s="5" t="s">
        <v>1701</v>
      </c>
      <c r="C77" s="6">
        <v>392.94000000000005</v>
      </c>
      <c r="D77" s="5" t="s">
        <v>1701</v>
      </c>
      <c r="E77" s="6">
        <v>392.94000000000005</v>
      </c>
    </row>
    <row r="78" spans="2:5" x14ac:dyDescent="0.25">
      <c r="B78" s="5" t="s">
        <v>2319</v>
      </c>
      <c r="C78" s="6">
        <v>4807.2829999999994</v>
      </c>
      <c r="D78" s="5" t="s">
        <v>2319</v>
      </c>
      <c r="E78" s="6">
        <v>4807.2829999999994</v>
      </c>
    </row>
    <row r="79" spans="2:5" x14ac:dyDescent="0.25">
      <c r="B79" s="5" t="s">
        <v>61</v>
      </c>
      <c r="C79" s="6">
        <v>65104.223999999958</v>
      </c>
      <c r="D79" s="5" t="s">
        <v>61</v>
      </c>
      <c r="E79" s="6">
        <v>65104.223999999958</v>
      </c>
    </row>
    <row r="80" spans="2:5" x14ac:dyDescent="0.25">
      <c r="B80" s="5" t="s">
        <v>1167</v>
      </c>
      <c r="C80" s="6">
        <v>2309.904</v>
      </c>
      <c r="D80" s="5" t="s">
        <v>1167</v>
      </c>
      <c r="E80" s="6">
        <v>2309.904</v>
      </c>
    </row>
    <row r="81" spans="2:5" x14ac:dyDescent="0.25">
      <c r="B81" s="5" t="s">
        <v>1655</v>
      </c>
      <c r="C81" s="6">
        <v>1599.76</v>
      </c>
      <c r="D81" s="5" t="s">
        <v>1655</v>
      </c>
      <c r="E81" s="6">
        <v>1599.76</v>
      </c>
    </row>
    <row r="82" spans="2:5" x14ac:dyDescent="0.25">
      <c r="B82" s="5" t="s">
        <v>693</v>
      </c>
      <c r="C82" s="6">
        <v>24145.16</v>
      </c>
      <c r="D82" s="5" t="s">
        <v>693</v>
      </c>
      <c r="E82" s="6">
        <v>24145.16</v>
      </c>
    </row>
    <row r="83" spans="2:5" x14ac:dyDescent="0.25">
      <c r="B83" s="5" t="s">
        <v>426</v>
      </c>
      <c r="C83" s="6">
        <v>50536.71</v>
      </c>
      <c r="D83" s="5" t="s">
        <v>426</v>
      </c>
      <c r="E83" s="6">
        <v>50536.71</v>
      </c>
    </row>
    <row r="84" spans="2:5" x14ac:dyDescent="0.25">
      <c r="B84" s="5" t="s">
        <v>185</v>
      </c>
      <c r="C84" s="6">
        <v>8798.1599999999962</v>
      </c>
      <c r="D84" s="5" t="s">
        <v>185</v>
      </c>
      <c r="E84" s="6">
        <v>8798.1599999999962</v>
      </c>
    </row>
    <row r="85" spans="2:5" x14ac:dyDescent="0.25">
      <c r="B85" s="5" t="s">
        <v>4197</v>
      </c>
      <c r="C85" s="6">
        <v>836154.03299999994</v>
      </c>
    </row>
  </sheetData>
  <mergeCells count="1">
    <mergeCell ref="I4:M4"/>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894CE-FB86-40B3-A7F7-AE27A93B8BA8}">
  <dimension ref="A1"/>
  <sheetViews>
    <sheetView showGridLines="0" zoomScale="27" zoomScaleNormal="27" workbookViewId="0">
      <selection activeCell="E62" sqref="E6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54C81-781C-4A86-A764-30B7708309A8}">
  <dimension ref="BR32"/>
  <sheetViews>
    <sheetView showGridLines="0" tabSelected="1" topLeftCell="E1" zoomScale="30" zoomScaleNormal="30" workbookViewId="0">
      <selection activeCell="AV31" sqref="AV31"/>
    </sheetView>
  </sheetViews>
  <sheetFormatPr defaultRowHeight="15" x14ac:dyDescent="0.25"/>
  <sheetData>
    <row r="32" spans="70:70" x14ac:dyDescent="0.25">
      <c r="BR32" t="s">
        <v>4205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C1F0-5890-422A-8C9E-47F26AC0405D}">
  <dimension ref="A1"/>
  <sheetViews>
    <sheetView showGridLines="0" zoomScale="60" zoomScaleNormal="60" workbookViewId="0">
      <selection activeCell="Z8" sqref="Z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216041-3F85-43BB-B203-F586301E41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16</vt:i4>
      </vt:variant>
    </vt:vector>
  </HeadingPairs>
  <TitlesOfParts>
    <vt:vector size="21" baseType="lpstr">
      <vt:lpstr>Sample - Superstore</vt:lpstr>
      <vt:lpstr>CALCULATIONS AND PIVOT</vt:lpstr>
      <vt:lpstr>WIREFRAME</vt:lpstr>
      <vt:lpstr>DASHBOARD</vt:lpstr>
      <vt:lpstr>Sheet1</vt:lpstr>
      <vt:lpstr>category</vt:lpstr>
      <vt:lpstr>city</vt:lpstr>
      <vt:lpstr>copier</vt:lpstr>
      <vt:lpstr>marginyoy</vt:lpstr>
      <vt:lpstr>mode</vt:lpstr>
      <vt:lpstr>orderyoy</vt:lpstr>
      <vt:lpstr>profityoy</vt:lpstr>
      <vt:lpstr>quantityyoy</vt:lpstr>
      <vt:lpstr>salestrend</vt:lpstr>
      <vt:lpstr>salesyoy</vt:lpstr>
      <vt:lpstr>shippingduration</vt:lpstr>
      <vt:lpstr>totalorders</vt:lpstr>
      <vt:lpstr>totalprofit</vt:lpstr>
      <vt:lpstr>totalprofitmargin</vt:lpstr>
      <vt:lpstr>totalquantity</vt:lpstr>
      <vt:lpstr>totalsales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 fasanya</dc:creator>
  <cp:lastModifiedBy>segun fasanya</cp:lastModifiedBy>
  <dcterms:created xsi:type="dcterms:W3CDTF">2026-03-15T11:38:13Z</dcterms:created>
  <dcterms:modified xsi:type="dcterms:W3CDTF">2026-03-24T22:48:40Z</dcterms:modified>
</cp:coreProperties>
</file>